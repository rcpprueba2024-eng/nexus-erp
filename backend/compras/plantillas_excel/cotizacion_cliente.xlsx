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EN U$" sheetId="1" state="visible" r:id="rId1"/>
  </sheets>
  <definedNames>
    <definedName name="_xlnm.Print_Area" localSheetId="0">'EN U$'!$B$1:$I$42</definedName>
  </definedNames>
  <calcPr calcId="191029" fullCalcOnLoad="1"/>
</workbook>
</file>

<file path=xl/styles.xml><?xml version="1.0" encoding="utf-8"?>
<styleSheet xmlns="http://schemas.openxmlformats.org/spreadsheetml/2006/main">
  <numFmts count="8">
    <numFmt numFmtId="164" formatCode="[$$-409]#,##0.00"/>
    <numFmt numFmtId="165" formatCode="_([$$-540A]* #,##0.00_);_([$$-540A]* \(#,##0.00\);_([$$-540A]* &quot;-&quot;??_);_(@_)"/>
    <numFmt numFmtId="166" formatCode="_([$$-409]* #,##0.00_);_([$$-409]* \(#,##0.00\);_([$$-409]* &quot;-&quot;??_);_(@_)"/>
    <numFmt numFmtId="167" formatCode="_-[$$-409]* #,##0.00_ ;_-[$$-409]* \-#,##0.00\ ;_-[$$-409]* &quot;-&quot;??_ ;_-@_ "/>
    <numFmt numFmtId="168" formatCode="0.0"/>
    <numFmt numFmtId="169" formatCode="[$$-540A]#,##0.00"/>
    <numFmt numFmtId="170" formatCode="[$-F800]dddd\,\ mmmm\ dd\,\ yyyy"/>
    <numFmt numFmtId="171" formatCode="&quot;C$&quot;#,##0.00"/>
  </numFmts>
  <fonts count="50">
    <font>
      <name val="Calibri"/>
      <family val="2"/>
      <color theme="1"/>
      <sz val="11"/>
      <scheme val="minor"/>
    </font>
    <font>
      <name val="Calibri"/>
      <family val="2"/>
      <color theme="1"/>
      <sz val="11"/>
      <scheme val="minor"/>
    </font>
    <font>
      <name val="Century Gothic"/>
      <family val="2"/>
      <color theme="1"/>
      <sz val="11"/>
    </font>
    <font>
      <name val="Century Gothic"/>
      <family val="2"/>
      <b val="1"/>
      <sz val="10"/>
    </font>
    <font>
      <name val="Century Gothic"/>
      <family val="2"/>
      <b val="1"/>
      <i val="1"/>
      <sz val="18"/>
    </font>
    <font>
      <name val="Century Gothic"/>
      <family val="2"/>
      <b val="1"/>
      <i val="1"/>
      <color rgb="FFFF0000"/>
      <sz val="12"/>
    </font>
    <font>
      <name val="Century Gothic"/>
      <family val="2"/>
      <b val="1"/>
      <sz val="11"/>
    </font>
    <font>
      <name val="Century Gothic"/>
      <family val="2"/>
      <b val="1"/>
      <color theme="1"/>
      <sz val="11"/>
    </font>
    <font>
      <name val="Century Gothic"/>
      <family val="2"/>
      <sz val="11"/>
    </font>
    <font>
      <name val="Century Gothic"/>
      <family val="2"/>
      <b val="1"/>
      <sz val="18"/>
    </font>
    <font>
      <name val="Century Gothic"/>
      <family val="2"/>
      <b val="1"/>
      <color rgb="FFFF0000"/>
      <sz val="16"/>
    </font>
    <font>
      <name val="Century Gothic"/>
      <family val="2"/>
      <sz val="12"/>
    </font>
    <font>
      <name val="Century Gothic"/>
      <family val="2"/>
      <b val="1"/>
      <color theme="0"/>
      <sz val="11"/>
    </font>
    <font>
      <name val="Century Gothic"/>
      <family val="2"/>
      <b val="1"/>
      <color theme="0"/>
      <sz val="12"/>
    </font>
    <font>
      <name val="Calibri"/>
      <family val="2"/>
      <b val="1"/>
      <color theme="1"/>
      <sz val="10"/>
      <scheme val="minor"/>
    </font>
    <font>
      <name val="Calibri"/>
      <family val="2"/>
      <b val="1"/>
      <color theme="1"/>
      <sz val="14"/>
      <scheme val="minor"/>
    </font>
    <font>
      <name val="Century Gothic"/>
      <family val="2"/>
      <b val="1"/>
      <color theme="1"/>
      <sz val="18"/>
    </font>
    <font>
      <name val="Calibri"/>
      <family val="2"/>
      <color theme="10"/>
      <sz val="11"/>
      <u val="single"/>
      <scheme val="minor"/>
    </font>
    <font>
      <name val="Century Gothic"/>
      <family val="2"/>
      <b val="1"/>
      <color theme="4" tint="-0.249977111117893"/>
      <sz val="11"/>
    </font>
    <font>
      <name val="Century Gothic"/>
      <family val="2"/>
      <b val="1"/>
      <color rgb="FF002060"/>
      <sz val="11"/>
    </font>
    <font>
      <name val="Century Gothic"/>
      <family val="2"/>
      <color rgb="FF002060"/>
      <sz val="10"/>
    </font>
    <font>
      <name val="Century Gothic"/>
      <family val="2"/>
      <b val="1"/>
      <color rgb="FF002060"/>
      <sz val="10"/>
    </font>
    <font>
      <name val="Century Gothic"/>
      <family val="2"/>
      <color rgb="FF002060"/>
      <sz val="11"/>
    </font>
    <font>
      <name val="Century Gothic"/>
      <family val="2"/>
      <color rgb="FF002060"/>
      <sz val="12"/>
    </font>
    <font>
      <name val="Century Gothic"/>
      <family val="2"/>
      <b val="1"/>
      <color rgb="FF002060"/>
      <sz val="12"/>
    </font>
    <font>
      <name val="Century Gothic"/>
      <family val="2"/>
      <i val="1"/>
      <color rgb="FF002060"/>
      <sz val="10"/>
    </font>
    <font>
      <name val="Century Gothic"/>
      <family val="2"/>
      <b val="1"/>
      <i val="1"/>
      <color rgb="FFC00000"/>
      <sz val="11"/>
    </font>
    <font>
      <name val="Century Gothic"/>
      <family val="2"/>
      <b val="1"/>
      <color rgb="FF002060"/>
      <sz val="20"/>
    </font>
    <font>
      <name val="Century Gothic"/>
      <family val="2"/>
      <i val="1"/>
      <color rgb="FF002060"/>
      <sz val="11"/>
    </font>
    <font>
      <name val="Century Gothic"/>
      <family val="2"/>
      <b val="1"/>
      <color rgb="FFFF0000"/>
      <sz val="12"/>
    </font>
    <font>
      <name val="Century Gothic"/>
      <family val="2"/>
      <color theme="1"/>
      <sz val="9"/>
    </font>
    <font>
      <name val="Century Gothic"/>
      <family val="2"/>
      <b val="1"/>
      <sz val="9"/>
    </font>
    <font>
      <name val="Century Gothic"/>
      <family val="2"/>
      <sz val="9"/>
    </font>
    <font>
      <name val="Century Gothic"/>
      <family val="2"/>
      <b val="1"/>
      <color theme="1"/>
      <sz val="9"/>
    </font>
    <font>
      <name val="Century Gothic"/>
      <family val="2"/>
      <b val="1"/>
      <color rgb="FFC00000"/>
      <sz val="10"/>
    </font>
    <font>
      <name val="Century Gothic"/>
      <family val="2"/>
      <b val="1"/>
      <i val="1"/>
      <color rgb="FF002060"/>
      <sz val="11"/>
    </font>
    <font>
      <name val="Century Gothic"/>
      <family val="2"/>
      <b val="1"/>
      <i val="1"/>
      <color theme="9" tint="-0.499984740745262"/>
      <sz val="11"/>
    </font>
    <font>
      <name val="Century Gothic"/>
      <family val="2"/>
      <b val="1"/>
      <color rgb="FF02880F"/>
      <sz val="10"/>
    </font>
    <font>
      <name val="Century Gothic"/>
      <family val="2"/>
      <b val="1"/>
      <color theme="1"/>
      <sz val="16"/>
    </font>
    <font>
      <name val="Arial"/>
      <family val="2"/>
      <color rgb="FF222222"/>
      <sz val="12"/>
    </font>
    <font>
      <name val="Arial"/>
      <family val="2"/>
      <color rgb="FF000000"/>
      <sz val="12"/>
    </font>
    <font>
      <name val="Arial"/>
      <family val="2"/>
      <b val="1"/>
      <color rgb="FF2F75B5"/>
      <sz val="12"/>
    </font>
    <font>
      <name val="Century Gothic"/>
      <family val="2"/>
      <color rgb="FF000066"/>
      <sz val="12"/>
    </font>
    <font>
      <name val="Calibri"/>
      <family val="2"/>
      <sz val="8"/>
      <scheme val="minor"/>
    </font>
    <font>
      <name val="Century Gothic"/>
      <family val="2"/>
      <b val="1"/>
      <i val="1"/>
      <color rgb="FF0070C0"/>
      <sz val="11"/>
    </font>
    <font>
      <name val="Century Gothic"/>
      <family val="2"/>
      <b val="1"/>
      <color rgb="FFFF0000"/>
      <sz val="14"/>
    </font>
    <font>
      <name val="Century Gothic"/>
      <family val="2"/>
      <b val="1"/>
      <color rgb="FF02880F"/>
      <sz val="12"/>
    </font>
    <font>
      <name val="Century Gothic"/>
      <family val="2"/>
      <b val="1"/>
      <color rgb="FFFF0000"/>
      <sz val="11"/>
    </font>
    <font>
      <name val="Century Gothic"/>
      <family val="2"/>
      <b val="1"/>
      <color theme="3"/>
      <sz val="11"/>
    </font>
    <font>
      <name val="Century Gothic"/>
      <family val="2"/>
      <color rgb="FF002060"/>
      <sz val="9"/>
    </font>
  </fonts>
  <fills count="7">
    <fill>
      <patternFill/>
    </fill>
    <fill>
      <patternFill patternType="gray125"/>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theme="0" tint="-0.0499893185216834"/>
        <bgColor indexed="64"/>
      </patternFill>
    </fill>
    <fill>
      <patternFill patternType="solid">
        <fgColor rgb="FFFFFFFF"/>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top/>
      <bottom style="hair">
        <color auto="1"/>
      </bottom>
      <diagonal/>
    </border>
    <border>
      <left/>
      <right/>
      <top style="hair">
        <color auto="1"/>
      </top>
      <bottom style="hair">
        <color auto="1"/>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indexed="64"/>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style="thin">
        <color indexed="64"/>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style="thin">
        <color theme="1" tint="0.499984740745262"/>
      </right>
      <top/>
      <bottom/>
      <diagonal/>
    </border>
    <border>
      <left style="thin">
        <color theme="1" tint="0.499984740745262"/>
      </left>
      <right/>
      <top style="thin">
        <color theme="1" tint="0.499984740745262"/>
      </top>
      <bottom style="thin">
        <color indexed="64"/>
      </bottom>
      <diagonal/>
    </border>
    <border>
      <left/>
      <right/>
      <top style="thin">
        <color theme="1" tint="0.499984740745262"/>
      </top>
      <bottom style="thin">
        <color indexed="64"/>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indexed="64"/>
      </bottom>
      <diagonal/>
    </border>
  </borders>
  <cellStyleXfs count="3">
    <xf numFmtId="0" fontId="1" fillId="0" borderId="0"/>
    <xf numFmtId="43" fontId="1" fillId="0" borderId="0"/>
    <xf numFmtId="0" fontId="17" fillId="0" borderId="0"/>
  </cellStyleXfs>
  <cellXfs count="238">
    <xf numFmtId="0" fontId="0" fillId="0" borderId="0" pivotButton="0" quotePrefix="0" xfId="0"/>
    <xf numFmtId="0" fontId="3" fillId="2" borderId="0" applyAlignment="1" pivotButton="0" quotePrefix="0" xfId="0">
      <alignment horizontal="center" vertical="center" wrapText="1"/>
    </xf>
    <xf numFmtId="0" fontId="2" fillId="2" borderId="0" pivotButton="0" quotePrefix="0" xfId="0"/>
    <xf numFmtId="0" fontId="4" fillId="2" borderId="0" applyAlignment="1" pivotButton="0" quotePrefix="0" xfId="0">
      <alignment vertical="center"/>
    </xf>
    <xf numFmtId="0" fontId="4" fillId="2" borderId="0" applyAlignment="1" pivotButton="0" quotePrefix="0" xfId="0">
      <alignment horizontal="center" vertical="center"/>
    </xf>
    <xf numFmtId="0" fontId="4" fillId="2" borderId="0" applyAlignment="1" pivotButton="0" quotePrefix="0" xfId="0">
      <alignment horizontal="right" vertical="center"/>
    </xf>
    <xf numFmtId="0" fontId="5" fillId="2" borderId="0" applyAlignment="1" pivotButton="0" quotePrefix="0" xfId="0">
      <alignment horizontal="right" vertical="center"/>
    </xf>
    <xf numFmtId="0" fontId="2" fillId="3" borderId="0" pivotButton="0" quotePrefix="0" xfId="0"/>
    <xf numFmtId="2" fontId="2" fillId="2" borderId="0" pivotButton="0" quotePrefix="0" xfId="0"/>
    <xf numFmtId="0" fontId="3" fillId="3" borderId="0" applyAlignment="1" pivotButton="0" quotePrefix="0" xfId="0">
      <alignment horizontal="center"/>
    </xf>
    <xf numFmtId="0" fontId="8" fillId="2" borderId="0" applyAlignment="1" pivotButton="0" quotePrefix="0" xfId="0">
      <alignment horizontal="left" vertical="top" wrapText="1"/>
    </xf>
    <xf numFmtId="164" fontId="6" fillId="2" borderId="0" pivotButton="0" quotePrefix="0" xfId="0"/>
    <xf numFmtId="0" fontId="2" fillId="3" borderId="0" applyAlignment="1" pivotButton="0" quotePrefix="0" xfId="0">
      <alignment horizontal="center"/>
    </xf>
    <xf numFmtId="0" fontId="6" fillId="2" borderId="0" applyAlignment="1" pivotButton="0" quotePrefix="0" xfId="0">
      <alignment horizontal="left" vertical="top" wrapText="1"/>
    </xf>
    <xf numFmtId="2" fontId="2" fillId="3" borderId="0" pivotButton="0" quotePrefix="0" xfId="0"/>
    <xf numFmtId="0" fontId="10" fillId="2" borderId="0" applyAlignment="1" pivotButton="0" quotePrefix="0" xfId="0">
      <alignment horizontal="right" vertical="center"/>
    </xf>
    <xf numFmtId="49" fontId="10" fillId="2" borderId="0" applyAlignment="1" pivotButton="0" quotePrefix="0" xfId="0">
      <alignment horizontal="right" vertical="center"/>
    </xf>
    <xf numFmtId="0" fontId="6" fillId="2" borderId="0" applyAlignment="1" pivotButton="0" quotePrefix="0" xfId="0">
      <alignment horizontal="center" vertical="center" wrapText="1"/>
    </xf>
    <xf numFmtId="0" fontId="7" fillId="3" borderId="0" pivotButton="0" quotePrefix="0" xfId="0"/>
    <xf numFmtId="0" fontId="7" fillId="0" borderId="0" applyAlignment="1" pivotButton="0" quotePrefix="0" xfId="0">
      <alignment horizontal="left"/>
    </xf>
    <xf numFmtId="0" fontId="2" fillId="0" borderId="0" pivotButton="0" quotePrefix="0" xfId="0"/>
    <xf numFmtId="0" fontId="2" fillId="0" borderId="0" applyAlignment="1" pivotButton="0" quotePrefix="0" xfId="0">
      <alignment horizontal="center"/>
    </xf>
    <xf numFmtId="0" fontId="2" fillId="0" borderId="0" applyAlignment="1" pivotButton="0" quotePrefix="0" xfId="0">
      <alignment horizontal="right"/>
    </xf>
    <xf numFmtId="0" fontId="12" fillId="4" borderId="0" applyAlignment="1" pivotButton="0" quotePrefix="0" xfId="0">
      <alignment horizontal="center" vertical="center" wrapText="1"/>
    </xf>
    <xf numFmtId="165" fontId="11" fillId="0" borderId="0" applyAlignment="1" pivotButton="0" quotePrefix="0" xfId="0">
      <alignment vertical="center" wrapText="1"/>
    </xf>
    <xf numFmtId="165" fontId="13" fillId="4" borderId="0" applyAlignment="1" pivotButton="0" quotePrefix="0" xfId="0">
      <alignment horizontal="center" vertical="center" wrapText="1"/>
    </xf>
    <xf numFmtId="0" fontId="4" fillId="0" borderId="0" applyAlignment="1" pivotButton="0" quotePrefix="0" xfId="0">
      <alignment vertical="center"/>
    </xf>
    <xf numFmtId="0" fontId="9" fillId="0" borderId="0" applyAlignment="1" pivotButton="0" quotePrefix="0" xfId="0">
      <alignment horizontal="right" vertical="center"/>
    </xf>
    <xf numFmtId="49" fontId="10" fillId="0" borderId="0" applyAlignment="1" pivotButton="0" quotePrefix="0" xfId="0">
      <alignment horizontal="right" vertical="center"/>
    </xf>
    <xf numFmtId="0" fontId="5" fillId="0" borderId="0" applyAlignment="1" pivotButton="0" quotePrefix="0" xfId="0">
      <alignment horizontal="right" vertical="center"/>
    </xf>
    <xf numFmtId="0" fontId="3" fillId="0" borderId="0" applyAlignment="1" pivotButton="0" quotePrefix="0" xfId="0">
      <alignment horizontal="center" vertical="center" wrapText="1"/>
    </xf>
    <xf numFmtId="0" fontId="12" fillId="0" borderId="0" applyAlignment="1" pivotButton="0" quotePrefix="0" xfId="0">
      <alignment horizontal="center" vertical="center" wrapText="1"/>
    </xf>
    <xf numFmtId="165" fontId="11" fillId="0" borderId="0" applyAlignment="1" pivotButton="0" quotePrefix="0" xfId="0">
      <alignment horizontal="center" vertical="center" wrapText="1"/>
    </xf>
    <xf numFmtId="165" fontId="13" fillId="0" borderId="0" applyAlignment="1" pivotButton="0" quotePrefix="0" xfId="0">
      <alignment horizontal="center" vertical="center" wrapText="1"/>
    </xf>
    <xf numFmtId="0" fontId="8" fillId="0" borderId="0" applyAlignment="1" pivotButton="0" quotePrefix="0" xfId="0">
      <alignment horizontal="left" vertical="top"/>
    </xf>
    <xf numFmtId="0" fontId="8" fillId="0" borderId="0" applyAlignment="1" pivotButton="0" quotePrefix="0" xfId="0">
      <alignment horizontal="left" vertical="top" wrapText="1"/>
    </xf>
    <xf numFmtId="0" fontId="8" fillId="0" borderId="0" applyAlignment="1" pivotButton="0" quotePrefix="0" xfId="0">
      <alignment horizontal="left" vertical="center" wrapText="1"/>
    </xf>
    <xf numFmtId="0" fontId="15" fillId="0" borderId="0" applyAlignment="1" pivotButton="0" quotePrefix="0" xfId="0">
      <alignment horizontal="center" vertical="center"/>
    </xf>
    <xf numFmtId="0" fontId="2" fillId="4" borderId="0" pivotButton="0" quotePrefix="0" xfId="0"/>
    <xf numFmtId="0" fontId="4" fillId="4" borderId="0" applyAlignment="1" pivotButton="0" quotePrefix="0" xfId="0">
      <alignment vertical="center"/>
    </xf>
    <xf numFmtId="0" fontId="9" fillId="4" borderId="0" applyAlignment="1" pivotButton="0" quotePrefix="0" xfId="0">
      <alignment horizontal="right" vertical="center"/>
    </xf>
    <xf numFmtId="49" fontId="10" fillId="4" borderId="0" applyAlignment="1" pivotButton="0" quotePrefix="0" xfId="0">
      <alignment horizontal="right" vertical="center"/>
    </xf>
    <xf numFmtId="0" fontId="5" fillId="4" borderId="0" applyAlignment="1" pivotButton="0" quotePrefix="0" xfId="0">
      <alignment horizontal="right" vertical="center"/>
    </xf>
    <xf numFmtId="0" fontId="3" fillId="4" borderId="0" applyAlignment="1" pivotButton="0" quotePrefix="0" xfId="0">
      <alignment horizontal="center" vertical="center" wrapText="1"/>
    </xf>
    <xf numFmtId="0" fontId="8" fillId="4" borderId="0" applyAlignment="1" pivotButton="0" quotePrefix="0" xfId="0">
      <alignment horizontal="left" vertical="top"/>
    </xf>
    <xf numFmtId="0" fontId="8" fillId="4" borderId="0" applyAlignment="1" pivotButton="0" quotePrefix="0" xfId="0">
      <alignment horizontal="left" vertical="top" wrapText="1"/>
    </xf>
    <xf numFmtId="0" fontId="8" fillId="4" borderId="0" applyAlignment="1" pivotButton="0" quotePrefix="0" xfId="0">
      <alignment horizontal="left" vertical="center" wrapText="1"/>
    </xf>
    <xf numFmtId="0" fontId="15" fillId="4" borderId="0" applyAlignment="1" pivotButton="0" quotePrefix="0" xfId="0">
      <alignment horizontal="center" vertical="center"/>
    </xf>
    <xf numFmtId="0" fontId="14" fillId="0" borderId="0" applyAlignment="1" pivotButton="0" quotePrefix="0" xfId="0">
      <alignment vertical="center"/>
    </xf>
    <xf numFmtId="165" fontId="11" fillId="4" borderId="0" applyAlignment="1" pivotButton="0" quotePrefix="0" xfId="0">
      <alignment vertical="center" wrapText="1"/>
    </xf>
    <xf numFmtId="165" fontId="11" fillId="4" borderId="0" applyAlignment="1" pivotButton="0" quotePrefix="0" xfId="0">
      <alignment horizontal="center" vertical="center" wrapText="1"/>
    </xf>
    <xf numFmtId="0" fontId="2" fillId="2" borderId="0" applyAlignment="1" pivotButton="0" quotePrefix="0" xfId="0">
      <alignment vertical="center"/>
    </xf>
    <xf numFmtId="0" fontId="2" fillId="0" borderId="0" applyAlignment="1" pivotButton="0" quotePrefix="0" xfId="0">
      <alignment vertical="center"/>
    </xf>
    <xf numFmtId="0" fontId="2" fillId="4" borderId="0" applyAlignment="1" pivotButton="0" quotePrefix="0" xfId="0">
      <alignment vertical="center"/>
    </xf>
    <xf numFmtId="0" fontId="2" fillId="3" borderId="0" applyAlignment="1" pivotButton="0" quotePrefix="0" xfId="0">
      <alignment vertical="center"/>
    </xf>
    <xf numFmtId="165" fontId="2" fillId="2" borderId="0" applyAlignment="1" pivotButton="0" quotePrefix="0" xfId="1">
      <alignment vertical="center"/>
    </xf>
    <xf numFmtId="166" fontId="2" fillId="3" borderId="0" applyAlignment="1" pivotButton="0" quotePrefix="0" xfId="0">
      <alignment vertical="center"/>
    </xf>
    <xf numFmtId="164" fontId="8" fillId="2" borderId="0" applyAlignment="1" pivotButton="0" quotePrefix="0" xfId="0">
      <alignment horizontal="right" vertical="center"/>
    </xf>
    <xf numFmtId="0" fontId="7" fillId="0" borderId="0" applyAlignment="1" pivotButton="0" quotePrefix="0" xfId="0">
      <alignment horizontal="left" vertical="center"/>
    </xf>
    <xf numFmtId="0" fontId="19" fillId="5" borderId="2" applyAlignment="1" pivotButton="0" quotePrefix="0" xfId="0">
      <alignment horizontal="left" vertical="center"/>
    </xf>
    <xf numFmtId="0" fontId="22" fillId="0" borderId="0" applyAlignment="1" pivotButton="0" quotePrefix="0" xfId="0">
      <alignment horizontal="left" vertical="center"/>
    </xf>
    <xf numFmtId="2" fontId="19" fillId="5" borderId="2" applyAlignment="1" pivotButton="0" quotePrefix="0" xfId="0">
      <alignment horizontal="center" vertical="center" wrapText="1"/>
    </xf>
    <xf numFmtId="0" fontId="23" fillId="0" borderId="2" applyAlignment="1" pivotButton="0" quotePrefix="0" xfId="0">
      <alignment vertical="center"/>
    </xf>
    <xf numFmtId="2" fontId="2" fillId="2" borderId="3" pivotButton="0" quotePrefix="0" xfId="0"/>
    <xf numFmtId="0" fontId="2" fillId="2" borderId="3" pivotButton="0" quotePrefix="0" xfId="0"/>
    <xf numFmtId="0" fontId="2" fillId="0" borderId="7" applyAlignment="1" pivotButton="0" quotePrefix="0" xfId="0">
      <alignment horizontal="left" vertical="center"/>
    </xf>
    <xf numFmtId="0" fontId="22" fillId="0" borderId="8" applyAlignment="1" pivotButton="0" quotePrefix="0" xfId="0">
      <alignment horizontal="left" vertical="center"/>
    </xf>
    <xf numFmtId="0" fontId="7" fillId="0" borderId="9" applyAlignment="1" pivotButton="0" quotePrefix="0" xfId="0">
      <alignment horizontal="left" vertical="center"/>
    </xf>
    <xf numFmtId="0" fontId="2" fillId="2" borderId="10" pivotButton="0" quotePrefix="0" xfId="0"/>
    <xf numFmtId="0" fontId="18" fillId="2" borderId="9" pivotButton="0" quotePrefix="0" xfId="0"/>
    <xf numFmtId="0" fontId="6" fillId="2" borderId="9" applyAlignment="1" pivotButton="0" quotePrefix="0" xfId="0">
      <alignment horizontal="left" vertical="top" wrapText="1"/>
    </xf>
    <xf numFmtId="0" fontId="2" fillId="0" borderId="11" applyAlignment="1" pivotButton="0" quotePrefix="0" xfId="0">
      <alignment horizontal="left" indent="5"/>
    </xf>
    <xf numFmtId="0" fontId="2" fillId="0" borderId="3" pivotButton="0" quotePrefix="0" xfId="0"/>
    <xf numFmtId="0" fontId="2" fillId="0" borderId="12" pivotButton="0" quotePrefix="0" xfId="0"/>
    <xf numFmtId="0" fontId="2" fillId="0" borderId="9" pivotButton="0" quotePrefix="0" xfId="0"/>
    <xf numFmtId="0" fontId="2" fillId="0" borderId="10" pivotButton="0" quotePrefix="0" xfId="0"/>
    <xf numFmtId="0" fontId="27" fillId="2" borderId="0" applyAlignment="1" pivotButton="0" quotePrefix="0" xfId="0">
      <alignment horizontal="right" vertical="center"/>
    </xf>
    <xf numFmtId="2" fontId="2" fillId="2" borderId="0" applyAlignment="1" pivotButton="0" quotePrefix="0" xfId="0">
      <alignment vertical="center"/>
    </xf>
    <xf numFmtId="0" fontId="7" fillId="3" borderId="13" applyAlignment="1" pivotButton="0" quotePrefix="0" xfId="0">
      <alignment horizontal="left"/>
    </xf>
    <xf numFmtId="2" fontId="2" fillId="3" borderId="13" pivotButton="0" quotePrefix="0" xfId="0"/>
    <xf numFmtId="0" fontId="7" fillId="3" borderId="14" applyAlignment="1" pivotButton="0" quotePrefix="0" xfId="0">
      <alignment horizontal="left"/>
    </xf>
    <xf numFmtId="2" fontId="2" fillId="3" borderId="14" pivotButton="0" quotePrefix="0" xfId="0"/>
    <xf numFmtId="0" fontId="7" fillId="3" borderId="14" applyAlignment="1" pivotButton="0" quotePrefix="0" xfId="0">
      <alignment horizontal="left" vertical="center"/>
    </xf>
    <xf numFmtId="2" fontId="2" fillId="3" borderId="14" applyAlignment="1" pivotButton="0" quotePrefix="0" xfId="0">
      <alignment vertical="center"/>
    </xf>
    <xf numFmtId="0" fontId="17" fillId="2" borderId="0" applyAlignment="1" pivotButton="0" quotePrefix="0" xfId="2">
      <alignment horizontal="left" vertical="center"/>
    </xf>
    <xf numFmtId="165" fontId="23" fillId="0" borderId="10" applyAlignment="1" pivotButton="0" quotePrefix="0" xfId="0">
      <alignment vertical="center"/>
    </xf>
    <xf numFmtId="165" fontId="24" fillId="0" borderId="10" applyAlignment="1" pivotButton="0" quotePrefix="0" xfId="0">
      <alignment vertical="center"/>
    </xf>
    <xf numFmtId="165" fontId="24" fillId="5" borderId="16" applyAlignment="1" pivotButton="0" quotePrefix="0" xfId="0">
      <alignment vertical="center"/>
    </xf>
    <xf numFmtId="165" fontId="22" fillId="0" borderId="15" applyAlignment="1" pivotButton="0" quotePrefix="0" xfId="0">
      <alignment vertical="center"/>
    </xf>
    <xf numFmtId="165" fontId="22" fillId="0" borderId="2" applyAlignment="1" pivotButton="0" quotePrefix="0" xfId="0">
      <alignment vertical="center"/>
    </xf>
    <xf numFmtId="167" fontId="2" fillId="3" borderId="0" applyAlignment="1" pivotButton="0" quotePrefix="0" xfId="0">
      <alignment horizontal="center"/>
    </xf>
    <xf numFmtId="0" fontId="7" fillId="3" borderId="0" applyAlignment="1" pivotButton="0" quotePrefix="0" xfId="0">
      <alignment vertical="center"/>
    </xf>
    <xf numFmtId="168" fontId="2" fillId="3" borderId="0" applyAlignment="1" pivotButton="0" quotePrefix="0" xfId="0">
      <alignment vertical="center"/>
    </xf>
    <xf numFmtId="0" fontId="30" fillId="2" borderId="1" pivotButton="0" quotePrefix="0" xfId="0"/>
    <xf numFmtId="0" fontId="31" fillId="2" borderId="1" applyAlignment="1" pivotButton="0" quotePrefix="0" xfId="0">
      <alignment horizontal="center" vertical="center" wrapText="1"/>
    </xf>
    <xf numFmtId="0" fontId="31" fillId="2" borderId="1" applyAlignment="1" pivotButton="0" quotePrefix="0" xfId="0">
      <alignment horizontal="center"/>
    </xf>
    <xf numFmtId="169" fontId="30" fillId="2" borderId="1" applyAlignment="1" pivotButton="0" quotePrefix="0" xfId="0">
      <alignment vertical="center"/>
    </xf>
    <xf numFmtId="166" fontId="32" fillId="2" borderId="1" applyAlignment="1" pivotButton="0" quotePrefix="0" xfId="0">
      <alignment vertical="center"/>
    </xf>
    <xf numFmtId="0" fontId="30" fillId="3" borderId="0" applyAlignment="1" pivotButton="0" quotePrefix="0" xfId="0">
      <alignment vertical="center"/>
    </xf>
    <xf numFmtId="166" fontId="33" fillId="3" borderId="0" applyAlignment="1" pivotButton="0" quotePrefix="0" xfId="0">
      <alignment vertical="center"/>
    </xf>
    <xf numFmtId="0" fontId="22" fillId="2" borderId="0" applyAlignment="1" pivotButton="0" quotePrefix="0" xfId="0">
      <alignment vertical="top" wrapText="1"/>
    </xf>
    <xf numFmtId="0" fontId="23" fillId="0" borderId="2" applyAlignment="1" pivotButton="0" quotePrefix="0" xfId="0">
      <alignment horizontal="center" vertical="center"/>
    </xf>
    <xf numFmtId="0" fontId="2" fillId="0" borderId="8" applyAlignment="1" pivotButton="0" quotePrefix="0" xfId="0">
      <alignment horizontal="left" vertical="center"/>
    </xf>
    <xf numFmtId="0" fontId="28" fillId="2" borderId="0" applyAlignment="1" pivotButton="0" quotePrefix="0" xfId="0">
      <alignment horizontal="center" vertical="center" wrapText="1"/>
    </xf>
    <xf numFmtId="0" fontId="18" fillId="2" borderId="0" pivotButton="0" quotePrefix="0" xfId="0"/>
    <xf numFmtId="0" fontId="2" fillId="0" borderId="3" applyAlignment="1" pivotButton="0" quotePrefix="0" xfId="0">
      <alignment horizontal="left" indent="5"/>
    </xf>
    <xf numFmtId="0" fontId="20" fillId="2" borderId="6" applyAlignment="1" pivotButton="0" quotePrefix="0" xfId="0">
      <alignment horizontal="left" vertical="center"/>
    </xf>
    <xf numFmtId="0" fontId="21" fillId="2" borderId="6" applyAlignment="1" pivotButton="0" quotePrefix="0" xfId="0">
      <alignment horizontal="left" vertical="center"/>
    </xf>
    <xf numFmtId="170" fontId="20" fillId="2" borderId="6" applyAlignment="1" pivotButton="0" quotePrefix="0" xfId="0">
      <alignment horizontal="left" vertical="center"/>
    </xf>
    <xf numFmtId="0" fontId="19" fillId="0" borderId="4" applyAlignment="1" pivotButton="0" quotePrefix="0" xfId="0">
      <alignment horizontal="left" vertical="center"/>
    </xf>
    <xf numFmtId="171" fontId="23" fillId="0" borderId="2" applyAlignment="1" pivotButton="0" quotePrefix="0" xfId="0">
      <alignment vertical="center" wrapText="1"/>
    </xf>
    <xf numFmtId="171" fontId="23" fillId="0" borderId="15" applyAlignment="1" pivotButton="0" quotePrefix="0" xfId="0">
      <alignment vertical="center" wrapText="1"/>
    </xf>
    <xf numFmtId="171" fontId="23" fillId="0" borderId="6" applyAlignment="1" pivotButton="0" quotePrefix="0" xfId="0">
      <alignment horizontal="center" vertical="center" wrapText="1"/>
    </xf>
    <xf numFmtId="171" fontId="29" fillId="0" borderId="6" applyAlignment="1" pivotButton="0" quotePrefix="0" xfId="0">
      <alignment horizontal="center" vertical="center" wrapText="1"/>
    </xf>
    <xf numFmtId="171" fontId="24" fillId="5" borderId="6" applyAlignment="1" pivotButton="0" quotePrefix="0" xfId="0">
      <alignment horizontal="center" vertical="center" wrapText="1"/>
    </xf>
    <xf numFmtId="0" fontId="38" fillId="2" borderId="0" applyAlignment="1" pivotButton="0" quotePrefix="0" xfId="0">
      <alignment horizontal="left" vertical="center"/>
    </xf>
    <xf numFmtId="0" fontId="19" fillId="5" borderId="2" applyAlignment="1" pivotButton="0" quotePrefix="0" xfId="0">
      <alignment horizontal="center" vertical="center" wrapText="1"/>
    </xf>
    <xf numFmtId="0" fontId="40" fillId="6" borderId="17" applyAlignment="1" pivotButton="0" quotePrefix="0" xfId="0">
      <alignment horizontal="center" vertical="center"/>
    </xf>
    <xf numFmtId="0" fontId="40" fillId="6" borderId="18" applyAlignment="1" pivotButton="0" quotePrefix="0" xfId="0">
      <alignment horizontal="center" vertical="center"/>
    </xf>
    <xf numFmtId="0" fontId="40" fillId="6" borderId="18" applyAlignment="1" pivotButton="0" quotePrefix="0" xfId="0">
      <alignment vertical="center"/>
    </xf>
    <xf numFmtId="0" fontId="41" fillId="6" borderId="18" applyAlignment="1" pivotButton="0" quotePrefix="0" xfId="0">
      <alignment horizontal="center" vertical="center"/>
    </xf>
    <xf numFmtId="0" fontId="39" fillId="0" borderId="0" applyAlignment="1" pivotButton="0" quotePrefix="0" xfId="0">
      <alignment vertical="center" wrapText="1"/>
    </xf>
    <xf numFmtId="0" fontId="42" fillId="0" borderId="2" applyAlignment="1" pivotButton="0" quotePrefix="0" xfId="0">
      <alignment horizontal="center" vertical="center"/>
    </xf>
    <xf numFmtId="0" fontId="4" fillId="2" borderId="0" applyAlignment="1" pivotButton="0" quotePrefix="0" xfId="0">
      <alignment horizontal="left" vertical="center"/>
    </xf>
    <xf numFmtId="0" fontId="2" fillId="2" borderId="0" applyAlignment="1" pivotButton="0" quotePrefix="0" xfId="0">
      <alignment horizontal="left" vertical="center"/>
    </xf>
    <xf numFmtId="0" fontId="17" fillId="3" borderId="0" applyAlignment="1" pivotButton="0" quotePrefix="0" xfId="2">
      <alignment vertical="center"/>
    </xf>
    <xf numFmtId="0" fontId="45" fillId="2" borderId="0" applyAlignment="1" pivotButton="0" quotePrefix="0" xfId="0">
      <alignment horizontal="right" vertical="center"/>
    </xf>
    <xf numFmtId="0" fontId="2" fillId="0" borderId="0" applyAlignment="1" pivotButton="0" quotePrefix="0" xfId="0">
      <alignment horizontal="left" vertical="center"/>
    </xf>
    <xf numFmtId="2" fontId="19" fillId="5" borderId="19" applyAlignment="1" pivotButton="0" quotePrefix="0" xfId="0">
      <alignment horizontal="center" vertical="center" wrapText="1"/>
    </xf>
    <xf numFmtId="0" fontId="19" fillId="5" borderId="19" applyAlignment="1" pivotButton="0" quotePrefix="0" xfId="0">
      <alignment horizontal="center" vertical="center" wrapText="1"/>
    </xf>
    <xf numFmtId="0" fontId="42" fillId="0" borderId="19" applyAlignment="1" pivotButton="0" quotePrefix="0" xfId="0">
      <alignment horizontal="center" vertical="center"/>
    </xf>
    <xf numFmtId="171" fontId="23" fillId="0" borderId="19" applyAlignment="1" pivotButton="0" quotePrefix="0" xfId="0">
      <alignment vertical="center" wrapText="1"/>
    </xf>
    <xf numFmtId="0" fontId="23" fillId="0" borderId="19" applyAlignment="1" pivotButton="0" quotePrefix="0" xfId="0">
      <alignment horizontal="center" vertical="center"/>
    </xf>
    <xf numFmtId="0" fontId="23" fillId="0" borderId="19" applyAlignment="1" pivotButton="0" quotePrefix="0" xfId="0">
      <alignment vertical="center"/>
    </xf>
    <xf numFmtId="169" fontId="46" fillId="5" borderId="19" applyAlignment="1" pivotButton="0" quotePrefix="0" xfId="0">
      <alignment horizontal="right" vertical="center" wrapText="1"/>
    </xf>
    <xf numFmtId="165" fontId="46" fillId="5" borderId="19" applyAlignment="1" pivotButton="0" quotePrefix="0" xfId="0">
      <alignment vertical="center"/>
    </xf>
    <xf numFmtId="165" fontId="24" fillId="5" borderId="19" applyAlignment="1" pivotButton="0" quotePrefix="0" xfId="0">
      <alignment vertical="center"/>
    </xf>
    <xf numFmtId="171" fontId="24" fillId="5" borderId="19" applyAlignment="1" pivotButton="0" quotePrefix="0" xfId="0">
      <alignment horizontal="right" vertical="center" wrapText="1"/>
    </xf>
    <xf numFmtId="0" fontId="28" fillId="2" borderId="0" applyAlignment="1" pivotButton="0" quotePrefix="0" xfId="0">
      <alignment vertical="top" wrapText="1"/>
    </xf>
    <xf numFmtId="0" fontId="35" fillId="2" borderId="0" applyAlignment="1" pivotButton="0" quotePrefix="0" xfId="0">
      <alignment horizontal="center" vertical="top" wrapText="1"/>
    </xf>
    <xf numFmtId="0" fontId="22" fillId="2" borderId="0" applyAlignment="1" pivotButton="0" quotePrefix="0" xfId="0">
      <alignment horizontal="center" vertical="top" wrapText="1"/>
    </xf>
    <xf numFmtId="0" fontId="2" fillId="3" borderId="23" applyAlignment="1" pivotButton="0" quotePrefix="0" xfId="0">
      <alignment vertical="center"/>
    </xf>
    <xf numFmtId="0" fontId="0" fillId="0" borderId="24" pivotButton="0" quotePrefix="0" xfId="0"/>
    <xf numFmtId="0" fontId="49" fillId="2" borderId="6" applyAlignment="1" pivotButton="0" quotePrefix="0" xfId="0">
      <alignment horizontal="left" vertical="center"/>
    </xf>
    <xf numFmtId="0" fontId="19" fillId="2" borderId="0" applyAlignment="1" pivotButton="0" quotePrefix="0" xfId="0">
      <alignment horizontal="right" vertical="center"/>
    </xf>
    <xf numFmtId="0" fontId="16" fillId="0" borderId="9" applyAlignment="1" pivotButton="0" quotePrefix="0" xfId="0">
      <alignment horizontal="center"/>
    </xf>
    <xf numFmtId="0" fontId="16" fillId="0" borderId="0" applyAlignment="1" pivotButton="0" quotePrefix="0" xfId="0">
      <alignment horizontal="center"/>
    </xf>
    <xf numFmtId="0" fontId="16" fillId="0" borderId="10" applyAlignment="1" pivotButton="0" quotePrefix="0" xfId="0">
      <alignment horizontal="center"/>
    </xf>
    <xf numFmtId="0" fontId="22" fillId="0" borderId="4" applyAlignment="1" pivotButton="0" quotePrefix="0" xfId="0">
      <alignment horizontal="lef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8" fillId="2" borderId="9" applyAlignment="1" pivotButton="0" quotePrefix="0" xfId="0">
      <alignment horizontal="center" vertical="center" wrapText="1"/>
    </xf>
    <xf numFmtId="0" fontId="28" fillId="2" borderId="0" applyAlignment="1" pivotButton="0" quotePrefix="0" xfId="0">
      <alignment horizontal="left" vertical="top" wrapText="1"/>
    </xf>
    <xf numFmtId="0" fontId="19" fillId="2" borderId="4" applyAlignment="1" pivotButton="0" quotePrefix="0" xfId="0">
      <alignment horizontal="left" vertical="center" wrapText="1"/>
    </xf>
    <xf numFmtId="0" fontId="19" fillId="2" borderId="5" applyAlignment="1" pivotButton="0" quotePrefix="0" xfId="0">
      <alignment horizontal="left" vertical="center" wrapText="1"/>
    </xf>
    <xf numFmtId="0" fontId="22" fillId="2" borderId="5" applyAlignment="1" pivotButton="0" quotePrefix="0" xfId="0">
      <alignment horizontal="left" vertical="center" wrapText="1"/>
    </xf>
    <xf numFmtId="0" fontId="22" fillId="2" borderId="6" applyAlignment="1" pivotButton="0" quotePrefix="0" xfId="0">
      <alignment horizontal="left" vertical="center" wrapText="1"/>
    </xf>
    <xf numFmtId="0" fontId="20" fillId="2" borderId="4" applyAlignment="1" pivotButton="0" quotePrefix="0" xfId="0">
      <alignment horizontal="left" vertical="center" wrapText="1"/>
    </xf>
    <xf numFmtId="0" fontId="20" fillId="2" borderId="5" applyAlignment="1" pivotButton="0" quotePrefix="0" xfId="0">
      <alignment horizontal="left" vertical="center" wrapText="1"/>
    </xf>
    <xf numFmtId="0" fontId="20" fillId="2" borderId="6" applyAlignment="1" pivotButton="0" quotePrefix="0" xfId="0">
      <alignment horizontal="left" vertical="center" wrapText="1"/>
    </xf>
    <xf numFmtId="0" fontId="22" fillId="2" borderId="4" applyAlignment="1" pivotButton="0" quotePrefix="0" xfId="0">
      <alignment horizontal="left" vertical="center" wrapText="1"/>
    </xf>
    <xf numFmtId="0" fontId="7" fillId="3" borderId="0" applyAlignment="1" pivotButton="0" quotePrefix="0" xfId="0">
      <alignment horizontal="left" vertical="center" wrapText="1"/>
    </xf>
    <xf numFmtId="0" fontId="7" fillId="3" borderId="0" applyAlignment="1" pivotButton="0" quotePrefix="0" xfId="0">
      <alignment horizontal="right" vertical="center" wrapText="1"/>
    </xf>
    <xf numFmtId="9" fontId="7" fillId="3" borderId="0" applyAlignment="1" pivotButton="0" quotePrefix="0" xfId="0">
      <alignment horizontal="right" vertical="center"/>
    </xf>
    <xf numFmtId="0" fontId="17" fillId="2" borderId="2" applyAlignment="1" pivotButton="0" quotePrefix="0" xfId="2">
      <alignment horizontal="center" vertical="center"/>
    </xf>
    <xf numFmtId="0" fontId="22" fillId="2" borderId="2" applyAlignment="1" pivotButton="0" quotePrefix="0" xfId="0">
      <alignment horizontal="center" vertical="center"/>
    </xf>
    <xf numFmtId="0" fontId="2" fillId="2" borderId="3" applyAlignment="1" pivotButton="0" quotePrefix="0" xfId="0">
      <alignment horizontal="center"/>
    </xf>
    <xf numFmtId="0" fontId="19" fillId="5" borderId="2" applyAlignment="1" pivotButton="0" quotePrefix="0" xfId="0">
      <alignment horizontal="center" vertical="center" wrapText="1"/>
    </xf>
    <xf numFmtId="0" fontId="19" fillId="0" borderId="4" applyAlignment="1" pivotButton="0" quotePrefix="0" xfId="0">
      <alignment horizontal="left" vertical="center"/>
    </xf>
    <xf numFmtId="0" fontId="19" fillId="0" borderId="5" applyAlignment="1" pivotButton="0" quotePrefix="0" xfId="0">
      <alignment horizontal="left" vertical="center"/>
    </xf>
    <xf numFmtId="0" fontId="19" fillId="0" borderId="6" applyAlignment="1" pivotButton="0" quotePrefix="0" xfId="0">
      <alignment horizontal="left" vertical="center"/>
    </xf>
    <xf numFmtId="0" fontId="22" fillId="2" borderId="4" applyAlignment="1" pivotButton="0" quotePrefix="0" xfId="0">
      <alignment horizontal="center" vertical="center"/>
    </xf>
    <xf numFmtId="0" fontId="22" fillId="2" borderId="6" applyAlignment="1" pivotButton="0" quotePrefix="0" xfId="0">
      <alignment horizontal="center" vertical="center"/>
    </xf>
    <xf numFmtId="0" fontId="2" fillId="2" borderId="0" applyAlignment="1" pivotButton="0" quotePrefix="0" xfId="0">
      <alignment horizontal="center"/>
    </xf>
    <xf numFmtId="0" fontId="19" fillId="5" borderId="4" applyAlignment="1" pivotButton="0" quotePrefix="0" xfId="0">
      <alignment horizontal="center" vertical="center"/>
    </xf>
    <xf numFmtId="0" fontId="19" fillId="5" borderId="5" applyAlignment="1" pivotButton="0" quotePrefix="0" xfId="0">
      <alignment horizontal="center" vertical="center"/>
    </xf>
    <xf numFmtId="0" fontId="19" fillId="5" borderId="6" applyAlignment="1" pivotButton="0" quotePrefix="0" xfId="0">
      <alignment horizontal="center" vertical="center"/>
    </xf>
    <xf numFmtId="0" fontId="20" fillId="2" borderId="2" applyAlignment="1" pivotButton="0" quotePrefix="0" xfId="0">
      <alignment horizontal="center" vertical="center"/>
    </xf>
    <xf numFmtId="0" fontId="7" fillId="3" borderId="0" applyAlignment="1" pivotButton="0" quotePrefix="0" xfId="0">
      <alignment horizontal="center" vertical="center"/>
    </xf>
    <xf numFmtId="49" fontId="22" fillId="2" borderId="2" applyAlignment="1" pivotButton="0" quotePrefix="0" xfId="0">
      <alignment horizontal="center" vertical="center"/>
    </xf>
    <xf numFmtId="0" fontId="19" fillId="0" borderId="19" applyAlignment="1" pivotButton="0" quotePrefix="0" xfId="0">
      <alignment horizontal="left" vertical="center" wrapText="1"/>
    </xf>
    <xf numFmtId="165" fontId="22" fillId="0" borderId="19" applyAlignment="1" pivotButton="0" quotePrefix="0" xfId="0">
      <alignment horizontal="center" vertical="center"/>
    </xf>
    <xf numFmtId="171" fontId="23" fillId="0" borderId="19" applyAlignment="1" pivotButton="0" quotePrefix="0" xfId="0">
      <alignment horizontal="center" vertical="center" wrapText="1"/>
    </xf>
    <xf numFmtId="0" fontId="19" fillId="0" borderId="20" applyAlignment="1" pivotButton="0" quotePrefix="0" xfId="0">
      <alignment horizontal="left" vertical="center" wrapText="1"/>
    </xf>
    <xf numFmtId="0" fontId="19" fillId="0" borderId="21" applyAlignment="1" pivotButton="0" quotePrefix="0" xfId="0">
      <alignment horizontal="left" vertical="center" wrapText="1"/>
    </xf>
    <xf numFmtId="0" fontId="19" fillId="0" borderId="22" applyAlignment="1" pivotButton="0" quotePrefix="0" xfId="0">
      <alignment horizontal="left" vertical="center" wrapText="1"/>
    </xf>
    <xf numFmtId="0" fontId="22" fillId="0" borderId="19" applyAlignment="1" pivotButton="0" quotePrefix="0" xfId="0">
      <alignment horizontal="left" vertical="center" wrapText="1"/>
    </xf>
    <xf numFmtId="0" fontId="19" fillId="5" borderId="19" applyAlignment="1" pivotButton="0" quotePrefix="0" xfId="0">
      <alignment horizontal="center" vertical="center" wrapText="1"/>
    </xf>
    <xf numFmtId="0" fontId="22" fillId="0" borderId="20" applyAlignment="1" pivotButton="0" quotePrefix="0" xfId="0">
      <alignment horizontal="left" vertical="center" wrapText="1"/>
    </xf>
    <xf numFmtId="0" fontId="22" fillId="0" borderId="21" applyAlignment="1" pivotButton="0" quotePrefix="0" xfId="0">
      <alignment horizontal="left" vertical="center" wrapText="1"/>
    </xf>
    <xf numFmtId="0" fontId="22" fillId="0" borderId="22" applyAlignment="1" pivotButton="0" quotePrefix="0" xfId="0">
      <alignment horizontal="left" vertical="center" wrapText="1"/>
    </xf>
    <xf numFmtId="0" fontId="48" fillId="0" borderId="20" applyAlignment="1" pivotButton="0" quotePrefix="0" xfId="0">
      <alignment horizontal="left" vertical="center" wrapText="1"/>
    </xf>
    <xf numFmtId="0" fontId="48" fillId="0" borderId="21" applyAlignment="1" pivotButton="0" quotePrefix="0" xfId="0">
      <alignment horizontal="left" vertical="center" wrapText="1"/>
    </xf>
    <xf numFmtId="0" fontId="48" fillId="0" borderId="22" applyAlignment="1" pivotButton="0" quotePrefix="0" xfId="0">
      <alignment horizontal="left" vertical="center" wrapText="1"/>
    </xf>
    <xf numFmtId="0" fontId="28" fillId="2" borderId="23" applyAlignment="1" pivotButton="0" quotePrefix="0" xfId="0">
      <alignment horizontal="center" vertical="center" wrapText="1"/>
    </xf>
    <xf numFmtId="0" fontId="44" fillId="2" borderId="0" applyAlignment="1" pivotButton="0" quotePrefix="0" xfId="0">
      <alignment horizontal="center" vertical="center" wrapText="1"/>
    </xf>
    <xf numFmtId="0" fontId="44" fillId="2" borderId="10" applyAlignment="1" pivotButton="0" quotePrefix="0" xfId="0">
      <alignment horizontal="center" vertical="center" wrapText="1"/>
    </xf>
    <xf numFmtId="0" fontId="19" fillId="0" borderId="26" applyAlignment="1" pivotButton="0" quotePrefix="0" xfId="0">
      <alignment horizontal="left" vertical="center" wrapText="1"/>
    </xf>
    <xf numFmtId="0" fontId="19" fillId="0" borderId="27" applyAlignment="1" pivotButton="0" quotePrefix="0" xfId="0">
      <alignment horizontal="left" vertical="center" wrapText="1"/>
    </xf>
    <xf numFmtId="0" fontId="19" fillId="0" borderId="28" applyAlignment="1" pivotButton="0" quotePrefix="0" xfId="0">
      <alignment horizontal="left" vertical="center" wrapText="1"/>
    </xf>
    <xf numFmtId="0" fontId="2" fillId="3" borderId="0" applyAlignment="1" pivotButton="0" quotePrefix="0" xfId="0">
      <alignment vertical="center"/>
    </xf>
    <xf numFmtId="0" fontId="2" fillId="3" borderId="29" applyAlignment="1" pivotButton="0" quotePrefix="0" xfId="0">
      <alignment vertical="center"/>
    </xf>
    <xf numFmtId="0" fontId="19" fillId="0" borderId="30" applyAlignment="1" pivotButton="0" quotePrefix="0" xfId="0">
      <alignment horizontal="left" vertical="center" wrapText="1"/>
    </xf>
    <xf numFmtId="0" fontId="19" fillId="0" borderId="31" applyAlignment="1" pivotButton="0" quotePrefix="0" xfId="0">
      <alignment horizontal="left" vertical="center" wrapText="1"/>
    </xf>
    <xf numFmtId="0" fontId="19" fillId="0" borderId="25" applyAlignment="1" pivotButton="0" quotePrefix="0" xfId="0">
      <alignment horizontal="left" vertical="center" wrapText="1"/>
    </xf>
    <xf numFmtId="0" fontId="2" fillId="3" borderId="20" applyAlignment="1" pivotButton="0" quotePrefix="0" xfId="0">
      <alignment vertical="center"/>
    </xf>
    <xf numFmtId="0" fontId="19" fillId="5" borderId="2" applyAlignment="1" pivotButton="0" quotePrefix="0" xfId="0">
      <alignment horizontal="center" vertical="center"/>
    </xf>
    <xf numFmtId="0" fontId="0" fillId="0" borderId="5" pivotButton="0" quotePrefix="0" xfId="0"/>
    <xf numFmtId="0" fontId="0" fillId="0" borderId="6" pivotButton="0" quotePrefix="0" xfId="0"/>
    <xf numFmtId="170" fontId="20" fillId="2" borderId="6" applyAlignment="1" pivotButton="0" quotePrefix="0" xfId="0">
      <alignment horizontal="left" vertical="center"/>
    </xf>
    <xf numFmtId="0" fontId="0" fillId="0" borderId="21" pivotButton="0" quotePrefix="0" xfId="0"/>
    <xf numFmtId="0" fontId="0" fillId="0" borderId="22" pivotButton="0" quotePrefix="0" xfId="0"/>
    <xf numFmtId="171" fontId="23" fillId="0" borderId="19" applyAlignment="1" pivotButton="0" quotePrefix="0" xfId="0">
      <alignment vertical="center" wrapText="1"/>
    </xf>
    <xf numFmtId="169" fontId="30" fillId="2" borderId="1" applyAlignment="1" pivotButton="0" quotePrefix="0" xfId="0">
      <alignment vertical="center"/>
    </xf>
    <xf numFmtId="166" fontId="32" fillId="2" borderId="1" applyAlignment="1" pivotButton="0" quotePrefix="0" xfId="0">
      <alignment vertical="center"/>
    </xf>
    <xf numFmtId="166" fontId="2" fillId="3" borderId="0" applyAlignment="1" pivotButton="0" quotePrefix="0" xfId="0">
      <alignment vertical="center"/>
    </xf>
    <xf numFmtId="0" fontId="48" fillId="0" borderId="19" applyAlignment="1" pivotButton="0" quotePrefix="0" xfId="0">
      <alignment horizontal="left" vertical="center" wrapText="1"/>
    </xf>
    <xf numFmtId="168" fontId="2" fillId="3" borderId="0" applyAlignment="1" pivotButton="0" quotePrefix="0" xfId="0">
      <alignment vertical="center"/>
    </xf>
    <xf numFmtId="0" fontId="19" fillId="0" borderId="39" applyAlignment="1" pivotButton="0" quotePrefix="0" xfId="0">
      <alignment horizontal="left" vertical="center" wrapText="1"/>
    </xf>
    <xf numFmtId="0" fontId="0" fillId="0" borderId="31" pivotButton="0" quotePrefix="0" xfId="0"/>
    <xf numFmtId="0" fontId="0" fillId="0" borderId="25" pivotButton="0" quotePrefix="0" xfId="0"/>
    <xf numFmtId="0" fontId="19" fillId="0" borderId="38" applyAlignment="1" pivotButton="0" quotePrefix="0" xfId="0">
      <alignment horizontal="left" vertical="center" wrapText="1"/>
    </xf>
    <xf numFmtId="0" fontId="0" fillId="0" borderId="27" pivotButton="0" quotePrefix="0" xfId="0"/>
    <xf numFmtId="0" fontId="0" fillId="0" borderId="28" pivotButton="0" quotePrefix="0" xfId="0"/>
    <xf numFmtId="171" fontId="23" fillId="0" borderId="19" applyAlignment="1" pivotButton="0" quotePrefix="0" xfId="0">
      <alignment horizontal="center" vertical="center" wrapText="1"/>
    </xf>
    <xf numFmtId="166" fontId="33" fillId="3" borderId="0" applyAlignment="1" pivotButton="0" quotePrefix="0" xfId="0">
      <alignment vertical="center"/>
    </xf>
    <xf numFmtId="0" fontId="0" fillId="0" borderId="38" pivotButton="0" quotePrefix="0" xfId="0"/>
    <xf numFmtId="164" fontId="8" fillId="2" borderId="0" applyAlignment="1" pivotButton="0" quotePrefix="0" xfId="0">
      <alignment horizontal="right" vertical="center"/>
    </xf>
    <xf numFmtId="171" fontId="24" fillId="5" borderId="19" applyAlignment="1" pivotButton="0" quotePrefix="0" xfId="0">
      <alignment horizontal="right" vertical="center" wrapText="1"/>
    </xf>
    <xf numFmtId="0" fontId="0" fillId="0" borderId="23" pivotButton="0" quotePrefix="0" xfId="0"/>
    <xf numFmtId="169" fontId="46" fillId="5" borderId="19" applyAlignment="1" pivotButton="0" quotePrefix="0" xfId="0">
      <alignment horizontal="right" vertical="center" wrapText="1"/>
    </xf>
    <xf numFmtId="164" fontId="6" fillId="2" borderId="0" pivotButton="0" quotePrefix="0" xfId="0"/>
    <xf numFmtId="167" fontId="2" fillId="3" borderId="0" applyAlignment="1" pivotButton="0" quotePrefix="0" xfId="0">
      <alignment horizontal="center"/>
    </xf>
    <xf numFmtId="0" fontId="0" fillId="0" borderId="10" pivotButton="0" quotePrefix="0" xfId="0"/>
    <xf numFmtId="0" fontId="19" fillId="2" borderId="2" applyAlignment="1" pivotButton="0" quotePrefix="0" xfId="0">
      <alignment horizontal="left" vertical="center" wrapText="1"/>
    </xf>
    <xf numFmtId="0" fontId="20" fillId="2" borderId="2" applyAlignment="1" pivotButton="0" quotePrefix="0" xfId="0">
      <alignment horizontal="left" vertical="center" wrapText="1"/>
    </xf>
    <xf numFmtId="0" fontId="22" fillId="2" borderId="2" applyAlignment="1" pivotButton="0" quotePrefix="0" xfId="0">
      <alignment horizontal="left" vertical="center" wrapText="1"/>
    </xf>
    <xf numFmtId="0" fontId="16" fillId="0" borderId="33" applyAlignment="1" pivotButton="0" quotePrefix="0" xfId="0">
      <alignment horizontal="center"/>
    </xf>
  </cellXfs>
  <cellStyles count="3">
    <cellStyle name="Normal" xfId="0" builtinId="0"/>
    <cellStyle name="Millares" xfId="1" builtinId="3"/>
    <cellStyle name="Hipervínculo" xfId="2" builtinId="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jpe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142876</colOff>
      <row>1</row>
      <rowOff>59531</rowOff>
    </from>
    <to>
      <col>3</col>
      <colOff>720991</colOff>
      <row>4</row>
      <rowOff>248217</rowOff>
    </to>
    <pic>
      <nvPicPr>
        <cNvPr id="2" name="Imagen 1"/>
        <cNvPicPr>
          <a:picLocks noChangeAspect="1"/>
        </cNvPicPr>
      </nvPicPr>
      <blipFill>
        <a:blip cstate="print" r:embed="rId1"/>
        <a:stretch>
          <a:fillRect/>
        </a:stretch>
      </blipFill>
      <spPr>
        <a:xfrm>
          <a:off x="428626" y="269081"/>
          <a:ext cx="1825890" cy="1236436"/>
        </a:xfrm>
        <a:prstGeom prst="rect">
          <avLst/>
        </a:prstGeom>
        <a:ln>
          <a:prstDash val="solid"/>
        </a:ln>
      </spPr>
    </pic>
    <clientData/>
  </twoCellAnchor>
  <twoCellAnchor editAs="oneCell">
    <from>
      <col>1</col>
      <colOff>9008</colOff>
      <row>26</row>
      <rowOff>24929</rowOff>
    </from>
    <to>
      <col>3</col>
      <colOff>676469</colOff>
      <row>35</row>
      <rowOff>179207</rowOff>
    </to>
    <pic>
      <nvPicPr>
        <cNvPr id="5" name="Imagen 4"/>
        <cNvPicPr>
          <a:picLocks noChangeAspect="1" noChangeArrowheads="1"/>
        </cNvPicPr>
      </nvPicPr>
      <blipFill>
        <a:blip cstate="print" r:embed="rId2"/>
        <a:srcRect/>
        <a:stretch>
          <a:fillRect/>
        </a:stretch>
      </blipFill>
      <spPr bwMode="auto">
        <a:xfrm>
          <a:off x="304477" y="6595235"/>
          <a:ext cx="1950421" cy="1950421"/>
        </a:xfrm>
        <a:prstGeom prst="rect">
          <avLst/>
        </a:prstGeom>
        <a:noFill/>
        <a:ln>
          <a:prstDash val="solid"/>
        </a:ln>
      </spPr>
    </pic>
    <clientData/>
  </twoCellAnchor>
  <twoCellAnchor editAs="oneCell">
    <from>
      <col>2</col>
      <colOff>92918</colOff>
      <row>39</row>
      <rowOff>50929</rowOff>
    </from>
    <to>
      <col>6</col>
      <colOff>991764</colOff>
      <row>41</row>
      <rowOff>796990</rowOff>
    </to>
    <pic>
      <nvPicPr>
        <cNvPr id="4" name="Imagen 3"/>
        <cNvPicPr>
          <a:picLocks noChangeAspect="1"/>
        </cNvPicPr>
      </nvPicPr>
      <blipFill>
        <a:blip r:embed="rId3"/>
        <a:srcRect/>
        <a:stretch>
          <a:fillRect/>
        </a:stretch>
      </blipFill>
      <spPr>
        <a:xfrm>
          <a:off x="1523612" y="11325419"/>
          <a:ext cx="7274764" cy="2207857"/>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AH85"/>
  <sheetViews>
    <sheetView showGridLines="0" tabSelected="1" showRuler="0" topLeftCell="A3" zoomScale="98" zoomScaleNormal="98" zoomScaleSheetLayoutView="100" zoomScalePageLayoutView="40" workbookViewId="0">
      <selection activeCell="A37" sqref="A37"/>
    </sheetView>
  </sheetViews>
  <sheetFormatPr baseColWidth="10" defaultColWidth="11.44140625" defaultRowHeight="13.8"/>
  <cols>
    <col width="4.33203125" customWidth="1" style="7" min="1" max="1"/>
    <col width="16.5546875" customWidth="1" style="7" min="2" max="2"/>
    <col width="2.109375" customWidth="1" style="7" min="3" max="3"/>
    <col width="56.109375" customWidth="1" style="7" min="4" max="4"/>
    <col width="22.6640625" customWidth="1" style="7" min="5" max="5"/>
    <col width="12" bestFit="1" customWidth="1" style="7" min="6" max="6"/>
    <col width="21.33203125" bestFit="1" customWidth="1" style="7" min="7" max="7"/>
    <col width="17.33203125" bestFit="1" customWidth="1" style="7" min="8" max="8"/>
    <col width="3.44140625" customWidth="1" style="20" min="9" max="9"/>
    <col width="3.44140625" customWidth="1" style="38" min="10" max="10"/>
    <col width="3.44140625" customWidth="1" style="7" min="11" max="11"/>
    <col width="17.109375" customWidth="1" style="7" min="12" max="12"/>
    <col width="10.5546875" customWidth="1" style="7" min="13" max="14"/>
    <col width="11.109375" customWidth="1" style="7" min="15" max="15"/>
    <col width="6.109375" customWidth="1" style="7" min="16" max="16"/>
    <col width="11.44140625" customWidth="1" style="7" min="17" max="20"/>
    <col width="13.6640625" customWidth="1" style="7" min="21" max="21"/>
    <col width="10" customWidth="1" style="7" min="22" max="24"/>
    <col width="11.44140625" customWidth="1" style="7" min="25" max="16384"/>
  </cols>
  <sheetData>
    <row r="1" customFormat="1" s="2">
      <c r="B1" s="173" t="n"/>
      <c r="I1" s="20" t="n"/>
      <c r="J1" s="38" t="n"/>
    </row>
    <row r="2" ht="28.5" customFormat="1" customHeight="1" s="2">
      <c r="F2" s="3" t="n"/>
      <c r="G2" s="3" t="n"/>
      <c r="H2" s="3" t="n"/>
      <c r="I2" s="26" t="n"/>
      <c r="J2" s="39" t="n"/>
      <c r="K2" s="3" t="n"/>
      <c r="L2" s="3" t="n"/>
      <c r="M2" s="3" t="n"/>
      <c r="N2" s="3" t="n"/>
      <c r="O2" s="3" t="n"/>
      <c r="P2" s="3" t="n"/>
    </row>
    <row r="3" ht="28.5" customFormat="1" customHeight="1" s="2">
      <c r="F3" s="3" t="n"/>
      <c r="G3" s="3" t="n"/>
      <c r="H3" s="3" t="n"/>
      <c r="I3" s="26" t="n"/>
      <c r="J3" s="39" t="n"/>
      <c r="K3" s="3" t="n"/>
      <c r="L3" s="123" t="n"/>
      <c r="M3" s="3" t="n"/>
      <c r="N3" s="3" t="n"/>
      <c r="O3" s="3" t="n"/>
      <c r="P3" s="3" t="n"/>
    </row>
    <row r="4" ht="24" customFormat="1" customHeight="1" s="2">
      <c r="F4" s="4" t="n"/>
      <c r="H4" s="144" t="n"/>
      <c r="I4" s="27" t="n"/>
      <c r="J4" s="40" t="n"/>
      <c r="K4" s="5" t="n"/>
      <c r="L4" s="123" t="n"/>
      <c r="M4" s="4" t="n"/>
      <c r="N4" s="4" t="n"/>
      <c r="O4" s="4" t="n"/>
      <c r="P4" s="4" t="n"/>
    </row>
    <row r="5" ht="24" customFormat="1" customHeight="1" s="2">
      <c r="F5" s="4" t="n"/>
      <c r="G5" s="126" t="n"/>
      <c r="H5" s="126" t="n"/>
      <c r="I5" s="28" t="n"/>
      <c r="J5" s="41" t="n"/>
      <c r="K5" s="6" t="n"/>
      <c r="L5" s="84" t="n"/>
      <c r="M5" s="4" t="n"/>
      <c r="O5" s="4" t="n"/>
      <c r="P5" s="4" t="n"/>
    </row>
    <row r="6" ht="17.25" customHeight="1">
      <c r="B6" s="2" t="n"/>
      <c r="C6" s="2" t="n"/>
      <c r="D6" s="2" t="n"/>
      <c r="E6" s="2" t="n"/>
      <c r="F6" s="4" t="n"/>
      <c r="G6" s="2" t="n"/>
      <c r="H6" s="6" t="n"/>
      <c r="I6" s="29" t="n"/>
      <c r="J6" s="42" t="n"/>
      <c r="K6" s="6" t="n"/>
      <c r="L6" s="123" t="n"/>
      <c r="M6" s="4" t="n"/>
    </row>
    <row r="7" ht="21" customFormat="1" customHeight="1" s="200">
      <c r="B7" s="59" t="inlineStr">
        <is>
          <t xml:space="preserve"> CLIENTE</t>
        </is>
      </c>
      <c r="C7" s="168" t="n"/>
      <c r="D7" s="107" t="n"/>
      <c r="E7" s="51" t="n"/>
      <c r="F7" s="206" t="inlineStr">
        <is>
          <t>OTROS DATOS DEL CLIENTE</t>
        </is>
      </c>
      <c r="G7" s="207" t="n"/>
      <c r="H7" s="208" t="n"/>
      <c r="I7" s="52" t="n"/>
      <c r="J7" s="53" t="n"/>
      <c r="K7" s="51" t="n"/>
      <c r="L7" s="124" t="n"/>
      <c r="M7" s="51" t="n"/>
    </row>
    <row r="8" ht="21" customFormat="1" customHeight="1" s="200">
      <c r="B8" s="59" t="inlineStr">
        <is>
          <t xml:space="preserve"> EQ. / MARCA</t>
        </is>
      </c>
      <c r="C8" s="168" t="n"/>
      <c r="D8" s="143" t="n"/>
      <c r="E8" s="51" t="n"/>
      <c r="F8" s="59" t="inlineStr">
        <is>
          <t xml:space="preserve"> Nombre</t>
        </is>
      </c>
      <c r="G8" s="177" t="n"/>
      <c r="H8" s="208" t="n"/>
      <c r="I8" s="52" t="n"/>
      <c r="J8" s="53" t="n"/>
      <c r="K8" s="51" t="n"/>
      <c r="L8" s="51" t="n"/>
      <c r="M8" s="51" t="n"/>
    </row>
    <row r="9" ht="21" customFormat="1" customHeight="1" s="200">
      <c r="B9" s="59" t="inlineStr">
        <is>
          <t>SERVICIO</t>
        </is>
      </c>
      <c r="C9" s="168" t="n"/>
      <c r="D9" s="107" t="n"/>
      <c r="E9" s="51" t="n"/>
      <c r="F9" s="59" t="inlineStr">
        <is>
          <t xml:space="preserve"> Puesto</t>
        </is>
      </c>
      <c r="G9" s="177" t="n"/>
      <c r="H9" s="208" t="n"/>
      <c r="I9" s="52" t="n"/>
      <c r="J9" s="53" t="n"/>
      <c r="K9" s="51" t="n"/>
      <c r="M9" s="77" t="n"/>
      <c r="U9" s="178" t="inlineStr">
        <is>
          <t>DETALLE DE PROMOCIÓN TAPAS IPHONE</t>
        </is>
      </c>
    </row>
    <row r="10" ht="21" customFormat="1" customHeight="1" s="200">
      <c r="B10" s="59" t="inlineStr">
        <is>
          <t xml:space="preserve"> TIPO TRAB.</t>
        </is>
      </c>
      <c r="C10" s="168" t="n"/>
      <c r="D10" s="107" t="n"/>
      <c r="E10" s="51" t="n"/>
      <c r="F10" s="59" t="inlineStr">
        <is>
          <t xml:space="preserve"> Teléfono</t>
        </is>
      </c>
      <c r="G10" s="179" t="n"/>
      <c r="H10" s="208" t="n"/>
      <c r="I10" s="52" t="n"/>
      <c r="J10" s="53" t="n"/>
      <c r="K10" s="51" t="n"/>
      <c r="L10" s="51" t="n"/>
      <c r="M10" s="51" t="n"/>
    </row>
    <row r="11" ht="21" customFormat="1" customHeight="1" s="200">
      <c r="B11" s="59" t="inlineStr">
        <is>
          <t xml:space="preserve"> PERIODO</t>
        </is>
      </c>
      <c r="C11" s="168" t="n"/>
      <c r="D11" s="106" t="n"/>
      <c r="E11" s="51" t="n"/>
      <c r="F11" s="59" t="inlineStr">
        <is>
          <t xml:space="preserve"> Email</t>
        </is>
      </c>
      <c r="G11" s="164" t="n"/>
      <c r="H11" s="208" t="n"/>
      <c r="I11" s="52" t="n"/>
      <c r="J11" s="53" t="n"/>
      <c r="K11" s="51" t="n"/>
      <c r="L11" s="125" t="n"/>
      <c r="M11" s="51" t="n"/>
      <c r="U11" s="161" t="inlineStr">
        <is>
          <t>TAPA TRASERA</t>
        </is>
      </c>
      <c r="V11" s="162" t="inlineStr">
        <is>
          <t>Precio regular</t>
        </is>
      </c>
      <c r="W11" s="163" t="n">
        <v>0.3</v>
      </c>
      <c r="X11" s="162" t="inlineStr">
        <is>
          <t>Precio promo</t>
        </is>
      </c>
    </row>
    <row r="12" ht="21" customFormat="1" customHeight="1" s="200">
      <c r="B12" s="59" t="inlineStr">
        <is>
          <t xml:space="preserve"> FECHA</t>
        </is>
      </c>
      <c r="C12" s="168" t="n"/>
      <c r="D12" s="209">
        <f>TODAY()</f>
        <v/>
      </c>
      <c r="E12" s="51" t="n"/>
      <c r="F12" s="59" t="inlineStr">
        <is>
          <t xml:space="preserve"> No. RUC</t>
        </is>
      </c>
      <c r="G12" s="165" t="n"/>
      <c r="H12" s="208" t="n"/>
      <c r="I12" s="52" t="n"/>
      <c r="J12" s="53" t="n"/>
      <c r="K12" s="51" t="n"/>
      <c r="L12" s="51" t="n"/>
      <c r="M12" s="51" t="n"/>
      <c r="N12" s="51" t="n"/>
      <c r="O12" s="51" t="n"/>
    </row>
    <row r="13" ht="17.25" customHeight="1">
      <c r="B13" s="2" t="n"/>
      <c r="C13" s="2" t="n"/>
      <c r="D13" s="2" t="n"/>
      <c r="E13" s="2" t="n"/>
      <c r="F13" s="8" t="n"/>
      <c r="G13" s="1" t="n"/>
      <c r="H13" s="1" t="n"/>
      <c r="I13" s="30" t="n"/>
      <c r="J13" s="43" t="n"/>
      <c r="K13" s="1" t="n"/>
      <c r="L13" s="1" t="n"/>
      <c r="N13" s="1" t="n"/>
      <c r="O13" s="2" t="n"/>
      <c r="U13" s="78" t="inlineStr">
        <is>
          <t>8, 8+</t>
        </is>
      </c>
      <c r="V13" s="79" t="n">
        <v>80</v>
      </c>
      <c r="W13" s="79">
        <f>+V13*$W$11</f>
        <v/>
      </c>
      <c r="X13" s="79">
        <f>+V13-W13</f>
        <v/>
      </c>
    </row>
    <row r="14" ht="17.25" customHeight="1">
      <c r="B14" s="173" t="n"/>
      <c r="F14" s="8" t="n"/>
      <c r="G14" s="2" t="n"/>
      <c r="H14" s="2" t="n"/>
      <c r="K14" s="2" t="n"/>
      <c r="L14" s="93" t="n"/>
      <c r="M14" s="94" t="n">
        <v>35.35</v>
      </c>
      <c r="N14" s="95" t="n"/>
      <c r="O14" s="93" t="n"/>
      <c r="P14" s="9" t="n"/>
      <c r="U14" s="80" t="inlineStr">
        <is>
          <t>X, XR</t>
        </is>
      </c>
      <c r="V14" s="81" t="n">
        <v>105</v>
      </c>
      <c r="W14" s="81">
        <f>+V14*$W$11</f>
        <v/>
      </c>
      <c r="X14" s="81">
        <f>+V14-W14</f>
        <v/>
      </c>
    </row>
    <row r="15" ht="17.25" customHeight="1">
      <c r="B15" s="187" t="inlineStr">
        <is>
          <t>DESCRIPCION</t>
        </is>
      </c>
      <c r="C15" s="210" t="n"/>
      <c r="D15" s="210" t="n"/>
      <c r="E15" s="211" t="n"/>
      <c r="F15" s="128" t="inlineStr">
        <is>
          <t>Cantidad</t>
        </is>
      </c>
      <c r="G15" s="187" t="inlineStr">
        <is>
          <t>Costo Und</t>
        </is>
      </c>
      <c r="H15" s="187" t="inlineStr">
        <is>
          <t>Costo Total</t>
        </is>
      </c>
      <c r="I15" s="31" t="n"/>
      <c r="J15" s="23" t="n"/>
      <c r="K15" s="17" t="n"/>
      <c r="L15" s="94" t="inlineStr">
        <is>
          <t>PROVEEDOR</t>
        </is>
      </c>
      <c r="M15" s="94" t="inlineStr">
        <is>
          <t>C/U</t>
        </is>
      </c>
      <c r="N15" s="94" t="inlineStr">
        <is>
          <t>C/T</t>
        </is>
      </c>
      <c r="O15" s="94" t="inlineStr">
        <is>
          <t>UTILIDAD</t>
        </is>
      </c>
      <c r="P15" s="18" t="n"/>
      <c r="U15" s="80" t="inlineStr">
        <is>
          <t>XS, XS Max</t>
        </is>
      </c>
      <c r="V15" s="81" t="n">
        <v>120</v>
      </c>
      <c r="W15" s="81">
        <f>+V15*$W$11</f>
        <v/>
      </c>
      <c r="X15" s="81">
        <f>+V15-W15</f>
        <v/>
      </c>
    </row>
    <row r="16" ht="18.6" customFormat="1" customHeight="1" s="200">
      <c r="B16" s="186" t="n"/>
      <c r="C16" s="210" t="n"/>
      <c r="D16" s="210" t="n"/>
      <c r="E16" s="211" t="n"/>
      <c r="F16" s="130" t="n"/>
      <c r="G16" s="212" t="n"/>
      <c r="H16" s="212" t="n"/>
      <c r="I16" s="24" t="n"/>
      <c r="J16" s="49" t="n"/>
      <c r="K16" s="55" t="n"/>
      <c r="L16" s="213" t="n"/>
      <c r="M16" s="214" t="n"/>
      <c r="N16" s="214" t="n"/>
      <c r="O16" s="214" t="n"/>
      <c r="P16" s="215" t="n"/>
      <c r="U16" s="82" t="n">
        <v>11</v>
      </c>
      <c r="V16" s="83" t="n">
        <v>130</v>
      </c>
      <c r="W16" s="81">
        <f>+V16*$W$11</f>
        <v/>
      </c>
      <c r="X16" s="81">
        <f>+V16-W16</f>
        <v/>
      </c>
    </row>
    <row r="17" ht="19.2" customFormat="1" customHeight="1" s="200">
      <c r="B17" s="216" t="n"/>
      <c r="C17" s="210" t="n"/>
      <c r="D17" s="210" t="n"/>
      <c r="E17" s="211" t="n"/>
      <c r="F17" s="130" t="n"/>
      <c r="G17" s="212" t="n"/>
      <c r="H17" s="212" t="n"/>
      <c r="I17" s="24" t="n"/>
      <c r="J17" s="49" t="n"/>
      <c r="K17" s="55" t="n"/>
      <c r="L17" s="213" t="n"/>
      <c r="M17" s="214" t="n"/>
      <c r="N17" s="214" t="n"/>
      <c r="O17" s="214" t="n"/>
      <c r="P17" s="215" t="n"/>
      <c r="Q17" s="217" t="n"/>
      <c r="U17" s="82" t="inlineStr">
        <is>
          <t>11 Pro Max</t>
        </is>
      </c>
      <c r="V17" s="83" t="n">
        <v>150</v>
      </c>
      <c r="W17" s="81">
        <f>+V17*$W$11</f>
        <v/>
      </c>
      <c r="X17" s="81">
        <f>+V17-W17</f>
        <v/>
      </c>
    </row>
    <row r="18" ht="19.2" customFormat="1" customHeight="1" s="200">
      <c r="B18" s="186" t="n"/>
      <c r="C18" s="210" t="n"/>
      <c r="D18" s="210" t="n"/>
      <c r="E18" s="211" t="n"/>
      <c r="F18" s="130" t="n"/>
      <c r="G18" s="212" t="n"/>
      <c r="H18" s="212" t="n"/>
      <c r="I18" s="24" t="n"/>
      <c r="J18" s="49" t="n"/>
      <c r="K18" s="55" t="n"/>
      <c r="L18" s="213" t="n"/>
      <c r="M18" s="214" t="n"/>
      <c r="N18" s="214" t="n"/>
      <c r="O18" s="214" t="n"/>
      <c r="P18" s="215" t="n"/>
    </row>
    <row r="19" ht="19.2" customFormat="1" customHeight="1" s="200">
      <c r="B19" s="205" t="n"/>
      <c r="C19" s="200" t="n"/>
      <c r="D19" s="200" t="n"/>
      <c r="E19" s="201" t="n"/>
      <c r="F19" s="130" t="n"/>
      <c r="G19" s="212" t="n"/>
      <c r="H19" s="212" t="n"/>
      <c r="I19" s="24" t="n"/>
      <c r="J19" s="49" t="n"/>
      <c r="K19" s="55" t="n"/>
      <c r="L19" s="213" t="n"/>
      <c r="M19" s="214" t="n"/>
      <c r="N19" s="214" t="n"/>
      <c r="O19" s="214" t="n"/>
      <c r="P19" s="215" t="n"/>
      <c r="U19" s="161" t="inlineStr">
        <is>
          <t>VIDRIO DE CÁMARA</t>
        </is>
      </c>
      <c r="V19" s="162" t="inlineStr">
        <is>
          <t>Precio regular</t>
        </is>
      </c>
      <c r="W19" s="163" t="n">
        <v>0.3</v>
      </c>
      <c r="X19" s="162" t="inlineStr">
        <is>
          <t>Precio promo</t>
        </is>
      </c>
      <c r="Z19" s="200">
        <f>4085/35</f>
        <v/>
      </c>
    </row>
    <row r="20" ht="19.2" customFormat="1" customHeight="1" s="200">
      <c r="B20" s="216" t="n"/>
      <c r="C20" s="210" t="n"/>
      <c r="D20" s="210" t="n"/>
      <c r="E20" s="211" t="n"/>
      <c r="F20" s="130" t="n"/>
      <c r="G20" s="212" t="n"/>
      <c r="H20" s="212" t="n"/>
      <c r="I20" s="24" t="n"/>
      <c r="J20" s="49" t="n"/>
      <c r="K20" s="55" t="n"/>
      <c r="L20" s="213" t="n"/>
      <c r="M20" s="214" t="n"/>
      <c r="N20" s="214" t="n"/>
      <c r="O20" s="214" t="n"/>
      <c r="P20" s="215" t="n"/>
      <c r="Z20" s="200">
        <f>+Z19+95</f>
        <v/>
      </c>
    </row>
    <row r="21" ht="19.2" customFormat="1" customHeight="1" s="200">
      <c r="B21" s="218" t="n"/>
      <c r="C21" s="219" t="n"/>
      <c r="D21" s="219" t="n"/>
      <c r="E21" s="220" t="n"/>
      <c r="F21" s="130" t="n"/>
      <c r="G21" s="212" t="n"/>
      <c r="H21" s="212" t="n"/>
      <c r="I21" s="24" t="n"/>
      <c r="J21" s="49" t="n"/>
      <c r="K21" s="55" t="n"/>
      <c r="L21" s="213" t="n"/>
      <c r="M21" s="214" t="n"/>
      <c r="N21" s="214" t="n"/>
      <c r="O21" s="214" t="n"/>
      <c r="P21" s="215" t="n"/>
      <c r="U21" s="80" t="inlineStr">
        <is>
          <t>X, XR</t>
        </is>
      </c>
      <c r="V21" s="81" t="n">
        <v>60</v>
      </c>
      <c r="W21" s="81">
        <f>+V21*$W$11</f>
        <v/>
      </c>
      <c r="X21" s="81">
        <f>+V21-W21</f>
        <v/>
      </c>
    </row>
    <row r="22" ht="19.2" customFormat="1" customHeight="1" s="200">
      <c r="B22" s="221" t="n"/>
      <c r="C22" s="222" t="n"/>
      <c r="D22" s="222" t="n"/>
      <c r="E22" s="223" t="n"/>
      <c r="F22" s="130" t="n"/>
      <c r="G22" s="212" t="n"/>
      <c r="H22" s="212" t="n"/>
      <c r="I22" s="24" t="n"/>
      <c r="J22" s="49" t="n"/>
      <c r="K22" s="55" t="n"/>
      <c r="L22" s="213" t="n"/>
      <c r="M22" s="214" t="n"/>
      <c r="N22" s="214" t="n"/>
      <c r="O22" s="214" t="n"/>
      <c r="P22" s="215" t="n"/>
      <c r="U22" s="80" t="n"/>
      <c r="V22" s="81" t="n"/>
      <c r="W22" s="81" t="n"/>
      <c r="X22" s="81" t="n"/>
    </row>
    <row r="23" ht="19.2" customFormat="1" customHeight="1" s="200">
      <c r="B23" s="180" t="n"/>
      <c r="C23" s="210" t="n"/>
      <c r="D23" s="210" t="n"/>
      <c r="E23" s="211" t="n"/>
      <c r="F23" s="130" t="n"/>
      <c r="G23" s="212" t="n"/>
      <c r="H23" s="212" t="n"/>
      <c r="I23" s="24" t="n"/>
      <c r="J23" s="49" t="n"/>
      <c r="K23" s="55" t="n"/>
      <c r="L23" s="213" t="n"/>
      <c r="M23" s="214" t="n"/>
      <c r="N23" s="214" t="n"/>
      <c r="O23" s="214" t="n"/>
      <c r="P23" s="215" t="n"/>
      <c r="U23" s="80" t="n"/>
      <c r="V23" s="81" t="n"/>
      <c r="W23" s="81" t="n"/>
      <c r="X23" s="81" t="n"/>
    </row>
    <row r="24" ht="19.2" customFormat="1" customHeight="1" s="200">
      <c r="B24" s="186" t="n"/>
      <c r="C24" s="210" t="n"/>
      <c r="D24" s="210" t="n"/>
      <c r="E24" s="211" t="n"/>
      <c r="F24" s="130" t="n"/>
      <c r="G24" s="212" t="n"/>
      <c r="H24" s="212" t="n"/>
      <c r="I24" s="24" t="n"/>
      <c r="J24" s="49" t="n"/>
      <c r="K24" s="55" t="n"/>
      <c r="L24" s="213" t="n"/>
      <c r="M24" s="214" t="n"/>
      <c r="N24" s="214" t="n"/>
      <c r="O24" s="214" t="n"/>
      <c r="P24" s="215" t="n"/>
      <c r="U24" s="80" t="n"/>
      <c r="V24" s="81" t="n"/>
      <c r="W24" s="81" t="n"/>
      <c r="X24" s="81" t="n"/>
    </row>
    <row r="25" ht="19.2" customFormat="1" customHeight="1" s="200">
      <c r="B25" s="186" t="n"/>
      <c r="C25" s="210" t="n"/>
      <c r="D25" s="210" t="n"/>
      <c r="E25" s="211" t="n"/>
      <c r="F25" s="132" t="n"/>
      <c r="G25" s="212" t="n"/>
      <c r="H25" s="212" t="n"/>
      <c r="I25" s="24" t="n"/>
      <c r="J25" s="49" t="n"/>
      <c r="K25" s="55" t="n"/>
      <c r="L25" s="213" t="n"/>
      <c r="M25" s="214" t="n"/>
      <c r="N25" s="214" t="n"/>
      <c r="O25" s="214" t="n"/>
      <c r="P25" s="215" t="n"/>
      <c r="U25" s="80" t="n"/>
      <c r="V25" s="81" t="n"/>
      <c r="W25" s="81" t="n"/>
      <c r="X25" s="81" t="n"/>
    </row>
    <row r="26" ht="19.2" customFormat="1" customHeight="1" s="200">
      <c r="B26" s="180" t="n"/>
      <c r="C26" s="210" t="n"/>
      <c r="D26" s="210" t="n"/>
      <c r="E26" s="211" t="n"/>
      <c r="F26" s="133" t="n"/>
      <c r="G26" s="212" t="n"/>
      <c r="H26" s="212" t="n"/>
      <c r="I26" s="24" t="n"/>
      <c r="J26" s="49" t="n"/>
      <c r="K26" s="55" t="n"/>
      <c r="L26" s="213" t="n"/>
      <c r="M26" s="214" t="n"/>
      <c r="N26" s="214" t="n"/>
      <c r="O26" s="214" t="n"/>
      <c r="U26" s="80" t="inlineStr">
        <is>
          <t>XS, XS Max</t>
        </is>
      </c>
      <c r="V26" s="81" t="n">
        <v>70</v>
      </c>
      <c r="W26" s="81">
        <f>+V26*$W$11</f>
        <v/>
      </c>
      <c r="X26" s="81">
        <f>+V26-W26</f>
        <v/>
      </c>
      <c r="Z26" s="200">
        <f>+Z20+85</f>
        <v/>
      </c>
    </row>
    <row r="27" ht="15" customFormat="1" customHeight="1" s="200">
      <c r="B27" s="142" t="n"/>
      <c r="C27" s="127" t="n"/>
      <c r="D27" s="60" t="n"/>
      <c r="E27" s="60" t="n"/>
      <c r="F27" s="85" t="n"/>
      <c r="G27" s="181" t="inlineStr">
        <is>
          <t>SUB TOTAL</t>
        </is>
      </c>
      <c r="H27" s="224">
        <f>SUM(H16:H26)</f>
        <v/>
      </c>
      <c r="I27" s="32" t="n"/>
      <c r="J27" s="50" t="n"/>
      <c r="K27" s="55" t="n"/>
      <c r="L27" s="98" t="n"/>
      <c r="M27" s="98" t="n"/>
      <c r="N27" s="225">
        <f>SUM(N16:N26)</f>
        <v/>
      </c>
      <c r="O27" s="225">
        <f>SUM(O16:O26)</f>
        <v/>
      </c>
      <c r="U27" s="82" t="n">
        <v>11</v>
      </c>
      <c r="V27" s="83" t="n">
        <v>70</v>
      </c>
      <c r="W27" s="81">
        <f>+V27*$W$11</f>
        <v/>
      </c>
      <c r="X27" s="81">
        <f>+V27-W27</f>
        <v/>
      </c>
    </row>
    <row r="28" ht="15" customFormat="1" customHeight="1" s="200">
      <c r="B28" s="141" t="n"/>
      <c r="C28" s="58" t="n"/>
      <c r="E28" s="60" t="n"/>
      <c r="F28" s="85" t="n"/>
      <c r="G28" s="226" t="n"/>
      <c r="H28" s="226" t="n"/>
      <c r="I28" s="32" t="n"/>
      <c r="J28" s="50" t="n"/>
      <c r="K28" s="227" t="n"/>
      <c r="U28" s="82" t="inlineStr">
        <is>
          <t>11 Pro</t>
        </is>
      </c>
      <c r="V28" s="83" t="n">
        <v>80</v>
      </c>
      <c r="W28" s="81">
        <f>+V28*$W$11</f>
        <v/>
      </c>
      <c r="X28" s="81">
        <f>+V28-W28</f>
        <v/>
      </c>
    </row>
    <row r="29" ht="15" customFormat="1" customHeight="1" s="200">
      <c r="B29" s="194" t="n"/>
      <c r="C29" s="103" t="n"/>
      <c r="E29" s="138" t="n"/>
      <c r="F29" s="86" t="n"/>
      <c r="G29" s="136" t="inlineStr">
        <is>
          <t>TOTAL FACTURA</t>
        </is>
      </c>
      <c r="H29" s="228">
        <f>+H27-H28</f>
        <v/>
      </c>
      <c r="I29" s="33" t="n"/>
      <c r="J29" s="25" t="n"/>
      <c r="K29" s="227" t="n"/>
      <c r="L29" s="58" t="n"/>
      <c r="M29" s="52" t="n"/>
      <c r="N29" s="91" t="inlineStr">
        <is>
          <t>UTILIDAD BRUTA</t>
        </is>
      </c>
      <c r="U29" s="82" t="inlineStr">
        <is>
          <t>11 Pro Max</t>
        </is>
      </c>
      <c r="V29" s="83" t="n">
        <v>90</v>
      </c>
      <c r="W29" s="81">
        <f>+V29*$W$11</f>
        <v/>
      </c>
      <c r="X29" s="81">
        <f>+V29-W29</f>
        <v/>
      </c>
      <c r="AA29" s="200">
        <f>62571.2/35.15</f>
        <v/>
      </c>
    </row>
    <row r="30" ht="16.5" customHeight="1">
      <c r="B30" s="229" t="n"/>
      <c r="C30" s="103" t="n"/>
      <c r="D30" s="138" t="n"/>
      <c r="E30" s="138" t="n"/>
      <c r="F30" s="10" t="n"/>
      <c r="G30" s="135" t="inlineStr">
        <is>
          <t>TOTAL DÓLARES</t>
        </is>
      </c>
      <c r="H30" s="230">
        <f>+H29/36.63</f>
        <v/>
      </c>
      <c r="K30" s="231" t="n"/>
      <c r="L30" s="20" t="n"/>
      <c r="M30" s="21" t="n"/>
      <c r="N30" s="232">
        <f>+H29-N27</f>
        <v/>
      </c>
      <c r="AA30" s="7">
        <f>+AA29+146.48</f>
        <v/>
      </c>
    </row>
    <row r="31" ht="16.5" customHeight="1">
      <c r="B31" s="229" t="n"/>
      <c r="C31" s="103" t="n"/>
      <c r="G31" s="196" t="n"/>
      <c r="H31" s="233" t="n"/>
      <c r="K31" s="231" t="n"/>
      <c r="L31" s="20" t="n"/>
      <c r="M31" s="21" t="n"/>
      <c r="N31" s="12" t="n"/>
      <c r="O31" s="12" t="n"/>
    </row>
    <row r="32" ht="14.4" customHeight="1">
      <c r="B32" s="229" t="n"/>
      <c r="C32" s="103" t="n"/>
      <c r="D32" s="138" t="n"/>
      <c r="E32" s="138" t="n"/>
      <c r="F32" s="100" t="n"/>
      <c r="H32" s="233" t="n"/>
      <c r="K32" s="231" t="n"/>
      <c r="M32" s="21" t="n"/>
      <c r="N32" s="12" t="n"/>
      <c r="O32" s="12" t="n"/>
      <c r="AA32" s="7" t="inlineStr">
        <is>
          <t>´+611/35.15</t>
        </is>
      </c>
    </row>
    <row r="33" ht="20.4" customHeight="1">
      <c r="B33" s="229" t="n"/>
      <c r="C33" s="103" t="n"/>
      <c r="D33" s="138" t="n"/>
      <c r="E33" s="138" t="n"/>
      <c r="F33" s="115" t="n"/>
      <c r="H33" s="233" t="n"/>
      <c r="K33" s="231" t="n"/>
      <c r="M33" s="21" t="n"/>
      <c r="N33" s="12" t="n"/>
      <c r="O33" s="12" t="n"/>
      <c r="AA33" s="7">
        <f>611/35.15</f>
        <v/>
      </c>
    </row>
    <row r="34" ht="14.4" customHeight="1">
      <c r="B34" s="229" t="n"/>
      <c r="C34" s="103" t="n"/>
      <c r="E34" s="139" t="n"/>
      <c r="F34" s="100" t="n"/>
      <c r="H34" s="233" t="n"/>
      <c r="K34" s="231" t="n"/>
      <c r="L34" s="20" t="n"/>
      <c r="M34" s="21" t="n"/>
      <c r="N34" s="12" t="n"/>
      <c r="O34" s="12" t="n"/>
      <c r="Y34" s="7">
        <f>90+200+300+5000</f>
        <v/>
      </c>
    </row>
    <row r="35">
      <c r="B35" s="69" t="n"/>
      <c r="C35" s="104" t="n"/>
      <c r="D35" s="140" t="n"/>
      <c r="E35" s="138" t="n"/>
      <c r="F35" s="10" t="n"/>
      <c r="G35" s="2" t="n"/>
      <c r="H35" s="68" t="n"/>
      <c r="K35" s="231" t="n"/>
      <c r="L35" s="20" t="n"/>
      <c r="M35" s="21" t="n"/>
      <c r="N35" s="12" t="n"/>
      <c r="O35" s="12" t="n"/>
      <c r="Y35" s="7">
        <f>+Y34/35.15</f>
        <v/>
      </c>
    </row>
    <row r="36" ht="14.4" customHeight="1">
      <c r="B36" s="70" t="n"/>
      <c r="C36" s="13" t="n"/>
      <c r="D36" s="13" t="n"/>
      <c r="E36" s="10" t="n"/>
      <c r="F36" s="10" t="n"/>
      <c r="H36" s="68" t="n"/>
      <c r="K36" s="2" t="n"/>
      <c r="L36" s="19" t="n"/>
      <c r="N36" s="12" t="n"/>
      <c r="O36" s="12" t="n"/>
      <c r="Y36" s="7">
        <f>+Y35+40</f>
        <v/>
      </c>
      <c r="AA36" s="7">
        <f>60+220</f>
        <v/>
      </c>
    </row>
    <row r="37" ht="70.2" customHeight="1">
      <c r="B37" s="234" t="n"/>
      <c r="C37" s="207" t="n"/>
      <c r="D37" s="207" t="n"/>
      <c r="E37" s="207" t="n"/>
      <c r="F37" s="207" t="n"/>
      <c r="G37" s="207" t="n"/>
      <c r="H37" s="208" t="n"/>
      <c r="I37" s="34" t="n"/>
      <c r="J37" s="44" t="n"/>
      <c r="K37" s="2" t="n"/>
      <c r="M37" s="21" t="n"/>
      <c r="Y37" s="7">
        <f>7.96+172+74+199.03</f>
        <v/>
      </c>
      <c r="AA37" s="7">
        <f>+AA36/35.15</f>
        <v/>
      </c>
    </row>
    <row r="38" ht="121.5" customHeight="1">
      <c r="B38" s="235" t="inlineStr">
        <is>
          <t xml:space="preserve">Se aplica GARANTÍA de 15 días en repuesto ORIGINAL y sobre el trabajo realizado únicamente. No cubre daños por humedad, golpes, presión o manipulación posterior a la reparación. Tampoco cubre si existió manipulación anterior, sea personal o en otro taller. En ningún caso cubre reembolsos. El valor del diagnóstico es de $10. Este valor puede ser acreditable a la reparación. Toda cuenta de correo, red social o similar debe ser cerrada por el cliente antes de entregar el equipo. RCP no será responsable por el uso de ninguna de ellas. El cliente, al firmar el presente documento da fe de que, el o los equipos entregados al taller para su reparación son de su propiedad. El cliente debe retirar su equipo en un máximo de TRES días luego del aviso, si no deberá pagar C$100 por día en concepto de resguardo y hasta por un máximo de 45 días en total, luego de esto el equipo pasa a ser propiedad del taller RCP para su remate por el monto adeudado (Artículo 83, Ley 182, Ley de Defensa del Consumidor). Para pagos con cheque, favor elaborarlos a nombre de Albert N. Palacios González. </t>
        </is>
      </c>
      <c r="C38" s="207" t="n"/>
      <c r="D38" s="207" t="n"/>
      <c r="E38" s="207" t="n"/>
      <c r="F38" s="207" t="n"/>
      <c r="G38" s="207" t="n"/>
      <c r="H38" s="208" t="n"/>
      <c r="I38" s="35" t="n"/>
      <c r="J38" s="45" t="n"/>
      <c r="K38" s="13" t="n"/>
      <c r="L38" s="22" t="n"/>
      <c r="M38" s="21" t="n"/>
      <c r="O38" s="12" t="n"/>
      <c r="Y38" s="7">
        <f>+Y37+AA30</f>
        <v/>
      </c>
      <c r="AA38" s="7" t="n">
        <v>12</v>
      </c>
    </row>
    <row r="39" ht="23.25" customHeight="1">
      <c r="B39" s="236" t="inlineStr">
        <is>
          <t xml:space="preserve"> Profoma válida por 15 días. Favor elaborar cheque a nombre de Albert N. Palacios González. RUC No. 0421701820000D</t>
        </is>
      </c>
      <c r="C39" s="207" t="n"/>
      <c r="D39" s="207" t="n"/>
      <c r="E39" s="207" t="n"/>
      <c r="F39" s="207" t="n"/>
      <c r="G39" s="207" t="n"/>
      <c r="H39" s="208" t="n"/>
      <c r="I39" s="36" t="n"/>
      <c r="J39" s="46" t="n"/>
      <c r="K39" s="2" t="n"/>
      <c r="L39" s="20" t="n"/>
      <c r="M39" s="21" t="n"/>
      <c r="N39" s="12" t="n"/>
      <c r="O39" s="12" t="n"/>
      <c r="AA39" s="7">
        <f>12+160</f>
        <v/>
      </c>
    </row>
    <row r="40" ht="23.4" customHeight="1">
      <c r="B40" s="237" t="n"/>
      <c r="H40" s="233" t="n"/>
      <c r="K40" s="10" t="n"/>
      <c r="L40" s="19" t="n"/>
      <c r="M40" s="20" t="n"/>
      <c r="Y40" s="7">
        <f>1997.66+400.93</f>
        <v/>
      </c>
    </row>
    <row r="41" ht="92.25" customHeight="1">
      <c r="B41" s="237" t="n"/>
      <c r="H41" s="233" t="n"/>
      <c r="I41" s="37" t="n"/>
      <c r="J41" s="47" t="n"/>
      <c r="K41" s="48" t="n"/>
      <c r="L41" s="48" t="n"/>
      <c r="M41" s="48" t="n"/>
      <c r="V41" s="7">
        <f>950/35</f>
        <v/>
      </c>
      <c r="X41" s="7">
        <f>24.46*35</f>
        <v/>
      </c>
      <c r="Y41" s="7">
        <f>+Y40-Y38</f>
        <v/>
      </c>
    </row>
    <row r="42" ht="64.5" customHeight="1">
      <c r="B42" s="71" t="n"/>
      <c r="C42" s="105" t="n"/>
      <c r="D42" s="72" t="n"/>
      <c r="E42" s="72" t="n"/>
      <c r="F42" s="72" t="n"/>
      <c r="G42" s="72" t="n"/>
      <c r="H42" s="73" t="n"/>
      <c r="L42" s="19" t="n"/>
      <c r="M42" s="20" t="n"/>
      <c r="N42" s="14" t="n"/>
      <c r="V42" s="7">
        <f>25*35.15</f>
        <v/>
      </c>
      <c r="Y42" s="7">
        <f>+Y40-17.38</f>
        <v/>
      </c>
    </row>
    <row r="43">
      <c r="L43" s="19" t="n"/>
      <c r="M43" s="20" t="n"/>
    </row>
    <row r="44">
      <c r="A44" s="38" t="n"/>
      <c r="B44" s="38" t="n"/>
      <c r="C44" s="38" t="n"/>
      <c r="D44" s="38" t="n"/>
      <c r="E44" s="38" t="n"/>
      <c r="F44" s="38" t="n"/>
      <c r="G44" s="38" t="n"/>
      <c r="H44" s="38" t="n"/>
      <c r="I44" s="38" t="n"/>
      <c r="L44" s="20" t="n"/>
      <c r="M44" s="20" t="n"/>
    </row>
    <row r="45">
      <c r="L45" s="20" t="n"/>
      <c r="M45" s="20" t="n"/>
    </row>
    <row r="46">
      <c r="L46" s="20" t="n"/>
      <c r="M46" s="20" t="n"/>
    </row>
    <row r="47">
      <c r="L47" s="20" t="n"/>
      <c r="M47" s="20" t="n"/>
    </row>
    <row r="60">
      <c r="D60" s="18" t="n"/>
    </row>
    <row r="64" ht="15.6" customHeight="1" thickBot="1">
      <c r="D64" s="117" t="inlineStr">
        <is>
          <t>Galaxy S9</t>
        </is>
      </c>
      <c r="E64" s="118" t="inlineStr">
        <is>
          <t>No</t>
        </is>
      </c>
      <c r="F64" s="118" t="inlineStr">
        <is>
          <t>Phone</t>
        </is>
      </c>
      <c r="G64" s="118" t="inlineStr">
        <is>
          <t>Battery damaged</t>
        </is>
      </c>
      <c r="H64" s="118" t="n"/>
    </row>
    <row r="65" ht="15.6" customHeight="1" thickBot="1">
      <c r="D65" s="117" t="inlineStr">
        <is>
          <t>Galaxy S8</t>
        </is>
      </c>
      <c r="E65" s="118" t="inlineStr">
        <is>
          <t>No</t>
        </is>
      </c>
      <c r="F65" s="118" t="inlineStr">
        <is>
          <t>Phone</t>
        </is>
      </c>
      <c r="G65" s="118" t="inlineStr">
        <is>
          <t>Battery damaged</t>
        </is>
      </c>
      <c r="H65" s="118" t="n"/>
    </row>
    <row r="66" ht="15.6" customHeight="1" thickBot="1">
      <c r="D66" s="117" t="inlineStr">
        <is>
          <t>Galaxy Note 9</t>
        </is>
      </c>
      <c r="E66" s="118" t="inlineStr">
        <is>
          <t>No</t>
        </is>
      </c>
      <c r="F66" s="118" t="inlineStr">
        <is>
          <t>Phone</t>
        </is>
      </c>
      <c r="G66" s="118" t="inlineStr">
        <is>
          <t>Battery damaged</t>
        </is>
      </c>
      <c r="H66" s="118" t="n"/>
    </row>
    <row r="67" ht="15.6" customHeight="1" thickBot="1">
      <c r="D67" s="117" t="inlineStr">
        <is>
          <t>Galaxy Note 8</t>
        </is>
      </c>
      <c r="E67" s="118" t="inlineStr">
        <is>
          <t>No</t>
        </is>
      </c>
      <c r="F67" s="118" t="inlineStr">
        <is>
          <t>Phone</t>
        </is>
      </c>
      <c r="G67" s="118" t="inlineStr">
        <is>
          <t>Battery damaged</t>
        </is>
      </c>
      <c r="H67" s="118" t="n"/>
    </row>
    <row r="68" ht="15.6" customHeight="1" thickBot="1">
      <c r="D68" s="117" t="inlineStr">
        <is>
          <t>Galaxy S10</t>
        </is>
      </c>
      <c r="E68" s="118" t="inlineStr">
        <is>
          <t>No</t>
        </is>
      </c>
      <c r="F68" s="118" t="inlineStr">
        <is>
          <t>Phone</t>
        </is>
      </c>
      <c r="G68" s="118" t="inlineStr">
        <is>
          <t>Battery damaged</t>
        </is>
      </c>
      <c r="H68" s="118" t="n"/>
    </row>
    <row r="69" ht="15.6" customHeight="1" thickBot="1">
      <c r="D69" s="117" t="inlineStr">
        <is>
          <t>Blackberry</t>
        </is>
      </c>
      <c r="E69" s="118" t="inlineStr">
        <is>
          <t>No</t>
        </is>
      </c>
      <c r="F69" s="118" t="inlineStr">
        <is>
          <t>Phone</t>
        </is>
      </c>
      <c r="G69" s="118" t="inlineStr">
        <is>
          <t>Battery damaged</t>
        </is>
      </c>
      <c r="H69" s="119" t="n"/>
    </row>
    <row r="70" ht="16.2" customHeight="1" thickBot="1">
      <c r="D70" s="117" t="inlineStr">
        <is>
          <t>LG V20</t>
        </is>
      </c>
      <c r="E70" s="118" t="inlineStr">
        <is>
          <t>Yes</t>
        </is>
      </c>
      <c r="F70" s="118" t="inlineStr">
        <is>
          <t>Phone</t>
        </is>
      </c>
      <c r="G70" s="118" t="inlineStr">
        <is>
          <t>Block w/Pattern</t>
        </is>
      </c>
      <c r="H70" s="120" t="n"/>
    </row>
    <row r="71" ht="15.6" customHeight="1" thickBot="1">
      <c r="D71" s="117" t="inlineStr">
        <is>
          <t>Samsung A50</t>
        </is>
      </c>
      <c r="E71" s="118" t="inlineStr">
        <is>
          <t>No</t>
        </is>
      </c>
      <c r="F71" s="118" t="inlineStr">
        <is>
          <t>Phone</t>
        </is>
      </c>
      <c r="G71" s="118" t="inlineStr">
        <is>
          <t>Battery damaged</t>
        </is>
      </c>
      <c r="H71" s="118" t="n"/>
    </row>
    <row r="72" ht="15.6" customHeight="1" thickBot="1">
      <c r="D72" s="117" t="inlineStr">
        <is>
          <t>Galaxy S8</t>
        </is>
      </c>
      <c r="E72" s="118" t="inlineStr">
        <is>
          <t>No</t>
        </is>
      </c>
      <c r="F72" s="118" t="inlineStr">
        <is>
          <t>Phone</t>
        </is>
      </c>
      <c r="G72" s="118" t="inlineStr">
        <is>
          <t>Battery damaged</t>
        </is>
      </c>
      <c r="H72" s="118" t="n"/>
    </row>
    <row r="73" ht="15.6" customHeight="1" thickBot="1">
      <c r="D73" s="117" t="inlineStr">
        <is>
          <t>Galaxy S8</t>
        </is>
      </c>
      <c r="E73" s="118" t="inlineStr">
        <is>
          <t>No</t>
        </is>
      </c>
      <c r="F73" s="118" t="inlineStr">
        <is>
          <t>Phone</t>
        </is>
      </c>
      <c r="G73" s="118" t="inlineStr">
        <is>
          <t>broken screen</t>
        </is>
      </c>
      <c r="H73" s="119" t="n"/>
    </row>
    <row r="74" ht="15" customHeight="1">
      <c r="D74" s="121" t="n"/>
    </row>
    <row r="76">
      <c r="D76" s="7">
        <f>+CONCATENATE(D64, G64)</f>
        <v/>
      </c>
      <c r="E76" s="7" t="inlineStr">
        <is>
          <t>Galaxy S9Battery damaged</t>
        </is>
      </c>
    </row>
    <row r="77">
      <c r="D77" s="7">
        <f>+CONCATENATE(D65, G65)</f>
        <v/>
      </c>
      <c r="E77" s="7" t="inlineStr">
        <is>
          <t>Galaxy S8Battery damaged</t>
        </is>
      </c>
    </row>
    <row r="78">
      <c r="D78" s="7">
        <f>+CONCATENATE(D66, G66)</f>
        <v/>
      </c>
      <c r="E78" s="7" t="inlineStr">
        <is>
          <t>Galaxy Note 9Battery damaged</t>
        </is>
      </c>
    </row>
    <row r="79">
      <c r="D79" s="7">
        <f>+CONCATENATE(D67, G67)</f>
        <v/>
      </c>
      <c r="E79" s="7" t="inlineStr">
        <is>
          <t>Galaxy Note 8Battery damaged</t>
        </is>
      </c>
    </row>
    <row r="80">
      <c r="D80" s="7">
        <f>+CONCATENATE(D68, G68)</f>
        <v/>
      </c>
      <c r="E80" s="7" t="inlineStr">
        <is>
          <t>Galaxy S10Battery damaged</t>
        </is>
      </c>
    </row>
    <row r="81">
      <c r="D81" s="7">
        <f>+CONCATENATE(D69, G69)</f>
        <v/>
      </c>
      <c r="E81" s="7" t="inlineStr">
        <is>
          <t>BlackberryBattery damaged</t>
        </is>
      </c>
    </row>
    <row r="82">
      <c r="D82" s="7">
        <f>+CONCATENATE(D70, G70)</f>
        <v/>
      </c>
      <c r="E82" s="7" t="inlineStr">
        <is>
          <t>LG V20Block w/Pattern</t>
        </is>
      </c>
    </row>
    <row r="83">
      <c r="D83" s="7">
        <f>+CONCATENATE(D71, G71)</f>
        <v/>
      </c>
      <c r="E83" s="7" t="inlineStr">
        <is>
          <t>Samsung A50Battery damaged</t>
        </is>
      </c>
    </row>
    <row r="84">
      <c r="D84" s="7">
        <f>+CONCATENATE(D72, G72)</f>
        <v/>
      </c>
      <c r="E84" s="7" t="inlineStr">
        <is>
          <t>Galaxy S8Battery damaged</t>
        </is>
      </c>
    </row>
    <row r="85">
      <c r="D85" s="7">
        <f>+CONCATENATE(D73, G73)</f>
        <v/>
      </c>
      <c r="E85" s="7" t="inlineStr">
        <is>
          <t>Galaxy S8broken screen</t>
        </is>
      </c>
    </row>
  </sheetData>
  <mergeCells count="37">
    <mergeCell ref="U11:U12"/>
    <mergeCell ref="G12:H12"/>
    <mergeCell ref="B40:H40"/>
    <mergeCell ref="G11:H11"/>
    <mergeCell ref="B15:E15"/>
    <mergeCell ref="X11:X12"/>
    <mergeCell ref="B24:E24"/>
    <mergeCell ref="V19:V20"/>
    <mergeCell ref="B20:E20"/>
    <mergeCell ref="G8:H8"/>
    <mergeCell ref="X19:X20"/>
    <mergeCell ref="B26:E26"/>
    <mergeCell ref="B41:H41"/>
    <mergeCell ref="G10:H10"/>
    <mergeCell ref="B16:E16"/>
    <mergeCell ref="U9:X9"/>
    <mergeCell ref="B25:E25"/>
    <mergeCell ref="V11:V12"/>
    <mergeCell ref="B29:B34"/>
    <mergeCell ref="G31:H34"/>
    <mergeCell ref="B22:E22"/>
    <mergeCell ref="W11:W12"/>
    <mergeCell ref="B18:E18"/>
    <mergeCell ref="H27:H28"/>
    <mergeCell ref="B21:E21"/>
    <mergeCell ref="B39:H39"/>
    <mergeCell ref="B14:E14"/>
    <mergeCell ref="B17:E17"/>
    <mergeCell ref="U19:U20"/>
    <mergeCell ref="B23:E23"/>
    <mergeCell ref="W19:W20"/>
    <mergeCell ref="G27:G28"/>
    <mergeCell ref="B1:H1"/>
    <mergeCell ref="B38:H38"/>
    <mergeCell ref="F7:H7"/>
    <mergeCell ref="G9:H9"/>
    <mergeCell ref="B37:H37"/>
  </mergeCells>
  <printOptions horizontalCentered="1"/>
  <pageMargins left="0.7086614173228347" right="0.7086614173228347" top="0.7480314960629921" bottom="0.7480314960629921" header="0.3149606299212598" footer="0.3149606299212598"/>
  <pageSetup orientation="portrait" scale="59" horizontalDpi="300" verticalDpi="300"/>
  <headerFooter>
    <oddHeader>&amp;C_x000a__x000a__x000a__x000a__x000a__x000a__x000a__x000a__x000a__x000a__x000a__x000a__x000a__x000a__x000a__x000a__x000a__x000a__x000a__x000a__x000a__x000a__x000a__x000a__x000a__x000a_&amp;G</oddHeader>
    <oddFooter/>
    <evenHeader/>
    <evenFooter/>
    <firstHeader/>
    <firstFooter/>
  </headerFooter>
  <colBreaks count="1" manualBreakCount="1">
    <brk id="9"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user;Albert Palacios / RCP</dc:creator>
  <dcterms:created xsi:type="dcterms:W3CDTF">2015-10-20T18:46:58Z</dcterms:created>
  <dcterms:modified xsi:type="dcterms:W3CDTF">2026-08-28T22:41:23Z</dcterms:modified>
  <cp:lastModifiedBy>USER</cp:lastModifiedBy>
  <cp:lastPrinted>2026-08-20T23:27:26Z</cp:lastPrinted>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ec2220d7-2747-49ca-9707-1f79e578b62a</vt:lpwstr>
  </property>
</Properties>
</file>