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Recepción" sheetId="2" state="visible" r:id="rId2"/>
    <sheet name="Preguntas" sheetId="3" state="visible" r:id="rId3"/>
    <sheet name="Listas" sheetId="4" state="visible" r:id="rId4"/>
  </sheets>
  <definedNames>
    <definedName name="T_EQUIPO">Listas!$A$2:$A$5</definedName>
    <definedName name="L_YNC">Listas!$N$2:$N$4</definedName>
    <definedName name="L_FUN">Listas!$O$2:$O$4</definedName>
    <definedName name="L_FALLAP">Listas!$P$2:$P$12</definedName>
    <definedName name="L_DESDE">Listas!$Q$2:$Q$8</definedName>
    <definedName name="L_PERM">Listas!$R$2:$R$4</definedName>
    <definedName name="L_ENC">Listas!$S$2:$S$5</definedName>
    <definedName name="L_OTRAF">Listas!$T$2:$T$10</definedName>
    <definedName name="L_LUZ">Listas!$U$2:$U$8</definedName>
    <definedName name="L_SENAL">Listas!$V$2:$V$6</definedName>
    <definedName name="L_AUTON">Listas!$W$2:$W$7</definedName>
    <definedName name="L_ZONAC">Listas!$X$2:$X$7</definedName>
    <definedName name="L_MANT">Listas!$Y$2:$Y$6</definedName>
    <definedName name="L_ABCE">Listas!$Z$2:$Z$4</definedName>
    <definedName name="L_ZONAI">Listas!$AA$2:$AA$9</definedName>
    <definedName name="L_ERR">Listas!$AB$2:$AB$7</definedName>
    <definedName name="L_PROG">Listas!$AC$2:$AC$8</definedName>
    <definedName name="L_SO">Listas!$AD$2:$AD$7</definedName>
    <definedName name="L_TEL">Listas!$AE$2:$AE$4</definedName>
    <definedName name="L_JUE">Listas!$AF$2:$AF$5</definedName>
    <definedName name="L_NCTRL">Listas!$AG$2:$AG$5</definedName>
    <definedName name="L_SOL">Listas!$AH$2:$AH$8</definedName>
    <definedName name="L_DANO">Listas!$AI$2:$AI$8</definedName>
    <definedName name="L_CUANDO">Listas!$AJ$2:$AJ$6</definedName>
    <definedName name="L_MOM">Listas!$AK$2:$AK$5</definedName>
    <definedName name="L_LIQ">Listas!$AL$2:$AL$8</definedName>
    <definedName name="L_E_PANT">Listas!$AM$2:$AM$5</definedName>
    <definedName name="L_E_CARC">Listas!$AN$2:$AN$5</definedName>
    <definedName name="L_PIN">Listas!$AO$2:$AO$5</definedName>
    <definedName name="L_ANTIG">Listas!$AP$2:$AP$7</definedName>
    <definedName name="L_USO">Listas!$AQ$2:$AQ$5</definedName>
    <definedName name="L_URG">Listas!$AR$2:$AR$5</definedName>
    <definedName name="L_CONT">Listas!$AS$2:$AS$5</definedName>
    <definedName name="L_BATED">Listas!$AT$2:$AT$6</definedName>
    <definedName name="L_CANT">Listas!$AU$2:$AU$6</definedName>
    <definedName name="L_CAID">Listas!$AV$2:$AV$4</definedName>
    <definedName name="L_DISCO">Listas!$AW$2:$AW$4</definedName>
    <definedName name="L_BATNIV">Listas!$AX$2:$AX$6</definedName>
    <definedName name="L_YN">Listas!$AY$2:$AY$3</definedName>
    <definedName name="L_YNS">Listas!$AZ$2:$AZ$4</definedName>
    <definedName name="L_TXT">Listas!$BA$2:$BA$2</definedName>
    <definedName name="_xlnm.Print_Titles" localSheetId="1">'Recepción'!$21:$21</definedName>
    <definedName name="_xlnm._FilterDatabase" localSheetId="2" hidden="1">'Preguntas'!$A$1:$F$775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808080"/>
      <sz val="10"/>
    </font>
    <font>
      <name val="Arial"/>
      <i val="1"/>
      <color rgb="00808080"/>
      <sz val="10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i val="1"/>
      <color rgb="002E75B6"/>
      <sz val="10"/>
    </font>
    <font>
      <name val="Arial"/>
      <b val="1"/>
      <color rgb="009C0006"/>
      <sz val="10"/>
    </font>
    <font>
      <name val="Arial"/>
      <b val="1"/>
      <color rgb="00C65911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  <fill>
      <patternFill patternType="solid">
        <fgColor rgb="00FFF8DC"/>
        <bgColor rgb="00FFF8D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0" pivotButton="0" quotePrefix="0" xfId="0"/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8" fillId="3" borderId="0" applyAlignment="1" pivotButton="0" quotePrefix="0" xfId="0">
      <alignment vertical="center" indent="1"/>
    </xf>
    <xf numFmtId="0" fontId="9" fillId="4" borderId="1" applyAlignment="1" pivotButton="0" quotePrefix="0" xfId="0">
      <alignment vertical="center" indent="1"/>
    </xf>
    <xf numFmtId="0" fontId="0" fillId="4" borderId="1" pivotButton="0" quotePrefix="0" xfId="0"/>
    <xf numFmtId="0" fontId="1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164" fontId="1" fillId="5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 wrapText="1" indent="1"/>
    </xf>
    <xf numFmtId="0" fontId="3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9C0006"/>
      </font>
      <fill>
        <patternFill patternType="solid">
          <bgColor rgb="00FFC7CE"/>
        </patternFill>
      </fill>
    </dxf>
    <dxf>
      <font>
        <name val="Arial"/>
        <b val="1"/>
        <color rgb="00006100"/>
      </font>
      <fill>
        <patternFill patternType="solid">
          <bgColor rgb="00C6EFCE"/>
        </patternFill>
      </fill>
    </dxf>
    <dxf>
      <font>
        <name val="Arial"/>
        <b val="1"/>
        <color rgb="007F6000"/>
      </font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0" customWidth="1" min="3" max="3"/>
  </cols>
  <sheetData>
    <row r="1" ht="36" customHeight="1">
      <c r="B1" s="1" t="inlineStr">
        <is>
          <t>RCP · Checklist de Recepción Técnica</t>
        </is>
      </c>
    </row>
    <row r="3">
      <c r="B3" s="2" t="inlineStr">
        <is>
          <t>LISTAS DESPLEGABLES DEPENDIENTES</t>
        </is>
      </c>
    </row>
    <row r="4" ht="18" customHeight="1">
      <c r="B4" s="3" t="inlineStr">
        <is>
          <t>Paso 1 · Equipo</t>
        </is>
      </c>
      <c r="C4" s="4" t="inlineStr">
        <is>
          <t>En «Recepción» elija Celular, Reloj, Computadora o Consola.</t>
        </is>
      </c>
    </row>
    <row r="5" ht="32" customHeight="1">
      <c r="B5" s="3" t="inlineStr">
        <is>
          <t>Paso 2 · Categoría</t>
        </is>
      </c>
      <c r="C5" s="4" t="inlineStr">
        <is>
          <t>En cada fila, la lista «Categoría / Falla» muestra solo las categorías de ese equipo (datos generales, fallas, verificación, accesorios, fotos, pruebas, autorizaciones).</t>
        </is>
      </c>
    </row>
    <row r="6" ht="18" customHeight="1">
      <c r="B6" s="3" t="inlineStr">
        <is>
          <t>Paso 3 · Pregunta</t>
        </is>
      </c>
      <c r="C6" s="4" t="inlineStr">
        <is>
          <t>La lista «Pregunta» muestra solo las preguntas de esa categoría para ese equipo.</t>
        </is>
      </c>
    </row>
    <row r="7" ht="32" customHeight="1">
      <c r="B7" s="3" t="inlineStr">
        <is>
          <t>Paso 4 · Respuesta</t>
        </is>
      </c>
      <c r="C7" s="4" t="inlineStr">
        <is>
          <t>La lista «Respuesta» muestra solo las respuestas posibles de esa pregunta (Sí/No/No sé, fechas, tipos, estados…). Solo la contraseña se escribe.</t>
        </is>
      </c>
    </row>
    <row r="8" ht="32" customHeight="1">
      <c r="B8" s="3" t="inlineStr">
        <is>
          <t>Varias preguntas</t>
        </is>
      </c>
      <c r="C8" s="4" t="inlineStr">
        <is>
          <t>Use una fila por pregunta (hay 100 filas). Si cambia el equipo o la categoría de una fila ya llenada, aparece «⚠ revisar»: vuelva a elegir esa fila.</t>
        </is>
      </c>
    </row>
    <row r="9" ht="46" customHeight="1">
      <c r="B9" s="3" t="inlineStr">
        <is>
          <t>Colores y alertas</t>
        </is>
      </c>
      <c r="C9" s="4" t="inlineStr">
        <is>
          <t>Sí / Funciona en verde, No / No funciona en rojo, No sé / No probado en amarillo. Arriba salen alertas rojas (líquido, batería inflada, datos sin respaldo, reparación previa, golpe) y el nivel de atención.</t>
        </is>
      </c>
    </row>
    <row r="10" ht="18" customHeight="1">
      <c r="B10" s="3" t="inlineStr">
        <is>
          <t>Guardar</t>
        </is>
      </c>
      <c r="C10" s="4" t="inlineStr">
        <is>
          <t>Por cada cliente use «Guardar como» con nombre nuevo y deje esta versión como plantilla limpia.</t>
        </is>
      </c>
    </row>
    <row r="11">
      <c r="B11" s="2" t="inlineStr">
        <is>
          <t>PERSONALIZAR</t>
        </is>
      </c>
    </row>
    <row r="12" ht="46" customHeight="1">
      <c r="B12" s="3" t="inlineStr">
        <is>
          <t>Hoja Preguntas</t>
        </is>
      </c>
      <c r="C12" s="4" t="inlineStr">
        <is>
          <t>Es una tabla: Equipo, Categoría, Pregunta y Tipo de respuesta. De ahí salen las listas. Para agregar una pregunta inserte una fila dentro del grupo de su equipo y categoría, llénela y copie las columnas E y F de la fila de arriba. Aparece sola en el desplegable.</t>
        </is>
      </c>
    </row>
    <row r="13" ht="32" customHeight="1">
      <c r="B13" s="3" t="inlineStr">
        <is>
          <t>Hoja Listas</t>
        </is>
      </c>
      <c r="C13" s="4" t="inlineStr">
        <is>
          <t>Contiene los equipos, las categorías y las opciones de respuesta. Puede agregar opciones al final de cada lista.</t>
        </is>
      </c>
    </row>
    <row r="14" ht="32" customHeight="1">
      <c r="B14" s="3" t="inlineStr">
        <is>
          <t>Importante</t>
        </is>
      </c>
      <c r="C14" s="4" t="inlineStr">
        <is>
          <t>Abra el archivo en Excel. Las vistas previas de celular o navegador no muestran las listas dependientes.</t>
        </is>
      </c>
    </row>
  </sheetData>
  <mergeCells count="3">
    <mergeCell ref="B11:C11"/>
    <mergeCell ref="B1:C1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L121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0" customWidth="1" min="3" max="3"/>
    <col width="64" customWidth="1" min="4" max="4"/>
    <col width="30" customWidth="1" min="5" max="5"/>
    <col width="36" customWidth="1" min="6" max="6"/>
    <col width="11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 ht="36" customHeight="1">
      <c r="B1" s="1" t="inlineStr">
        <is>
          <t>RCP · CHECKLIST DE RECEPCIÓN TÉCNICA</t>
        </is>
      </c>
    </row>
    <row r="2">
      <c r="B2" s="5" t="inlineStr">
        <is>
          <t>Elija el equipo  →  la categoría o falla  →  la pregunta  →  la respuesta. Cada lista depende de la anterior.</t>
        </is>
      </c>
    </row>
    <row r="4" ht="22" customHeight="1">
      <c r="B4" s="6" t="inlineStr">
        <is>
          <t>DATOS DEL EQUIPO Y DEL CLIENTE</t>
        </is>
      </c>
    </row>
    <row r="5" ht="21" customHeight="1">
      <c r="B5" s="7" t="inlineStr">
        <is>
          <t>Tipo de equipo *</t>
        </is>
      </c>
      <c r="C5" s="8" t="n"/>
      <c r="D5" s="9" t="n"/>
      <c r="E5" s="10" t="n"/>
    </row>
    <row r="6" ht="21" customHeight="1">
      <c r="B6" s="7" t="inlineStr">
        <is>
          <t>N.º de orden</t>
        </is>
      </c>
      <c r="C6" s="8" t="n"/>
      <c r="D6" s="9" t="n"/>
      <c r="E6" s="10" t="n"/>
    </row>
    <row r="7" ht="21" customHeight="1">
      <c r="B7" s="7" t="inlineStr">
        <is>
          <t>Cliente</t>
        </is>
      </c>
      <c r="C7" s="8" t="n"/>
      <c r="D7" s="9" t="n"/>
      <c r="E7" s="10" t="n"/>
    </row>
    <row r="8" ht="21" customHeight="1">
      <c r="B8" s="7" t="inlineStr">
        <is>
          <t>Teléfono / WhatsApp</t>
        </is>
      </c>
      <c r="C8" s="8" t="n"/>
      <c r="D8" s="9" t="n"/>
      <c r="E8" s="10" t="n"/>
    </row>
    <row r="9" ht="21" customHeight="1">
      <c r="B9" s="7" t="inlineStr">
        <is>
          <t>Marca / Modelo</t>
        </is>
      </c>
      <c r="C9" s="8" t="n"/>
      <c r="D9" s="9" t="n"/>
      <c r="E9" s="10" t="n"/>
    </row>
    <row r="10" ht="21" customHeight="1">
      <c r="B10" s="7" t="inlineStr">
        <is>
          <t>Serial / IMEI</t>
        </is>
      </c>
      <c r="C10" s="8" t="n"/>
      <c r="D10" s="9" t="n"/>
      <c r="E10" s="10" t="n"/>
    </row>
    <row r="11" ht="21" customHeight="1">
      <c r="B11" s="7" t="inlineStr">
        <is>
          <t>Recibido por</t>
        </is>
      </c>
      <c r="C11" s="8" t="n"/>
      <c r="D11" s="9" t="n"/>
      <c r="E11" s="10" t="n"/>
    </row>
    <row r="12" ht="21" customHeight="1">
      <c r="B12" s="7" t="inlineStr">
        <is>
          <t>Fecha de recepción</t>
        </is>
      </c>
      <c r="C12" s="8" t="n"/>
      <c r="D12" s="11" t="n"/>
      <c r="E12" s="10" t="n"/>
    </row>
    <row r="14">
      <c r="B14" s="7" t="inlineStr">
        <is>
          <t>Nivel de atención</t>
        </is>
      </c>
      <c r="C14" s="8" t="n"/>
      <c r="D14" s="12">
        <f>IF(D5="","",IF(OR(COUNTIFS($D$22:$D$121,"¿Ha tenido contacto con agua, humedad o algún líquido?",$E$22:$E$121,"Sí")&gt;0,SUMPRODUCT(ISNUMBER(SEARCH("inflada",$D$22:$D$121))*($E$22:$E$121="Sí"))&gt;0),"ALTA PRIORIDAD","Normal"))</f>
        <v/>
      </c>
    </row>
    <row r="15">
      <c r="B15" s="13">
        <f>IF(D5="","Paso 1: elija el tipo de equipo.","Preguntas respondidas: "&amp;COUNTA(E22:E121)&amp;" de "&amp;COUNTA(D22:D121))</f>
        <v/>
      </c>
    </row>
    <row r="16" ht="14" customHeight="1">
      <c r="B16" s="14">
        <f>IF(COUNTIFS($D$22:$D$121,"¿Ha tenido contacto con agua, humedad o algún líquido?",$E$22:$E$121,"Sí")&gt;0,"ALTA PRIORIDAD · Ingresa por CONTAMINACIÓN DE LÍQUIDO: registrarlo en la orden; no encender ni conectar al cargador.","")</f>
        <v/>
      </c>
    </row>
    <row r="17" ht="14" customHeight="1">
      <c r="B17" s="14">
        <f>IF(SUMPRODUCT(ISNUMBER(SEARCH("inflada",$D$22:$D$121))*($E$22:$E$121="Sí"))&gt;0,"ALTA PRIORIDAD · Batería inflada / equipo deformado: riesgo de seguridad, manipular con cuidado y aislar el equipo.","")</f>
        <v/>
      </c>
    </row>
    <row r="18" ht="14" customHeight="1">
      <c r="B18" s="14">
        <f>IF(AND(COUNTIFS($D$22:$D$121,"¿Tiene información importante que no puede perder?",$E$22:$E$121,"Sí")&gt;0,COUNTIFS($D$22:$D$121,"¿Tiene respaldo reciente de su información?",$E$22:$E$121,"Sí")=0),"DATOS EN RIESGO · Información importante SIN respaldo confirmado: reforzar la autorización antes de intervenir.","")</f>
        <v/>
      </c>
    </row>
    <row r="19" ht="14" customHeight="1">
      <c r="B19" s="14">
        <f>IF(COUNTIFS($D$22:$D$121,"¿Ha sido abierto o reparado anteriormente?",$E$22:$E$121,"Sí")&gt;0,"Equipo abierto o reparado antes: fotografiar señales de apertura y anotar quién lo intervino.","")</f>
        <v/>
      </c>
    </row>
    <row r="20" ht="14" customHeight="1">
      <c r="B20" s="14">
        <f>IF(COUNTIFS($D$22:$D$121,"¿Sufrió algún golpe o caída recientemente?",$E$22:$E$121,"Sí")&gt;0,"Golpe o caída reportado: documentar la zona del impacto y fotografiar daños existentes.","")</f>
        <v/>
      </c>
    </row>
    <row r="21" ht="26" customHeight="1">
      <c r="B21" s="15" t="inlineStr">
        <is>
          <t>N.º</t>
        </is>
      </c>
      <c r="C21" s="15" t="inlineStr">
        <is>
          <t>① Categoría / Falla</t>
        </is>
      </c>
      <c r="D21" s="15" t="inlineStr">
        <is>
          <t>② Pregunta</t>
        </is>
      </c>
      <c r="E21" s="15" t="inlineStr">
        <is>
          <t>③ Respuesta</t>
        </is>
      </c>
      <c r="F21" s="15" t="inlineStr">
        <is>
          <t>Observación (opcional)</t>
        </is>
      </c>
      <c r="G21" s="16" t="inlineStr"/>
    </row>
    <row r="22">
      <c r="B22" s="17" t="n">
        <v>1</v>
      </c>
      <c r="C22" s="18" t="n"/>
      <c r="D22" s="18" t="n"/>
      <c r="E22" s="19" t="n"/>
      <c r="F22" s="18" t="n"/>
      <c r="G22" s="20">
        <f>IF(AND(D22&lt;&gt;"",I22=""),"⚠ revisar","")</f>
        <v/>
      </c>
      <c r="H22">
        <f>IF(OR($D$5="",C22=""),"",$D$5&amp;"|"&amp;C22)</f>
        <v/>
      </c>
      <c r="I22">
        <f>IF(OR(H22="",D22=""),"",IFERROR(MATCH(H22&amp;"|"&amp;D22,Preguntas!$F$2:$F$1000,0),""))</f>
        <v/>
      </c>
      <c r="K22">
        <f>IF(I22="","",INDEX(Preguntas!$D$2:$D$1000,I22))</f>
        <v/>
      </c>
      <c r="L22">
        <f>IF(K22="","L_YN","L_"&amp;K22)</f>
        <v/>
      </c>
    </row>
    <row r="23">
      <c r="B23" s="17" t="n">
        <v>2</v>
      </c>
      <c r="C23" s="18" t="n"/>
      <c r="D23" s="18" t="n"/>
      <c r="E23" s="19" t="n"/>
      <c r="F23" s="18" t="n"/>
      <c r="G23" s="20">
        <f>IF(AND(D23&lt;&gt;"",I23=""),"⚠ revisar","")</f>
        <v/>
      </c>
      <c r="H23">
        <f>IF(OR($D$5="",C23=""),"",$D$5&amp;"|"&amp;C23)</f>
        <v/>
      </c>
      <c r="I23">
        <f>IF(OR(H23="",D23=""),"",IFERROR(MATCH(H23&amp;"|"&amp;D23,Preguntas!$F$2:$F$1000,0),""))</f>
        <v/>
      </c>
      <c r="K23">
        <f>IF(I23="","",INDEX(Preguntas!$D$2:$D$1000,I23))</f>
        <v/>
      </c>
      <c r="L23">
        <f>IF(K23="","L_YN","L_"&amp;K23)</f>
        <v/>
      </c>
    </row>
    <row r="24">
      <c r="B24" s="17" t="n">
        <v>3</v>
      </c>
      <c r="C24" s="18" t="n"/>
      <c r="D24" s="18" t="n"/>
      <c r="E24" s="19" t="n"/>
      <c r="F24" s="18" t="n"/>
      <c r="G24" s="20">
        <f>IF(AND(D24&lt;&gt;"",I24=""),"⚠ revisar","")</f>
        <v/>
      </c>
      <c r="H24">
        <f>IF(OR($D$5="",C24=""),"",$D$5&amp;"|"&amp;C24)</f>
        <v/>
      </c>
      <c r="I24">
        <f>IF(OR(H24="",D24=""),"",IFERROR(MATCH(H24&amp;"|"&amp;D24,Preguntas!$F$2:$F$1000,0),""))</f>
        <v/>
      </c>
      <c r="K24">
        <f>IF(I24="","",INDEX(Preguntas!$D$2:$D$1000,I24))</f>
        <v/>
      </c>
      <c r="L24">
        <f>IF(K24="","L_YN","L_"&amp;K24)</f>
        <v/>
      </c>
    </row>
    <row r="25">
      <c r="B25" s="17" t="n">
        <v>4</v>
      </c>
      <c r="C25" s="18" t="n"/>
      <c r="D25" s="18" t="n"/>
      <c r="E25" s="19" t="n"/>
      <c r="F25" s="18" t="n"/>
      <c r="G25" s="20">
        <f>IF(AND(D25&lt;&gt;"",I25=""),"⚠ revisar","")</f>
        <v/>
      </c>
      <c r="H25">
        <f>IF(OR($D$5="",C25=""),"",$D$5&amp;"|"&amp;C25)</f>
        <v/>
      </c>
      <c r="I25">
        <f>IF(OR(H25="",D25=""),"",IFERROR(MATCH(H25&amp;"|"&amp;D25,Preguntas!$F$2:$F$1000,0),""))</f>
        <v/>
      </c>
      <c r="K25">
        <f>IF(I25="","",INDEX(Preguntas!$D$2:$D$1000,I25))</f>
        <v/>
      </c>
      <c r="L25">
        <f>IF(K25="","L_YN","L_"&amp;K25)</f>
        <v/>
      </c>
    </row>
    <row r="26">
      <c r="B26" s="17" t="n">
        <v>5</v>
      </c>
      <c r="C26" s="18" t="n"/>
      <c r="D26" s="18" t="n"/>
      <c r="E26" s="19" t="n"/>
      <c r="F26" s="18" t="n"/>
      <c r="G26" s="20">
        <f>IF(AND(D26&lt;&gt;"",I26=""),"⚠ revisar","")</f>
        <v/>
      </c>
      <c r="H26">
        <f>IF(OR($D$5="",C26=""),"",$D$5&amp;"|"&amp;C26)</f>
        <v/>
      </c>
      <c r="I26">
        <f>IF(OR(H26="",D26=""),"",IFERROR(MATCH(H26&amp;"|"&amp;D26,Preguntas!$F$2:$F$1000,0),""))</f>
        <v/>
      </c>
      <c r="K26">
        <f>IF(I26="","",INDEX(Preguntas!$D$2:$D$1000,I26))</f>
        <v/>
      </c>
      <c r="L26">
        <f>IF(K26="","L_YN","L_"&amp;K26)</f>
        <v/>
      </c>
    </row>
    <row r="27">
      <c r="B27" s="17" t="n">
        <v>6</v>
      </c>
      <c r="C27" s="18" t="n"/>
      <c r="D27" s="18" t="n"/>
      <c r="E27" s="19" t="n"/>
      <c r="F27" s="18" t="n"/>
      <c r="G27" s="20">
        <f>IF(AND(D27&lt;&gt;"",I27=""),"⚠ revisar","")</f>
        <v/>
      </c>
      <c r="H27">
        <f>IF(OR($D$5="",C27=""),"",$D$5&amp;"|"&amp;C27)</f>
        <v/>
      </c>
      <c r="I27">
        <f>IF(OR(H27="",D27=""),"",IFERROR(MATCH(H27&amp;"|"&amp;D27,Preguntas!$F$2:$F$1000,0),""))</f>
        <v/>
      </c>
      <c r="K27">
        <f>IF(I27="","",INDEX(Preguntas!$D$2:$D$1000,I27))</f>
        <v/>
      </c>
      <c r="L27">
        <f>IF(K27="","L_YN","L_"&amp;K27)</f>
        <v/>
      </c>
    </row>
    <row r="28">
      <c r="B28" s="17" t="n">
        <v>7</v>
      </c>
      <c r="C28" s="18" t="n"/>
      <c r="D28" s="18" t="n"/>
      <c r="E28" s="19" t="n"/>
      <c r="F28" s="18" t="n"/>
      <c r="G28" s="20">
        <f>IF(AND(D28&lt;&gt;"",I28=""),"⚠ revisar","")</f>
        <v/>
      </c>
      <c r="H28">
        <f>IF(OR($D$5="",C28=""),"",$D$5&amp;"|"&amp;C28)</f>
        <v/>
      </c>
      <c r="I28">
        <f>IF(OR(H28="",D28=""),"",IFERROR(MATCH(H28&amp;"|"&amp;D28,Preguntas!$F$2:$F$1000,0),""))</f>
        <v/>
      </c>
      <c r="K28">
        <f>IF(I28="","",INDEX(Preguntas!$D$2:$D$1000,I28))</f>
        <v/>
      </c>
      <c r="L28">
        <f>IF(K28="","L_YN","L_"&amp;K28)</f>
        <v/>
      </c>
    </row>
    <row r="29">
      <c r="B29" s="17" t="n">
        <v>8</v>
      </c>
      <c r="C29" s="18" t="n"/>
      <c r="D29" s="18" t="n"/>
      <c r="E29" s="19" t="n"/>
      <c r="F29" s="18" t="n"/>
      <c r="G29" s="20">
        <f>IF(AND(D29&lt;&gt;"",I29=""),"⚠ revisar","")</f>
        <v/>
      </c>
      <c r="H29">
        <f>IF(OR($D$5="",C29=""),"",$D$5&amp;"|"&amp;C29)</f>
        <v/>
      </c>
      <c r="I29">
        <f>IF(OR(H29="",D29=""),"",IFERROR(MATCH(H29&amp;"|"&amp;D29,Preguntas!$F$2:$F$1000,0),""))</f>
        <v/>
      </c>
      <c r="K29">
        <f>IF(I29="","",INDEX(Preguntas!$D$2:$D$1000,I29))</f>
        <v/>
      </c>
      <c r="L29">
        <f>IF(K29="","L_YN","L_"&amp;K29)</f>
        <v/>
      </c>
    </row>
    <row r="30">
      <c r="B30" s="17" t="n">
        <v>9</v>
      </c>
      <c r="C30" s="18" t="n"/>
      <c r="D30" s="18" t="n"/>
      <c r="E30" s="19" t="n"/>
      <c r="F30" s="18" t="n"/>
      <c r="G30" s="20">
        <f>IF(AND(D30&lt;&gt;"",I30=""),"⚠ revisar","")</f>
        <v/>
      </c>
      <c r="H30">
        <f>IF(OR($D$5="",C30=""),"",$D$5&amp;"|"&amp;C30)</f>
        <v/>
      </c>
      <c r="I30">
        <f>IF(OR(H30="",D30=""),"",IFERROR(MATCH(H30&amp;"|"&amp;D30,Preguntas!$F$2:$F$1000,0),""))</f>
        <v/>
      </c>
      <c r="K30">
        <f>IF(I30="","",INDEX(Preguntas!$D$2:$D$1000,I30))</f>
        <v/>
      </c>
      <c r="L30">
        <f>IF(K30="","L_YN","L_"&amp;K30)</f>
        <v/>
      </c>
    </row>
    <row r="31">
      <c r="B31" s="17" t="n">
        <v>10</v>
      </c>
      <c r="C31" s="18" t="n"/>
      <c r="D31" s="18" t="n"/>
      <c r="E31" s="19" t="n"/>
      <c r="F31" s="18" t="n"/>
      <c r="G31" s="20">
        <f>IF(AND(D31&lt;&gt;"",I31=""),"⚠ revisar","")</f>
        <v/>
      </c>
      <c r="H31">
        <f>IF(OR($D$5="",C31=""),"",$D$5&amp;"|"&amp;C31)</f>
        <v/>
      </c>
      <c r="I31">
        <f>IF(OR(H31="",D31=""),"",IFERROR(MATCH(H31&amp;"|"&amp;D31,Preguntas!$F$2:$F$1000,0),""))</f>
        <v/>
      </c>
      <c r="K31">
        <f>IF(I31="","",INDEX(Preguntas!$D$2:$D$1000,I31))</f>
        <v/>
      </c>
      <c r="L31">
        <f>IF(K31="","L_YN","L_"&amp;K31)</f>
        <v/>
      </c>
    </row>
    <row r="32">
      <c r="B32" s="17" t="n">
        <v>11</v>
      </c>
      <c r="C32" s="18" t="n"/>
      <c r="D32" s="18" t="n"/>
      <c r="E32" s="19" t="n"/>
      <c r="F32" s="18" t="n"/>
      <c r="G32" s="20">
        <f>IF(AND(D32&lt;&gt;"",I32=""),"⚠ revisar","")</f>
        <v/>
      </c>
      <c r="H32">
        <f>IF(OR($D$5="",C32=""),"",$D$5&amp;"|"&amp;C32)</f>
        <v/>
      </c>
      <c r="I32">
        <f>IF(OR(H32="",D32=""),"",IFERROR(MATCH(H32&amp;"|"&amp;D32,Preguntas!$F$2:$F$1000,0),""))</f>
        <v/>
      </c>
      <c r="K32">
        <f>IF(I32="","",INDEX(Preguntas!$D$2:$D$1000,I32))</f>
        <v/>
      </c>
      <c r="L32">
        <f>IF(K32="","L_YN","L_"&amp;K32)</f>
        <v/>
      </c>
    </row>
    <row r="33">
      <c r="B33" s="17" t="n">
        <v>12</v>
      </c>
      <c r="C33" s="18" t="n"/>
      <c r="D33" s="18" t="n"/>
      <c r="E33" s="19" t="n"/>
      <c r="F33" s="18" t="n"/>
      <c r="G33" s="20">
        <f>IF(AND(D33&lt;&gt;"",I33=""),"⚠ revisar","")</f>
        <v/>
      </c>
      <c r="H33">
        <f>IF(OR($D$5="",C33=""),"",$D$5&amp;"|"&amp;C33)</f>
        <v/>
      </c>
      <c r="I33">
        <f>IF(OR(H33="",D33=""),"",IFERROR(MATCH(H33&amp;"|"&amp;D33,Preguntas!$F$2:$F$1000,0),""))</f>
        <v/>
      </c>
      <c r="K33">
        <f>IF(I33="","",INDEX(Preguntas!$D$2:$D$1000,I33))</f>
        <v/>
      </c>
      <c r="L33">
        <f>IF(K33="","L_YN","L_"&amp;K33)</f>
        <v/>
      </c>
    </row>
    <row r="34">
      <c r="B34" s="17" t="n">
        <v>13</v>
      </c>
      <c r="C34" s="18" t="n"/>
      <c r="D34" s="18" t="n"/>
      <c r="E34" s="19" t="n"/>
      <c r="F34" s="18" t="n"/>
      <c r="G34" s="20">
        <f>IF(AND(D34&lt;&gt;"",I34=""),"⚠ revisar","")</f>
        <v/>
      </c>
      <c r="H34">
        <f>IF(OR($D$5="",C34=""),"",$D$5&amp;"|"&amp;C34)</f>
        <v/>
      </c>
      <c r="I34">
        <f>IF(OR(H34="",D34=""),"",IFERROR(MATCH(H34&amp;"|"&amp;D34,Preguntas!$F$2:$F$1000,0),""))</f>
        <v/>
      </c>
      <c r="K34">
        <f>IF(I34="","",INDEX(Preguntas!$D$2:$D$1000,I34))</f>
        <v/>
      </c>
      <c r="L34">
        <f>IF(K34="","L_YN","L_"&amp;K34)</f>
        <v/>
      </c>
    </row>
    <row r="35">
      <c r="B35" s="17" t="n">
        <v>14</v>
      </c>
      <c r="C35" s="18" t="n"/>
      <c r="D35" s="18" t="n"/>
      <c r="E35" s="19" t="n"/>
      <c r="F35" s="18" t="n"/>
      <c r="G35" s="20">
        <f>IF(AND(D35&lt;&gt;"",I35=""),"⚠ revisar","")</f>
        <v/>
      </c>
      <c r="H35">
        <f>IF(OR($D$5="",C35=""),"",$D$5&amp;"|"&amp;C35)</f>
        <v/>
      </c>
      <c r="I35">
        <f>IF(OR(H35="",D35=""),"",IFERROR(MATCH(H35&amp;"|"&amp;D35,Preguntas!$F$2:$F$1000,0),""))</f>
        <v/>
      </c>
      <c r="K35">
        <f>IF(I35="","",INDEX(Preguntas!$D$2:$D$1000,I35))</f>
        <v/>
      </c>
      <c r="L35">
        <f>IF(K35="","L_YN","L_"&amp;K35)</f>
        <v/>
      </c>
    </row>
    <row r="36">
      <c r="B36" s="17" t="n">
        <v>15</v>
      </c>
      <c r="C36" s="18" t="n"/>
      <c r="D36" s="18" t="n"/>
      <c r="E36" s="19" t="n"/>
      <c r="F36" s="18" t="n"/>
      <c r="G36" s="20">
        <f>IF(AND(D36&lt;&gt;"",I36=""),"⚠ revisar","")</f>
        <v/>
      </c>
      <c r="H36">
        <f>IF(OR($D$5="",C36=""),"",$D$5&amp;"|"&amp;C36)</f>
        <v/>
      </c>
      <c r="I36">
        <f>IF(OR(H36="",D36=""),"",IFERROR(MATCH(H36&amp;"|"&amp;D36,Preguntas!$F$2:$F$1000,0),""))</f>
        <v/>
      </c>
      <c r="K36">
        <f>IF(I36="","",INDEX(Preguntas!$D$2:$D$1000,I36))</f>
        <v/>
      </c>
      <c r="L36">
        <f>IF(K36="","L_YN","L_"&amp;K36)</f>
        <v/>
      </c>
    </row>
    <row r="37">
      <c r="B37" s="17" t="n">
        <v>16</v>
      </c>
      <c r="C37" s="18" t="n"/>
      <c r="D37" s="18" t="n"/>
      <c r="E37" s="19" t="n"/>
      <c r="F37" s="18" t="n"/>
      <c r="G37" s="20">
        <f>IF(AND(D37&lt;&gt;"",I37=""),"⚠ revisar","")</f>
        <v/>
      </c>
      <c r="H37">
        <f>IF(OR($D$5="",C37=""),"",$D$5&amp;"|"&amp;C37)</f>
        <v/>
      </c>
      <c r="I37">
        <f>IF(OR(H37="",D37=""),"",IFERROR(MATCH(H37&amp;"|"&amp;D37,Preguntas!$F$2:$F$1000,0),""))</f>
        <v/>
      </c>
      <c r="K37">
        <f>IF(I37="","",INDEX(Preguntas!$D$2:$D$1000,I37))</f>
        <v/>
      </c>
      <c r="L37">
        <f>IF(K37="","L_YN","L_"&amp;K37)</f>
        <v/>
      </c>
    </row>
    <row r="38">
      <c r="B38" s="17" t="n">
        <v>17</v>
      </c>
      <c r="C38" s="18" t="n"/>
      <c r="D38" s="18" t="n"/>
      <c r="E38" s="19" t="n"/>
      <c r="F38" s="18" t="n"/>
      <c r="G38" s="20">
        <f>IF(AND(D38&lt;&gt;"",I38=""),"⚠ revisar","")</f>
        <v/>
      </c>
      <c r="H38">
        <f>IF(OR($D$5="",C38=""),"",$D$5&amp;"|"&amp;C38)</f>
        <v/>
      </c>
      <c r="I38">
        <f>IF(OR(H38="",D38=""),"",IFERROR(MATCH(H38&amp;"|"&amp;D38,Preguntas!$F$2:$F$1000,0),""))</f>
        <v/>
      </c>
      <c r="K38">
        <f>IF(I38="","",INDEX(Preguntas!$D$2:$D$1000,I38))</f>
        <v/>
      </c>
      <c r="L38">
        <f>IF(K38="","L_YN","L_"&amp;K38)</f>
        <v/>
      </c>
    </row>
    <row r="39">
      <c r="B39" s="17" t="n">
        <v>18</v>
      </c>
      <c r="C39" s="18" t="n"/>
      <c r="D39" s="18" t="n"/>
      <c r="E39" s="19" t="n"/>
      <c r="F39" s="18" t="n"/>
      <c r="G39" s="20">
        <f>IF(AND(D39&lt;&gt;"",I39=""),"⚠ revisar","")</f>
        <v/>
      </c>
      <c r="H39">
        <f>IF(OR($D$5="",C39=""),"",$D$5&amp;"|"&amp;C39)</f>
        <v/>
      </c>
      <c r="I39">
        <f>IF(OR(H39="",D39=""),"",IFERROR(MATCH(H39&amp;"|"&amp;D39,Preguntas!$F$2:$F$1000,0),""))</f>
        <v/>
      </c>
      <c r="K39">
        <f>IF(I39="","",INDEX(Preguntas!$D$2:$D$1000,I39))</f>
        <v/>
      </c>
      <c r="L39">
        <f>IF(K39="","L_YN","L_"&amp;K39)</f>
        <v/>
      </c>
    </row>
    <row r="40">
      <c r="B40" s="17" t="n">
        <v>19</v>
      </c>
      <c r="C40" s="18" t="n"/>
      <c r="D40" s="18" t="n"/>
      <c r="E40" s="19" t="n"/>
      <c r="F40" s="18" t="n"/>
      <c r="G40" s="20">
        <f>IF(AND(D40&lt;&gt;"",I40=""),"⚠ revisar","")</f>
        <v/>
      </c>
      <c r="H40">
        <f>IF(OR($D$5="",C40=""),"",$D$5&amp;"|"&amp;C40)</f>
        <v/>
      </c>
      <c r="I40">
        <f>IF(OR(H40="",D40=""),"",IFERROR(MATCH(H40&amp;"|"&amp;D40,Preguntas!$F$2:$F$1000,0),""))</f>
        <v/>
      </c>
      <c r="K40">
        <f>IF(I40="","",INDEX(Preguntas!$D$2:$D$1000,I40))</f>
        <v/>
      </c>
      <c r="L40">
        <f>IF(K40="","L_YN","L_"&amp;K40)</f>
        <v/>
      </c>
    </row>
    <row r="41">
      <c r="B41" s="17" t="n">
        <v>20</v>
      </c>
      <c r="C41" s="18" t="n"/>
      <c r="D41" s="18" t="n"/>
      <c r="E41" s="19" t="n"/>
      <c r="F41" s="18" t="n"/>
      <c r="G41" s="20">
        <f>IF(AND(D41&lt;&gt;"",I41=""),"⚠ revisar","")</f>
        <v/>
      </c>
      <c r="H41">
        <f>IF(OR($D$5="",C41=""),"",$D$5&amp;"|"&amp;C41)</f>
        <v/>
      </c>
      <c r="I41">
        <f>IF(OR(H41="",D41=""),"",IFERROR(MATCH(H41&amp;"|"&amp;D41,Preguntas!$F$2:$F$1000,0),""))</f>
        <v/>
      </c>
      <c r="K41">
        <f>IF(I41="","",INDEX(Preguntas!$D$2:$D$1000,I41))</f>
        <v/>
      </c>
      <c r="L41">
        <f>IF(K41="","L_YN","L_"&amp;K41)</f>
        <v/>
      </c>
    </row>
    <row r="42">
      <c r="B42" s="17" t="n">
        <v>21</v>
      </c>
      <c r="C42" s="18" t="n"/>
      <c r="D42" s="18" t="n"/>
      <c r="E42" s="19" t="n"/>
      <c r="F42" s="18" t="n"/>
      <c r="G42" s="20">
        <f>IF(AND(D42&lt;&gt;"",I42=""),"⚠ revisar","")</f>
        <v/>
      </c>
      <c r="H42">
        <f>IF(OR($D$5="",C42=""),"",$D$5&amp;"|"&amp;C42)</f>
        <v/>
      </c>
      <c r="I42">
        <f>IF(OR(H42="",D42=""),"",IFERROR(MATCH(H42&amp;"|"&amp;D42,Preguntas!$F$2:$F$1000,0),""))</f>
        <v/>
      </c>
      <c r="K42">
        <f>IF(I42="","",INDEX(Preguntas!$D$2:$D$1000,I42))</f>
        <v/>
      </c>
      <c r="L42">
        <f>IF(K42="","L_YN","L_"&amp;K42)</f>
        <v/>
      </c>
    </row>
    <row r="43">
      <c r="B43" s="17" t="n">
        <v>22</v>
      </c>
      <c r="C43" s="18" t="n"/>
      <c r="D43" s="18" t="n"/>
      <c r="E43" s="19" t="n"/>
      <c r="F43" s="18" t="n"/>
      <c r="G43" s="20">
        <f>IF(AND(D43&lt;&gt;"",I43=""),"⚠ revisar","")</f>
        <v/>
      </c>
      <c r="H43">
        <f>IF(OR($D$5="",C43=""),"",$D$5&amp;"|"&amp;C43)</f>
        <v/>
      </c>
      <c r="I43">
        <f>IF(OR(H43="",D43=""),"",IFERROR(MATCH(H43&amp;"|"&amp;D43,Preguntas!$F$2:$F$1000,0),""))</f>
        <v/>
      </c>
      <c r="K43">
        <f>IF(I43="","",INDEX(Preguntas!$D$2:$D$1000,I43))</f>
        <v/>
      </c>
      <c r="L43">
        <f>IF(K43="","L_YN","L_"&amp;K43)</f>
        <v/>
      </c>
    </row>
    <row r="44">
      <c r="B44" s="17" t="n">
        <v>23</v>
      </c>
      <c r="C44" s="18" t="n"/>
      <c r="D44" s="18" t="n"/>
      <c r="E44" s="19" t="n"/>
      <c r="F44" s="18" t="n"/>
      <c r="G44" s="20">
        <f>IF(AND(D44&lt;&gt;"",I44=""),"⚠ revisar","")</f>
        <v/>
      </c>
      <c r="H44">
        <f>IF(OR($D$5="",C44=""),"",$D$5&amp;"|"&amp;C44)</f>
        <v/>
      </c>
      <c r="I44">
        <f>IF(OR(H44="",D44=""),"",IFERROR(MATCH(H44&amp;"|"&amp;D44,Preguntas!$F$2:$F$1000,0),""))</f>
        <v/>
      </c>
      <c r="K44">
        <f>IF(I44="","",INDEX(Preguntas!$D$2:$D$1000,I44))</f>
        <v/>
      </c>
      <c r="L44">
        <f>IF(K44="","L_YN","L_"&amp;K44)</f>
        <v/>
      </c>
    </row>
    <row r="45">
      <c r="B45" s="17" t="n">
        <v>24</v>
      </c>
      <c r="C45" s="18" t="n"/>
      <c r="D45" s="18" t="n"/>
      <c r="E45" s="19" t="n"/>
      <c r="F45" s="18" t="n"/>
      <c r="G45" s="20">
        <f>IF(AND(D45&lt;&gt;"",I45=""),"⚠ revisar","")</f>
        <v/>
      </c>
      <c r="H45">
        <f>IF(OR($D$5="",C45=""),"",$D$5&amp;"|"&amp;C45)</f>
        <v/>
      </c>
      <c r="I45">
        <f>IF(OR(H45="",D45=""),"",IFERROR(MATCH(H45&amp;"|"&amp;D45,Preguntas!$F$2:$F$1000,0),""))</f>
        <v/>
      </c>
      <c r="K45">
        <f>IF(I45="","",INDEX(Preguntas!$D$2:$D$1000,I45))</f>
        <v/>
      </c>
      <c r="L45">
        <f>IF(K45="","L_YN","L_"&amp;K45)</f>
        <v/>
      </c>
    </row>
    <row r="46">
      <c r="B46" s="17" t="n">
        <v>25</v>
      </c>
      <c r="C46" s="18" t="n"/>
      <c r="D46" s="18" t="n"/>
      <c r="E46" s="19" t="n"/>
      <c r="F46" s="18" t="n"/>
      <c r="G46" s="20">
        <f>IF(AND(D46&lt;&gt;"",I46=""),"⚠ revisar","")</f>
        <v/>
      </c>
      <c r="H46">
        <f>IF(OR($D$5="",C46=""),"",$D$5&amp;"|"&amp;C46)</f>
        <v/>
      </c>
      <c r="I46">
        <f>IF(OR(H46="",D46=""),"",IFERROR(MATCH(H46&amp;"|"&amp;D46,Preguntas!$F$2:$F$1000,0),""))</f>
        <v/>
      </c>
      <c r="K46">
        <f>IF(I46="","",INDEX(Preguntas!$D$2:$D$1000,I46))</f>
        <v/>
      </c>
      <c r="L46">
        <f>IF(K46="","L_YN","L_"&amp;K46)</f>
        <v/>
      </c>
    </row>
    <row r="47">
      <c r="B47" s="17" t="n">
        <v>26</v>
      </c>
      <c r="C47" s="18" t="n"/>
      <c r="D47" s="18" t="n"/>
      <c r="E47" s="19" t="n"/>
      <c r="F47" s="18" t="n"/>
      <c r="G47" s="20">
        <f>IF(AND(D47&lt;&gt;"",I47=""),"⚠ revisar","")</f>
        <v/>
      </c>
      <c r="H47">
        <f>IF(OR($D$5="",C47=""),"",$D$5&amp;"|"&amp;C47)</f>
        <v/>
      </c>
      <c r="I47">
        <f>IF(OR(H47="",D47=""),"",IFERROR(MATCH(H47&amp;"|"&amp;D47,Preguntas!$F$2:$F$1000,0),""))</f>
        <v/>
      </c>
      <c r="K47">
        <f>IF(I47="","",INDEX(Preguntas!$D$2:$D$1000,I47))</f>
        <v/>
      </c>
      <c r="L47">
        <f>IF(K47="","L_YN","L_"&amp;K47)</f>
        <v/>
      </c>
    </row>
    <row r="48">
      <c r="B48" s="17" t="n">
        <v>27</v>
      </c>
      <c r="C48" s="18" t="n"/>
      <c r="D48" s="18" t="n"/>
      <c r="E48" s="19" t="n"/>
      <c r="F48" s="18" t="n"/>
      <c r="G48" s="20">
        <f>IF(AND(D48&lt;&gt;"",I48=""),"⚠ revisar","")</f>
        <v/>
      </c>
      <c r="H48">
        <f>IF(OR($D$5="",C48=""),"",$D$5&amp;"|"&amp;C48)</f>
        <v/>
      </c>
      <c r="I48">
        <f>IF(OR(H48="",D48=""),"",IFERROR(MATCH(H48&amp;"|"&amp;D48,Preguntas!$F$2:$F$1000,0),""))</f>
        <v/>
      </c>
      <c r="K48">
        <f>IF(I48="","",INDEX(Preguntas!$D$2:$D$1000,I48))</f>
        <v/>
      </c>
      <c r="L48">
        <f>IF(K48="","L_YN","L_"&amp;K48)</f>
        <v/>
      </c>
    </row>
    <row r="49">
      <c r="B49" s="17" t="n">
        <v>28</v>
      </c>
      <c r="C49" s="18" t="n"/>
      <c r="D49" s="18" t="n"/>
      <c r="E49" s="19" t="n"/>
      <c r="F49" s="18" t="n"/>
      <c r="G49" s="20">
        <f>IF(AND(D49&lt;&gt;"",I49=""),"⚠ revisar","")</f>
        <v/>
      </c>
      <c r="H49">
        <f>IF(OR($D$5="",C49=""),"",$D$5&amp;"|"&amp;C49)</f>
        <v/>
      </c>
      <c r="I49">
        <f>IF(OR(H49="",D49=""),"",IFERROR(MATCH(H49&amp;"|"&amp;D49,Preguntas!$F$2:$F$1000,0),""))</f>
        <v/>
      </c>
      <c r="K49">
        <f>IF(I49="","",INDEX(Preguntas!$D$2:$D$1000,I49))</f>
        <v/>
      </c>
      <c r="L49">
        <f>IF(K49="","L_YN","L_"&amp;K49)</f>
        <v/>
      </c>
    </row>
    <row r="50">
      <c r="B50" s="17" t="n">
        <v>29</v>
      </c>
      <c r="C50" s="18" t="n"/>
      <c r="D50" s="18" t="n"/>
      <c r="E50" s="19" t="n"/>
      <c r="F50" s="18" t="n"/>
      <c r="G50" s="20">
        <f>IF(AND(D50&lt;&gt;"",I50=""),"⚠ revisar","")</f>
        <v/>
      </c>
      <c r="H50">
        <f>IF(OR($D$5="",C50=""),"",$D$5&amp;"|"&amp;C50)</f>
        <v/>
      </c>
      <c r="I50">
        <f>IF(OR(H50="",D50=""),"",IFERROR(MATCH(H50&amp;"|"&amp;D50,Preguntas!$F$2:$F$1000,0),""))</f>
        <v/>
      </c>
      <c r="K50">
        <f>IF(I50="","",INDEX(Preguntas!$D$2:$D$1000,I50))</f>
        <v/>
      </c>
      <c r="L50">
        <f>IF(K50="","L_YN","L_"&amp;K50)</f>
        <v/>
      </c>
    </row>
    <row r="51">
      <c r="B51" s="17" t="n">
        <v>30</v>
      </c>
      <c r="C51" s="18" t="n"/>
      <c r="D51" s="18" t="n"/>
      <c r="E51" s="19" t="n"/>
      <c r="F51" s="18" t="n"/>
      <c r="G51" s="20">
        <f>IF(AND(D51&lt;&gt;"",I51=""),"⚠ revisar","")</f>
        <v/>
      </c>
      <c r="H51">
        <f>IF(OR($D$5="",C51=""),"",$D$5&amp;"|"&amp;C51)</f>
        <v/>
      </c>
      <c r="I51">
        <f>IF(OR(H51="",D51=""),"",IFERROR(MATCH(H51&amp;"|"&amp;D51,Preguntas!$F$2:$F$1000,0),""))</f>
        <v/>
      </c>
      <c r="K51">
        <f>IF(I51="","",INDEX(Preguntas!$D$2:$D$1000,I51))</f>
        <v/>
      </c>
      <c r="L51">
        <f>IF(K51="","L_YN","L_"&amp;K51)</f>
        <v/>
      </c>
    </row>
    <row r="52">
      <c r="B52" s="17" t="n">
        <v>31</v>
      </c>
      <c r="C52" s="18" t="n"/>
      <c r="D52" s="18" t="n"/>
      <c r="E52" s="19" t="n"/>
      <c r="F52" s="18" t="n"/>
      <c r="G52" s="20">
        <f>IF(AND(D52&lt;&gt;"",I52=""),"⚠ revisar","")</f>
        <v/>
      </c>
      <c r="H52">
        <f>IF(OR($D$5="",C52=""),"",$D$5&amp;"|"&amp;C52)</f>
        <v/>
      </c>
      <c r="I52">
        <f>IF(OR(H52="",D52=""),"",IFERROR(MATCH(H52&amp;"|"&amp;D52,Preguntas!$F$2:$F$1000,0),""))</f>
        <v/>
      </c>
      <c r="K52">
        <f>IF(I52="","",INDEX(Preguntas!$D$2:$D$1000,I52))</f>
        <v/>
      </c>
      <c r="L52">
        <f>IF(K52="","L_YN","L_"&amp;K52)</f>
        <v/>
      </c>
    </row>
    <row r="53">
      <c r="B53" s="17" t="n">
        <v>32</v>
      </c>
      <c r="C53" s="18" t="n"/>
      <c r="D53" s="18" t="n"/>
      <c r="E53" s="19" t="n"/>
      <c r="F53" s="18" t="n"/>
      <c r="G53" s="20">
        <f>IF(AND(D53&lt;&gt;"",I53=""),"⚠ revisar","")</f>
        <v/>
      </c>
      <c r="H53">
        <f>IF(OR($D$5="",C53=""),"",$D$5&amp;"|"&amp;C53)</f>
        <v/>
      </c>
      <c r="I53">
        <f>IF(OR(H53="",D53=""),"",IFERROR(MATCH(H53&amp;"|"&amp;D53,Preguntas!$F$2:$F$1000,0),""))</f>
        <v/>
      </c>
      <c r="K53">
        <f>IF(I53="","",INDEX(Preguntas!$D$2:$D$1000,I53))</f>
        <v/>
      </c>
      <c r="L53">
        <f>IF(K53="","L_YN","L_"&amp;K53)</f>
        <v/>
      </c>
    </row>
    <row r="54">
      <c r="B54" s="17" t="n">
        <v>33</v>
      </c>
      <c r="C54" s="18" t="n"/>
      <c r="D54" s="18" t="n"/>
      <c r="E54" s="19" t="n"/>
      <c r="F54" s="18" t="n"/>
      <c r="G54" s="20">
        <f>IF(AND(D54&lt;&gt;"",I54=""),"⚠ revisar","")</f>
        <v/>
      </c>
      <c r="H54">
        <f>IF(OR($D$5="",C54=""),"",$D$5&amp;"|"&amp;C54)</f>
        <v/>
      </c>
      <c r="I54">
        <f>IF(OR(H54="",D54=""),"",IFERROR(MATCH(H54&amp;"|"&amp;D54,Preguntas!$F$2:$F$1000,0),""))</f>
        <v/>
      </c>
      <c r="K54">
        <f>IF(I54="","",INDEX(Preguntas!$D$2:$D$1000,I54))</f>
        <v/>
      </c>
      <c r="L54">
        <f>IF(K54="","L_YN","L_"&amp;K54)</f>
        <v/>
      </c>
    </row>
    <row r="55">
      <c r="B55" s="17" t="n">
        <v>34</v>
      </c>
      <c r="C55" s="18" t="n"/>
      <c r="D55" s="18" t="n"/>
      <c r="E55" s="19" t="n"/>
      <c r="F55" s="18" t="n"/>
      <c r="G55" s="20">
        <f>IF(AND(D55&lt;&gt;"",I55=""),"⚠ revisar","")</f>
        <v/>
      </c>
      <c r="H55">
        <f>IF(OR($D$5="",C55=""),"",$D$5&amp;"|"&amp;C55)</f>
        <v/>
      </c>
      <c r="I55">
        <f>IF(OR(H55="",D55=""),"",IFERROR(MATCH(H55&amp;"|"&amp;D55,Preguntas!$F$2:$F$1000,0),""))</f>
        <v/>
      </c>
      <c r="K55">
        <f>IF(I55="","",INDEX(Preguntas!$D$2:$D$1000,I55))</f>
        <v/>
      </c>
      <c r="L55">
        <f>IF(K55="","L_YN","L_"&amp;K55)</f>
        <v/>
      </c>
    </row>
    <row r="56">
      <c r="B56" s="17" t="n">
        <v>35</v>
      </c>
      <c r="C56" s="18" t="n"/>
      <c r="D56" s="18" t="n"/>
      <c r="E56" s="19" t="n"/>
      <c r="F56" s="18" t="n"/>
      <c r="G56" s="20">
        <f>IF(AND(D56&lt;&gt;"",I56=""),"⚠ revisar","")</f>
        <v/>
      </c>
      <c r="H56">
        <f>IF(OR($D$5="",C56=""),"",$D$5&amp;"|"&amp;C56)</f>
        <v/>
      </c>
      <c r="I56">
        <f>IF(OR(H56="",D56=""),"",IFERROR(MATCH(H56&amp;"|"&amp;D56,Preguntas!$F$2:$F$1000,0),""))</f>
        <v/>
      </c>
      <c r="K56">
        <f>IF(I56="","",INDEX(Preguntas!$D$2:$D$1000,I56))</f>
        <v/>
      </c>
      <c r="L56">
        <f>IF(K56="","L_YN","L_"&amp;K56)</f>
        <v/>
      </c>
    </row>
    <row r="57">
      <c r="B57" s="17" t="n">
        <v>36</v>
      </c>
      <c r="C57" s="18" t="n"/>
      <c r="D57" s="18" t="n"/>
      <c r="E57" s="19" t="n"/>
      <c r="F57" s="18" t="n"/>
      <c r="G57" s="20">
        <f>IF(AND(D57&lt;&gt;"",I57=""),"⚠ revisar","")</f>
        <v/>
      </c>
      <c r="H57">
        <f>IF(OR($D$5="",C57=""),"",$D$5&amp;"|"&amp;C57)</f>
        <v/>
      </c>
      <c r="I57">
        <f>IF(OR(H57="",D57=""),"",IFERROR(MATCH(H57&amp;"|"&amp;D57,Preguntas!$F$2:$F$1000,0),""))</f>
        <v/>
      </c>
      <c r="K57">
        <f>IF(I57="","",INDEX(Preguntas!$D$2:$D$1000,I57))</f>
        <v/>
      </c>
      <c r="L57">
        <f>IF(K57="","L_YN","L_"&amp;K57)</f>
        <v/>
      </c>
    </row>
    <row r="58">
      <c r="B58" s="17" t="n">
        <v>37</v>
      </c>
      <c r="C58" s="18" t="n"/>
      <c r="D58" s="18" t="n"/>
      <c r="E58" s="19" t="n"/>
      <c r="F58" s="18" t="n"/>
      <c r="G58" s="20">
        <f>IF(AND(D58&lt;&gt;"",I58=""),"⚠ revisar","")</f>
        <v/>
      </c>
      <c r="H58">
        <f>IF(OR($D$5="",C58=""),"",$D$5&amp;"|"&amp;C58)</f>
        <v/>
      </c>
      <c r="I58">
        <f>IF(OR(H58="",D58=""),"",IFERROR(MATCH(H58&amp;"|"&amp;D58,Preguntas!$F$2:$F$1000,0),""))</f>
        <v/>
      </c>
      <c r="K58">
        <f>IF(I58="","",INDEX(Preguntas!$D$2:$D$1000,I58))</f>
        <v/>
      </c>
      <c r="L58">
        <f>IF(K58="","L_YN","L_"&amp;K58)</f>
        <v/>
      </c>
    </row>
    <row r="59">
      <c r="B59" s="17" t="n">
        <v>38</v>
      </c>
      <c r="C59" s="18" t="n"/>
      <c r="D59" s="18" t="n"/>
      <c r="E59" s="19" t="n"/>
      <c r="F59" s="18" t="n"/>
      <c r="G59" s="20">
        <f>IF(AND(D59&lt;&gt;"",I59=""),"⚠ revisar","")</f>
        <v/>
      </c>
      <c r="H59">
        <f>IF(OR($D$5="",C59=""),"",$D$5&amp;"|"&amp;C59)</f>
        <v/>
      </c>
      <c r="I59">
        <f>IF(OR(H59="",D59=""),"",IFERROR(MATCH(H59&amp;"|"&amp;D59,Preguntas!$F$2:$F$1000,0),""))</f>
        <v/>
      </c>
      <c r="K59">
        <f>IF(I59="","",INDEX(Preguntas!$D$2:$D$1000,I59))</f>
        <v/>
      </c>
      <c r="L59">
        <f>IF(K59="","L_YN","L_"&amp;K59)</f>
        <v/>
      </c>
    </row>
    <row r="60">
      <c r="B60" s="17" t="n">
        <v>39</v>
      </c>
      <c r="C60" s="18" t="n"/>
      <c r="D60" s="18" t="n"/>
      <c r="E60" s="19" t="n"/>
      <c r="F60" s="18" t="n"/>
      <c r="G60" s="20">
        <f>IF(AND(D60&lt;&gt;"",I60=""),"⚠ revisar","")</f>
        <v/>
      </c>
      <c r="H60">
        <f>IF(OR($D$5="",C60=""),"",$D$5&amp;"|"&amp;C60)</f>
        <v/>
      </c>
      <c r="I60">
        <f>IF(OR(H60="",D60=""),"",IFERROR(MATCH(H60&amp;"|"&amp;D60,Preguntas!$F$2:$F$1000,0),""))</f>
        <v/>
      </c>
      <c r="K60">
        <f>IF(I60="","",INDEX(Preguntas!$D$2:$D$1000,I60))</f>
        <v/>
      </c>
      <c r="L60">
        <f>IF(K60="","L_YN","L_"&amp;K60)</f>
        <v/>
      </c>
    </row>
    <row r="61">
      <c r="B61" s="17" t="n">
        <v>40</v>
      </c>
      <c r="C61" s="18" t="n"/>
      <c r="D61" s="18" t="n"/>
      <c r="E61" s="19" t="n"/>
      <c r="F61" s="18" t="n"/>
      <c r="G61" s="20">
        <f>IF(AND(D61&lt;&gt;"",I61=""),"⚠ revisar","")</f>
        <v/>
      </c>
      <c r="H61">
        <f>IF(OR($D$5="",C61=""),"",$D$5&amp;"|"&amp;C61)</f>
        <v/>
      </c>
      <c r="I61">
        <f>IF(OR(H61="",D61=""),"",IFERROR(MATCH(H61&amp;"|"&amp;D61,Preguntas!$F$2:$F$1000,0),""))</f>
        <v/>
      </c>
      <c r="K61">
        <f>IF(I61="","",INDEX(Preguntas!$D$2:$D$1000,I61))</f>
        <v/>
      </c>
      <c r="L61">
        <f>IF(K61="","L_YN","L_"&amp;K61)</f>
        <v/>
      </c>
    </row>
    <row r="62">
      <c r="B62" s="17" t="n">
        <v>41</v>
      </c>
      <c r="C62" s="18" t="n"/>
      <c r="D62" s="18" t="n"/>
      <c r="E62" s="19" t="n"/>
      <c r="F62" s="18" t="n"/>
      <c r="G62" s="20">
        <f>IF(AND(D62&lt;&gt;"",I62=""),"⚠ revisar","")</f>
        <v/>
      </c>
      <c r="H62">
        <f>IF(OR($D$5="",C62=""),"",$D$5&amp;"|"&amp;C62)</f>
        <v/>
      </c>
      <c r="I62">
        <f>IF(OR(H62="",D62=""),"",IFERROR(MATCH(H62&amp;"|"&amp;D62,Preguntas!$F$2:$F$1000,0),""))</f>
        <v/>
      </c>
      <c r="K62">
        <f>IF(I62="","",INDEX(Preguntas!$D$2:$D$1000,I62))</f>
        <v/>
      </c>
      <c r="L62">
        <f>IF(K62="","L_YN","L_"&amp;K62)</f>
        <v/>
      </c>
    </row>
    <row r="63">
      <c r="B63" s="17" t="n">
        <v>42</v>
      </c>
      <c r="C63" s="18" t="n"/>
      <c r="D63" s="18" t="n"/>
      <c r="E63" s="19" t="n"/>
      <c r="F63" s="18" t="n"/>
      <c r="G63" s="20">
        <f>IF(AND(D63&lt;&gt;"",I63=""),"⚠ revisar","")</f>
        <v/>
      </c>
      <c r="H63">
        <f>IF(OR($D$5="",C63=""),"",$D$5&amp;"|"&amp;C63)</f>
        <v/>
      </c>
      <c r="I63">
        <f>IF(OR(H63="",D63=""),"",IFERROR(MATCH(H63&amp;"|"&amp;D63,Preguntas!$F$2:$F$1000,0),""))</f>
        <v/>
      </c>
      <c r="K63">
        <f>IF(I63="","",INDEX(Preguntas!$D$2:$D$1000,I63))</f>
        <v/>
      </c>
      <c r="L63">
        <f>IF(K63="","L_YN","L_"&amp;K63)</f>
        <v/>
      </c>
    </row>
    <row r="64">
      <c r="B64" s="17" t="n">
        <v>43</v>
      </c>
      <c r="C64" s="18" t="n"/>
      <c r="D64" s="18" t="n"/>
      <c r="E64" s="19" t="n"/>
      <c r="F64" s="18" t="n"/>
      <c r="G64" s="20">
        <f>IF(AND(D64&lt;&gt;"",I64=""),"⚠ revisar","")</f>
        <v/>
      </c>
      <c r="H64">
        <f>IF(OR($D$5="",C64=""),"",$D$5&amp;"|"&amp;C64)</f>
        <v/>
      </c>
      <c r="I64">
        <f>IF(OR(H64="",D64=""),"",IFERROR(MATCH(H64&amp;"|"&amp;D64,Preguntas!$F$2:$F$1000,0),""))</f>
        <v/>
      </c>
      <c r="K64">
        <f>IF(I64="","",INDEX(Preguntas!$D$2:$D$1000,I64))</f>
        <v/>
      </c>
      <c r="L64">
        <f>IF(K64="","L_YN","L_"&amp;K64)</f>
        <v/>
      </c>
    </row>
    <row r="65">
      <c r="B65" s="17" t="n">
        <v>44</v>
      </c>
      <c r="C65" s="18" t="n"/>
      <c r="D65" s="18" t="n"/>
      <c r="E65" s="19" t="n"/>
      <c r="F65" s="18" t="n"/>
      <c r="G65" s="20">
        <f>IF(AND(D65&lt;&gt;"",I65=""),"⚠ revisar","")</f>
        <v/>
      </c>
      <c r="H65">
        <f>IF(OR($D$5="",C65=""),"",$D$5&amp;"|"&amp;C65)</f>
        <v/>
      </c>
      <c r="I65">
        <f>IF(OR(H65="",D65=""),"",IFERROR(MATCH(H65&amp;"|"&amp;D65,Preguntas!$F$2:$F$1000,0),""))</f>
        <v/>
      </c>
      <c r="K65">
        <f>IF(I65="","",INDEX(Preguntas!$D$2:$D$1000,I65))</f>
        <v/>
      </c>
      <c r="L65">
        <f>IF(K65="","L_YN","L_"&amp;K65)</f>
        <v/>
      </c>
    </row>
    <row r="66">
      <c r="B66" s="17" t="n">
        <v>45</v>
      </c>
      <c r="C66" s="18" t="n"/>
      <c r="D66" s="18" t="n"/>
      <c r="E66" s="19" t="n"/>
      <c r="F66" s="18" t="n"/>
      <c r="G66" s="20">
        <f>IF(AND(D66&lt;&gt;"",I66=""),"⚠ revisar","")</f>
        <v/>
      </c>
      <c r="H66">
        <f>IF(OR($D$5="",C66=""),"",$D$5&amp;"|"&amp;C66)</f>
        <v/>
      </c>
      <c r="I66">
        <f>IF(OR(H66="",D66=""),"",IFERROR(MATCH(H66&amp;"|"&amp;D66,Preguntas!$F$2:$F$1000,0),""))</f>
        <v/>
      </c>
      <c r="K66">
        <f>IF(I66="","",INDEX(Preguntas!$D$2:$D$1000,I66))</f>
        <v/>
      </c>
      <c r="L66">
        <f>IF(K66="","L_YN","L_"&amp;K66)</f>
        <v/>
      </c>
    </row>
    <row r="67">
      <c r="B67" s="17" t="n">
        <v>46</v>
      </c>
      <c r="C67" s="18" t="n"/>
      <c r="D67" s="18" t="n"/>
      <c r="E67" s="19" t="n"/>
      <c r="F67" s="18" t="n"/>
      <c r="G67" s="20">
        <f>IF(AND(D67&lt;&gt;"",I67=""),"⚠ revisar","")</f>
        <v/>
      </c>
      <c r="H67">
        <f>IF(OR($D$5="",C67=""),"",$D$5&amp;"|"&amp;C67)</f>
        <v/>
      </c>
      <c r="I67">
        <f>IF(OR(H67="",D67=""),"",IFERROR(MATCH(H67&amp;"|"&amp;D67,Preguntas!$F$2:$F$1000,0),""))</f>
        <v/>
      </c>
      <c r="K67">
        <f>IF(I67="","",INDEX(Preguntas!$D$2:$D$1000,I67))</f>
        <v/>
      </c>
      <c r="L67">
        <f>IF(K67="","L_YN","L_"&amp;K67)</f>
        <v/>
      </c>
    </row>
    <row r="68">
      <c r="B68" s="17" t="n">
        <v>47</v>
      </c>
      <c r="C68" s="18" t="n"/>
      <c r="D68" s="18" t="n"/>
      <c r="E68" s="19" t="n"/>
      <c r="F68" s="18" t="n"/>
      <c r="G68" s="20">
        <f>IF(AND(D68&lt;&gt;"",I68=""),"⚠ revisar","")</f>
        <v/>
      </c>
      <c r="H68">
        <f>IF(OR($D$5="",C68=""),"",$D$5&amp;"|"&amp;C68)</f>
        <v/>
      </c>
      <c r="I68">
        <f>IF(OR(H68="",D68=""),"",IFERROR(MATCH(H68&amp;"|"&amp;D68,Preguntas!$F$2:$F$1000,0),""))</f>
        <v/>
      </c>
      <c r="K68">
        <f>IF(I68="","",INDEX(Preguntas!$D$2:$D$1000,I68))</f>
        <v/>
      </c>
      <c r="L68">
        <f>IF(K68="","L_YN","L_"&amp;K68)</f>
        <v/>
      </c>
    </row>
    <row r="69">
      <c r="B69" s="17" t="n">
        <v>48</v>
      </c>
      <c r="C69" s="18" t="n"/>
      <c r="D69" s="18" t="n"/>
      <c r="E69" s="19" t="n"/>
      <c r="F69" s="18" t="n"/>
      <c r="G69" s="20">
        <f>IF(AND(D69&lt;&gt;"",I69=""),"⚠ revisar","")</f>
        <v/>
      </c>
      <c r="H69">
        <f>IF(OR($D$5="",C69=""),"",$D$5&amp;"|"&amp;C69)</f>
        <v/>
      </c>
      <c r="I69">
        <f>IF(OR(H69="",D69=""),"",IFERROR(MATCH(H69&amp;"|"&amp;D69,Preguntas!$F$2:$F$1000,0),""))</f>
        <v/>
      </c>
      <c r="K69">
        <f>IF(I69="","",INDEX(Preguntas!$D$2:$D$1000,I69))</f>
        <v/>
      </c>
      <c r="L69">
        <f>IF(K69="","L_YN","L_"&amp;K69)</f>
        <v/>
      </c>
    </row>
    <row r="70">
      <c r="B70" s="17" t="n">
        <v>49</v>
      </c>
      <c r="C70" s="18" t="n"/>
      <c r="D70" s="18" t="n"/>
      <c r="E70" s="19" t="n"/>
      <c r="F70" s="18" t="n"/>
      <c r="G70" s="20">
        <f>IF(AND(D70&lt;&gt;"",I70=""),"⚠ revisar","")</f>
        <v/>
      </c>
      <c r="H70">
        <f>IF(OR($D$5="",C70=""),"",$D$5&amp;"|"&amp;C70)</f>
        <v/>
      </c>
      <c r="I70">
        <f>IF(OR(H70="",D70=""),"",IFERROR(MATCH(H70&amp;"|"&amp;D70,Preguntas!$F$2:$F$1000,0),""))</f>
        <v/>
      </c>
      <c r="K70">
        <f>IF(I70="","",INDEX(Preguntas!$D$2:$D$1000,I70))</f>
        <v/>
      </c>
      <c r="L70">
        <f>IF(K70="","L_YN","L_"&amp;K70)</f>
        <v/>
      </c>
    </row>
    <row r="71">
      <c r="B71" s="17" t="n">
        <v>50</v>
      </c>
      <c r="C71" s="18" t="n"/>
      <c r="D71" s="18" t="n"/>
      <c r="E71" s="19" t="n"/>
      <c r="F71" s="18" t="n"/>
      <c r="G71" s="20">
        <f>IF(AND(D71&lt;&gt;"",I71=""),"⚠ revisar","")</f>
        <v/>
      </c>
      <c r="H71">
        <f>IF(OR($D$5="",C71=""),"",$D$5&amp;"|"&amp;C71)</f>
        <v/>
      </c>
      <c r="I71">
        <f>IF(OR(H71="",D71=""),"",IFERROR(MATCH(H71&amp;"|"&amp;D71,Preguntas!$F$2:$F$1000,0),""))</f>
        <v/>
      </c>
      <c r="K71">
        <f>IF(I71="","",INDEX(Preguntas!$D$2:$D$1000,I71))</f>
        <v/>
      </c>
      <c r="L71">
        <f>IF(K71="","L_YN","L_"&amp;K71)</f>
        <v/>
      </c>
    </row>
    <row r="72">
      <c r="B72" s="17" t="n">
        <v>51</v>
      </c>
      <c r="C72" s="18" t="n"/>
      <c r="D72" s="18" t="n"/>
      <c r="E72" s="19" t="n"/>
      <c r="F72" s="18" t="n"/>
      <c r="G72" s="20">
        <f>IF(AND(D72&lt;&gt;"",I72=""),"⚠ revisar","")</f>
        <v/>
      </c>
      <c r="H72">
        <f>IF(OR($D$5="",C72=""),"",$D$5&amp;"|"&amp;C72)</f>
        <v/>
      </c>
      <c r="I72">
        <f>IF(OR(H72="",D72=""),"",IFERROR(MATCH(H72&amp;"|"&amp;D72,Preguntas!$F$2:$F$1000,0),""))</f>
        <v/>
      </c>
      <c r="K72">
        <f>IF(I72="","",INDEX(Preguntas!$D$2:$D$1000,I72))</f>
        <v/>
      </c>
      <c r="L72">
        <f>IF(K72="","L_YN","L_"&amp;K72)</f>
        <v/>
      </c>
    </row>
    <row r="73">
      <c r="B73" s="17" t="n">
        <v>52</v>
      </c>
      <c r="C73" s="18" t="n"/>
      <c r="D73" s="18" t="n"/>
      <c r="E73" s="19" t="n"/>
      <c r="F73" s="18" t="n"/>
      <c r="G73" s="20">
        <f>IF(AND(D73&lt;&gt;"",I73=""),"⚠ revisar","")</f>
        <v/>
      </c>
      <c r="H73">
        <f>IF(OR($D$5="",C73=""),"",$D$5&amp;"|"&amp;C73)</f>
        <v/>
      </c>
      <c r="I73">
        <f>IF(OR(H73="",D73=""),"",IFERROR(MATCH(H73&amp;"|"&amp;D73,Preguntas!$F$2:$F$1000,0),""))</f>
        <v/>
      </c>
      <c r="K73">
        <f>IF(I73="","",INDEX(Preguntas!$D$2:$D$1000,I73))</f>
        <v/>
      </c>
      <c r="L73">
        <f>IF(K73="","L_YN","L_"&amp;K73)</f>
        <v/>
      </c>
    </row>
    <row r="74">
      <c r="B74" s="17" t="n">
        <v>53</v>
      </c>
      <c r="C74" s="18" t="n"/>
      <c r="D74" s="18" t="n"/>
      <c r="E74" s="19" t="n"/>
      <c r="F74" s="18" t="n"/>
      <c r="G74" s="20">
        <f>IF(AND(D74&lt;&gt;"",I74=""),"⚠ revisar","")</f>
        <v/>
      </c>
      <c r="H74">
        <f>IF(OR($D$5="",C74=""),"",$D$5&amp;"|"&amp;C74)</f>
        <v/>
      </c>
      <c r="I74">
        <f>IF(OR(H74="",D74=""),"",IFERROR(MATCH(H74&amp;"|"&amp;D74,Preguntas!$F$2:$F$1000,0),""))</f>
        <v/>
      </c>
      <c r="K74">
        <f>IF(I74="","",INDEX(Preguntas!$D$2:$D$1000,I74))</f>
        <v/>
      </c>
      <c r="L74">
        <f>IF(K74="","L_YN","L_"&amp;K74)</f>
        <v/>
      </c>
    </row>
    <row r="75">
      <c r="B75" s="17" t="n">
        <v>54</v>
      </c>
      <c r="C75" s="18" t="n"/>
      <c r="D75" s="18" t="n"/>
      <c r="E75" s="19" t="n"/>
      <c r="F75" s="18" t="n"/>
      <c r="G75" s="20">
        <f>IF(AND(D75&lt;&gt;"",I75=""),"⚠ revisar","")</f>
        <v/>
      </c>
      <c r="H75">
        <f>IF(OR($D$5="",C75=""),"",$D$5&amp;"|"&amp;C75)</f>
        <v/>
      </c>
      <c r="I75">
        <f>IF(OR(H75="",D75=""),"",IFERROR(MATCH(H75&amp;"|"&amp;D75,Preguntas!$F$2:$F$1000,0),""))</f>
        <v/>
      </c>
      <c r="K75">
        <f>IF(I75="","",INDEX(Preguntas!$D$2:$D$1000,I75))</f>
        <v/>
      </c>
      <c r="L75">
        <f>IF(K75="","L_YN","L_"&amp;K75)</f>
        <v/>
      </c>
    </row>
    <row r="76">
      <c r="B76" s="17" t="n">
        <v>55</v>
      </c>
      <c r="C76" s="18" t="n"/>
      <c r="D76" s="18" t="n"/>
      <c r="E76" s="19" t="n"/>
      <c r="F76" s="18" t="n"/>
      <c r="G76" s="20">
        <f>IF(AND(D76&lt;&gt;"",I76=""),"⚠ revisar","")</f>
        <v/>
      </c>
      <c r="H76">
        <f>IF(OR($D$5="",C76=""),"",$D$5&amp;"|"&amp;C76)</f>
        <v/>
      </c>
      <c r="I76">
        <f>IF(OR(H76="",D76=""),"",IFERROR(MATCH(H76&amp;"|"&amp;D76,Preguntas!$F$2:$F$1000,0),""))</f>
        <v/>
      </c>
      <c r="K76">
        <f>IF(I76="","",INDEX(Preguntas!$D$2:$D$1000,I76))</f>
        <v/>
      </c>
      <c r="L76">
        <f>IF(K76="","L_YN","L_"&amp;K76)</f>
        <v/>
      </c>
    </row>
    <row r="77">
      <c r="B77" s="17" t="n">
        <v>56</v>
      </c>
      <c r="C77" s="18" t="n"/>
      <c r="D77" s="18" t="n"/>
      <c r="E77" s="19" t="n"/>
      <c r="F77" s="18" t="n"/>
      <c r="G77" s="20">
        <f>IF(AND(D77&lt;&gt;"",I77=""),"⚠ revisar","")</f>
        <v/>
      </c>
      <c r="H77">
        <f>IF(OR($D$5="",C77=""),"",$D$5&amp;"|"&amp;C77)</f>
        <v/>
      </c>
      <c r="I77">
        <f>IF(OR(H77="",D77=""),"",IFERROR(MATCH(H77&amp;"|"&amp;D77,Preguntas!$F$2:$F$1000,0),""))</f>
        <v/>
      </c>
      <c r="K77">
        <f>IF(I77="","",INDEX(Preguntas!$D$2:$D$1000,I77))</f>
        <v/>
      </c>
      <c r="L77">
        <f>IF(K77="","L_YN","L_"&amp;K77)</f>
        <v/>
      </c>
    </row>
    <row r="78">
      <c r="B78" s="17" t="n">
        <v>57</v>
      </c>
      <c r="C78" s="18" t="n"/>
      <c r="D78" s="18" t="n"/>
      <c r="E78" s="19" t="n"/>
      <c r="F78" s="18" t="n"/>
      <c r="G78" s="20">
        <f>IF(AND(D78&lt;&gt;"",I78=""),"⚠ revisar","")</f>
        <v/>
      </c>
      <c r="H78">
        <f>IF(OR($D$5="",C78=""),"",$D$5&amp;"|"&amp;C78)</f>
        <v/>
      </c>
      <c r="I78">
        <f>IF(OR(H78="",D78=""),"",IFERROR(MATCH(H78&amp;"|"&amp;D78,Preguntas!$F$2:$F$1000,0),""))</f>
        <v/>
      </c>
      <c r="K78">
        <f>IF(I78="","",INDEX(Preguntas!$D$2:$D$1000,I78))</f>
        <v/>
      </c>
      <c r="L78">
        <f>IF(K78="","L_YN","L_"&amp;K78)</f>
        <v/>
      </c>
    </row>
    <row r="79">
      <c r="B79" s="17" t="n">
        <v>58</v>
      </c>
      <c r="C79" s="18" t="n"/>
      <c r="D79" s="18" t="n"/>
      <c r="E79" s="19" t="n"/>
      <c r="F79" s="18" t="n"/>
      <c r="G79" s="20">
        <f>IF(AND(D79&lt;&gt;"",I79=""),"⚠ revisar","")</f>
        <v/>
      </c>
      <c r="H79">
        <f>IF(OR($D$5="",C79=""),"",$D$5&amp;"|"&amp;C79)</f>
        <v/>
      </c>
      <c r="I79">
        <f>IF(OR(H79="",D79=""),"",IFERROR(MATCH(H79&amp;"|"&amp;D79,Preguntas!$F$2:$F$1000,0),""))</f>
        <v/>
      </c>
      <c r="K79">
        <f>IF(I79="","",INDEX(Preguntas!$D$2:$D$1000,I79))</f>
        <v/>
      </c>
      <c r="L79">
        <f>IF(K79="","L_YN","L_"&amp;K79)</f>
        <v/>
      </c>
    </row>
    <row r="80">
      <c r="B80" s="17" t="n">
        <v>59</v>
      </c>
      <c r="C80" s="18" t="n"/>
      <c r="D80" s="18" t="n"/>
      <c r="E80" s="19" t="n"/>
      <c r="F80" s="18" t="n"/>
      <c r="G80" s="20">
        <f>IF(AND(D80&lt;&gt;"",I80=""),"⚠ revisar","")</f>
        <v/>
      </c>
      <c r="H80">
        <f>IF(OR($D$5="",C80=""),"",$D$5&amp;"|"&amp;C80)</f>
        <v/>
      </c>
      <c r="I80">
        <f>IF(OR(H80="",D80=""),"",IFERROR(MATCH(H80&amp;"|"&amp;D80,Preguntas!$F$2:$F$1000,0),""))</f>
        <v/>
      </c>
      <c r="K80">
        <f>IF(I80="","",INDEX(Preguntas!$D$2:$D$1000,I80))</f>
        <v/>
      </c>
      <c r="L80">
        <f>IF(K80="","L_YN","L_"&amp;K80)</f>
        <v/>
      </c>
    </row>
    <row r="81">
      <c r="B81" s="17" t="n">
        <v>60</v>
      </c>
      <c r="C81" s="18" t="n"/>
      <c r="D81" s="18" t="n"/>
      <c r="E81" s="19" t="n"/>
      <c r="F81" s="18" t="n"/>
      <c r="G81" s="20">
        <f>IF(AND(D81&lt;&gt;"",I81=""),"⚠ revisar","")</f>
        <v/>
      </c>
      <c r="H81">
        <f>IF(OR($D$5="",C81=""),"",$D$5&amp;"|"&amp;C81)</f>
        <v/>
      </c>
      <c r="I81">
        <f>IF(OR(H81="",D81=""),"",IFERROR(MATCH(H81&amp;"|"&amp;D81,Preguntas!$F$2:$F$1000,0),""))</f>
        <v/>
      </c>
      <c r="K81">
        <f>IF(I81="","",INDEX(Preguntas!$D$2:$D$1000,I81))</f>
        <v/>
      </c>
      <c r="L81">
        <f>IF(K81="","L_YN","L_"&amp;K81)</f>
        <v/>
      </c>
    </row>
    <row r="82">
      <c r="B82" s="17" t="n">
        <v>61</v>
      </c>
      <c r="C82" s="18" t="n"/>
      <c r="D82" s="18" t="n"/>
      <c r="E82" s="19" t="n"/>
      <c r="F82" s="18" t="n"/>
      <c r="G82" s="20">
        <f>IF(AND(D82&lt;&gt;"",I82=""),"⚠ revisar","")</f>
        <v/>
      </c>
      <c r="H82">
        <f>IF(OR($D$5="",C82=""),"",$D$5&amp;"|"&amp;C82)</f>
        <v/>
      </c>
      <c r="I82">
        <f>IF(OR(H82="",D82=""),"",IFERROR(MATCH(H82&amp;"|"&amp;D82,Preguntas!$F$2:$F$1000,0),""))</f>
        <v/>
      </c>
      <c r="K82">
        <f>IF(I82="","",INDEX(Preguntas!$D$2:$D$1000,I82))</f>
        <v/>
      </c>
      <c r="L82">
        <f>IF(K82="","L_YN","L_"&amp;K82)</f>
        <v/>
      </c>
    </row>
    <row r="83">
      <c r="B83" s="17" t="n">
        <v>62</v>
      </c>
      <c r="C83" s="18" t="n"/>
      <c r="D83" s="18" t="n"/>
      <c r="E83" s="19" t="n"/>
      <c r="F83" s="18" t="n"/>
      <c r="G83" s="20">
        <f>IF(AND(D83&lt;&gt;"",I83=""),"⚠ revisar","")</f>
        <v/>
      </c>
      <c r="H83">
        <f>IF(OR($D$5="",C83=""),"",$D$5&amp;"|"&amp;C83)</f>
        <v/>
      </c>
      <c r="I83">
        <f>IF(OR(H83="",D83=""),"",IFERROR(MATCH(H83&amp;"|"&amp;D83,Preguntas!$F$2:$F$1000,0),""))</f>
        <v/>
      </c>
      <c r="K83">
        <f>IF(I83="","",INDEX(Preguntas!$D$2:$D$1000,I83))</f>
        <v/>
      </c>
      <c r="L83">
        <f>IF(K83="","L_YN","L_"&amp;K83)</f>
        <v/>
      </c>
    </row>
    <row r="84">
      <c r="B84" s="17" t="n">
        <v>63</v>
      </c>
      <c r="C84" s="18" t="n"/>
      <c r="D84" s="18" t="n"/>
      <c r="E84" s="19" t="n"/>
      <c r="F84" s="18" t="n"/>
      <c r="G84" s="20">
        <f>IF(AND(D84&lt;&gt;"",I84=""),"⚠ revisar","")</f>
        <v/>
      </c>
      <c r="H84">
        <f>IF(OR($D$5="",C84=""),"",$D$5&amp;"|"&amp;C84)</f>
        <v/>
      </c>
      <c r="I84">
        <f>IF(OR(H84="",D84=""),"",IFERROR(MATCH(H84&amp;"|"&amp;D84,Preguntas!$F$2:$F$1000,0),""))</f>
        <v/>
      </c>
      <c r="K84">
        <f>IF(I84="","",INDEX(Preguntas!$D$2:$D$1000,I84))</f>
        <v/>
      </c>
      <c r="L84">
        <f>IF(K84="","L_YN","L_"&amp;K84)</f>
        <v/>
      </c>
    </row>
    <row r="85">
      <c r="B85" s="17" t="n">
        <v>64</v>
      </c>
      <c r="C85" s="18" t="n"/>
      <c r="D85" s="18" t="n"/>
      <c r="E85" s="19" t="n"/>
      <c r="F85" s="18" t="n"/>
      <c r="G85" s="20">
        <f>IF(AND(D85&lt;&gt;"",I85=""),"⚠ revisar","")</f>
        <v/>
      </c>
      <c r="H85">
        <f>IF(OR($D$5="",C85=""),"",$D$5&amp;"|"&amp;C85)</f>
        <v/>
      </c>
      <c r="I85">
        <f>IF(OR(H85="",D85=""),"",IFERROR(MATCH(H85&amp;"|"&amp;D85,Preguntas!$F$2:$F$1000,0),""))</f>
        <v/>
      </c>
      <c r="K85">
        <f>IF(I85="","",INDEX(Preguntas!$D$2:$D$1000,I85))</f>
        <v/>
      </c>
      <c r="L85">
        <f>IF(K85="","L_YN","L_"&amp;K85)</f>
        <v/>
      </c>
    </row>
    <row r="86">
      <c r="B86" s="17" t="n">
        <v>65</v>
      </c>
      <c r="C86" s="18" t="n"/>
      <c r="D86" s="18" t="n"/>
      <c r="E86" s="19" t="n"/>
      <c r="F86" s="18" t="n"/>
      <c r="G86" s="20">
        <f>IF(AND(D86&lt;&gt;"",I86=""),"⚠ revisar","")</f>
        <v/>
      </c>
      <c r="H86">
        <f>IF(OR($D$5="",C86=""),"",$D$5&amp;"|"&amp;C86)</f>
        <v/>
      </c>
      <c r="I86">
        <f>IF(OR(H86="",D86=""),"",IFERROR(MATCH(H86&amp;"|"&amp;D86,Preguntas!$F$2:$F$1000,0),""))</f>
        <v/>
      </c>
      <c r="K86">
        <f>IF(I86="","",INDEX(Preguntas!$D$2:$D$1000,I86))</f>
        <v/>
      </c>
      <c r="L86">
        <f>IF(K86="","L_YN","L_"&amp;K86)</f>
        <v/>
      </c>
    </row>
    <row r="87">
      <c r="B87" s="17" t="n">
        <v>66</v>
      </c>
      <c r="C87" s="18" t="n"/>
      <c r="D87" s="18" t="n"/>
      <c r="E87" s="19" t="n"/>
      <c r="F87" s="18" t="n"/>
      <c r="G87" s="20">
        <f>IF(AND(D87&lt;&gt;"",I87=""),"⚠ revisar","")</f>
        <v/>
      </c>
      <c r="H87">
        <f>IF(OR($D$5="",C87=""),"",$D$5&amp;"|"&amp;C87)</f>
        <v/>
      </c>
      <c r="I87">
        <f>IF(OR(H87="",D87=""),"",IFERROR(MATCH(H87&amp;"|"&amp;D87,Preguntas!$F$2:$F$1000,0),""))</f>
        <v/>
      </c>
      <c r="K87">
        <f>IF(I87="","",INDEX(Preguntas!$D$2:$D$1000,I87))</f>
        <v/>
      </c>
      <c r="L87">
        <f>IF(K87="","L_YN","L_"&amp;K87)</f>
        <v/>
      </c>
    </row>
    <row r="88">
      <c r="B88" s="17" t="n">
        <v>67</v>
      </c>
      <c r="C88" s="18" t="n"/>
      <c r="D88" s="18" t="n"/>
      <c r="E88" s="19" t="n"/>
      <c r="F88" s="18" t="n"/>
      <c r="G88" s="20">
        <f>IF(AND(D88&lt;&gt;"",I88=""),"⚠ revisar","")</f>
        <v/>
      </c>
      <c r="H88">
        <f>IF(OR($D$5="",C88=""),"",$D$5&amp;"|"&amp;C88)</f>
        <v/>
      </c>
      <c r="I88">
        <f>IF(OR(H88="",D88=""),"",IFERROR(MATCH(H88&amp;"|"&amp;D88,Preguntas!$F$2:$F$1000,0),""))</f>
        <v/>
      </c>
      <c r="K88">
        <f>IF(I88="","",INDEX(Preguntas!$D$2:$D$1000,I88))</f>
        <v/>
      </c>
      <c r="L88">
        <f>IF(K88="","L_YN","L_"&amp;K88)</f>
        <v/>
      </c>
    </row>
    <row r="89">
      <c r="B89" s="17" t="n">
        <v>68</v>
      </c>
      <c r="C89" s="18" t="n"/>
      <c r="D89" s="18" t="n"/>
      <c r="E89" s="19" t="n"/>
      <c r="F89" s="18" t="n"/>
      <c r="G89" s="20">
        <f>IF(AND(D89&lt;&gt;"",I89=""),"⚠ revisar","")</f>
        <v/>
      </c>
      <c r="H89">
        <f>IF(OR($D$5="",C89=""),"",$D$5&amp;"|"&amp;C89)</f>
        <v/>
      </c>
      <c r="I89">
        <f>IF(OR(H89="",D89=""),"",IFERROR(MATCH(H89&amp;"|"&amp;D89,Preguntas!$F$2:$F$1000,0),""))</f>
        <v/>
      </c>
      <c r="K89">
        <f>IF(I89="","",INDEX(Preguntas!$D$2:$D$1000,I89))</f>
        <v/>
      </c>
      <c r="L89">
        <f>IF(K89="","L_YN","L_"&amp;K89)</f>
        <v/>
      </c>
    </row>
    <row r="90">
      <c r="B90" s="17" t="n">
        <v>69</v>
      </c>
      <c r="C90" s="18" t="n"/>
      <c r="D90" s="18" t="n"/>
      <c r="E90" s="19" t="n"/>
      <c r="F90" s="18" t="n"/>
      <c r="G90" s="20">
        <f>IF(AND(D90&lt;&gt;"",I90=""),"⚠ revisar","")</f>
        <v/>
      </c>
      <c r="H90">
        <f>IF(OR($D$5="",C90=""),"",$D$5&amp;"|"&amp;C90)</f>
        <v/>
      </c>
      <c r="I90">
        <f>IF(OR(H90="",D90=""),"",IFERROR(MATCH(H90&amp;"|"&amp;D90,Preguntas!$F$2:$F$1000,0),""))</f>
        <v/>
      </c>
      <c r="K90">
        <f>IF(I90="","",INDEX(Preguntas!$D$2:$D$1000,I90))</f>
        <v/>
      </c>
      <c r="L90">
        <f>IF(K90="","L_YN","L_"&amp;K90)</f>
        <v/>
      </c>
    </row>
    <row r="91">
      <c r="B91" s="17" t="n">
        <v>70</v>
      </c>
      <c r="C91" s="18" t="n"/>
      <c r="D91" s="18" t="n"/>
      <c r="E91" s="19" t="n"/>
      <c r="F91" s="18" t="n"/>
      <c r="G91" s="20">
        <f>IF(AND(D91&lt;&gt;"",I91=""),"⚠ revisar","")</f>
        <v/>
      </c>
      <c r="H91">
        <f>IF(OR($D$5="",C91=""),"",$D$5&amp;"|"&amp;C91)</f>
        <v/>
      </c>
      <c r="I91">
        <f>IF(OR(H91="",D91=""),"",IFERROR(MATCH(H91&amp;"|"&amp;D91,Preguntas!$F$2:$F$1000,0),""))</f>
        <v/>
      </c>
      <c r="K91">
        <f>IF(I91="","",INDEX(Preguntas!$D$2:$D$1000,I91))</f>
        <v/>
      </c>
      <c r="L91">
        <f>IF(K91="","L_YN","L_"&amp;K91)</f>
        <v/>
      </c>
    </row>
    <row r="92">
      <c r="B92" s="17" t="n">
        <v>71</v>
      </c>
      <c r="C92" s="18" t="n"/>
      <c r="D92" s="18" t="n"/>
      <c r="E92" s="19" t="n"/>
      <c r="F92" s="18" t="n"/>
      <c r="G92" s="20">
        <f>IF(AND(D92&lt;&gt;"",I92=""),"⚠ revisar","")</f>
        <v/>
      </c>
      <c r="H92">
        <f>IF(OR($D$5="",C92=""),"",$D$5&amp;"|"&amp;C92)</f>
        <v/>
      </c>
      <c r="I92">
        <f>IF(OR(H92="",D92=""),"",IFERROR(MATCH(H92&amp;"|"&amp;D92,Preguntas!$F$2:$F$1000,0),""))</f>
        <v/>
      </c>
      <c r="K92">
        <f>IF(I92="","",INDEX(Preguntas!$D$2:$D$1000,I92))</f>
        <v/>
      </c>
      <c r="L92">
        <f>IF(K92="","L_YN","L_"&amp;K92)</f>
        <v/>
      </c>
    </row>
    <row r="93">
      <c r="B93" s="17" t="n">
        <v>72</v>
      </c>
      <c r="C93" s="18" t="n"/>
      <c r="D93" s="18" t="n"/>
      <c r="E93" s="19" t="n"/>
      <c r="F93" s="18" t="n"/>
      <c r="G93" s="20">
        <f>IF(AND(D93&lt;&gt;"",I93=""),"⚠ revisar","")</f>
        <v/>
      </c>
      <c r="H93">
        <f>IF(OR($D$5="",C93=""),"",$D$5&amp;"|"&amp;C93)</f>
        <v/>
      </c>
      <c r="I93">
        <f>IF(OR(H93="",D93=""),"",IFERROR(MATCH(H93&amp;"|"&amp;D93,Preguntas!$F$2:$F$1000,0),""))</f>
        <v/>
      </c>
      <c r="K93">
        <f>IF(I93="","",INDEX(Preguntas!$D$2:$D$1000,I93))</f>
        <v/>
      </c>
      <c r="L93">
        <f>IF(K93="","L_YN","L_"&amp;K93)</f>
        <v/>
      </c>
    </row>
    <row r="94">
      <c r="B94" s="17" t="n">
        <v>73</v>
      </c>
      <c r="C94" s="18" t="n"/>
      <c r="D94" s="18" t="n"/>
      <c r="E94" s="19" t="n"/>
      <c r="F94" s="18" t="n"/>
      <c r="G94" s="20">
        <f>IF(AND(D94&lt;&gt;"",I94=""),"⚠ revisar","")</f>
        <v/>
      </c>
      <c r="H94">
        <f>IF(OR($D$5="",C94=""),"",$D$5&amp;"|"&amp;C94)</f>
        <v/>
      </c>
      <c r="I94">
        <f>IF(OR(H94="",D94=""),"",IFERROR(MATCH(H94&amp;"|"&amp;D94,Preguntas!$F$2:$F$1000,0),""))</f>
        <v/>
      </c>
      <c r="K94">
        <f>IF(I94="","",INDEX(Preguntas!$D$2:$D$1000,I94))</f>
        <v/>
      </c>
      <c r="L94">
        <f>IF(K94="","L_YN","L_"&amp;K94)</f>
        <v/>
      </c>
    </row>
    <row r="95">
      <c r="B95" s="17" t="n">
        <v>74</v>
      </c>
      <c r="C95" s="18" t="n"/>
      <c r="D95" s="18" t="n"/>
      <c r="E95" s="19" t="n"/>
      <c r="F95" s="18" t="n"/>
      <c r="G95" s="20">
        <f>IF(AND(D95&lt;&gt;"",I95=""),"⚠ revisar","")</f>
        <v/>
      </c>
      <c r="H95">
        <f>IF(OR($D$5="",C95=""),"",$D$5&amp;"|"&amp;C95)</f>
        <v/>
      </c>
      <c r="I95">
        <f>IF(OR(H95="",D95=""),"",IFERROR(MATCH(H95&amp;"|"&amp;D95,Preguntas!$F$2:$F$1000,0),""))</f>
        <v/>
      </c>
      <c r="K95">
        <f>IF(I95="","",INDEX(Preguntas!$D$2:$D$1000,I95))</f>
        <v/>
      </c>
      <c r="L95">
        <f>IF(K95="","L_YN","L_"&amp;K95)</f>
        <v/>
      </c>
    </row>
    <row r="96">
      <c r="B96" s="17" t="n">
        <v>75</v>
      </c>
      <c r="C96" s="18" t="n"/>
      <c r="D96" s="18" t="n"/>
      <c r="E96" s="19" t="n"/>
      <c r="F96" s="18" t="n"/>
      <c r="G96" s="20">
        <f>IF(AND(D96&lt;&gt;"",I96=""),"⚠ revisar","")</f>
        <v/>
      </c>
      <c r="H96">
        <f>IF(OR($D$5="",C96=""),"",$D$5&amp;"|"&amp;C96)</f>
        <v/>
      </c>
      <c r="I96">
        <f>IF(OR(H96="",D96=""),"",IFERROR(MATCH(H96&amp;"|"&amp;D96,Preguntas!$F$2:$F$1000,0),""))</f>
        <v/>
      </c>
      <c r="K96">
        <f>IF(I96="","",INDEX(Preguntas!$D$2:$D$1000,I96))</f>
        <v/>
      </c>
      <c r="L96">
        <f>IF(K96="","L_YN","L_"&amp;K96)</f>
        <v/>
      </c>
    </row>
    <row r="97">
      <c r="B97" s="17" t="n">
        <v>76</v>
      </c>
      <c r="C97" s="18" t="n"/>
      <c r="D97" s="18" t="n"/>
      <c r="E97" s="19" t="n"/>
      <c r="F97" s="18" t="n"/>
      <c r="G97" s="20">
        <f>IF(AND(D97&lt;&gt;"",I97=""),"⚠ revisar","")</f>
        <v/>
      </c>
      <c r="H97">
        <f>IF(OR($D$5="",C97=""),"",$D$5&amp;"|"&amp;C97)</f>
        <v/>
      </c>
      <c r="I97">
        <f>IF(OR(H97="",D97=""),"",IFERROR(MATCH(H97&amp;"|"&amp;D97,Preguntas!$F$2:$F$1000,0),""))</f>
        <v/>
      </c>
      <c r="K97">
        <f>IF(I97="","",INDEX(Preguntas!$D$2:$D$1000,I97))</f>
        <v/>
      </c>
      <c r="L97">
        <f>IF(K97="","L_YN","L_"&amp;K97)</f>
        <v/>
      </c>
    </row>
    <row r="98">
      <c r="B98" s="17" t="n">
        <v>77</v>
      </c>
      <c r="C98" s="18" t="n"/>
      <c r="D98" s="18" t="n"/>
      <c r="E98" s="19" t="n"/>
      <c r="F98" s="18" t="n"/>
      <c r="G98" s="20">
        <f>IF(AND(D98&lt;&gt;"",I98=""),"⚠ revisar","")</f>
        <v/>
      </c>
      <c r="H98">
        <f>IF(OR($D$5="",C98=""),"",$D$5&amp;"|"&amp;C98)</f>
        <v/>
      </c>
      <c r="I98">
        <f>IF(OR(H98="",D98=""),"",IFERROR(MATCH(H98&amp;"|"&amp;D98,Preguntas!$F$2:$F$1000,0),""))</f>
        <v/>
      </c>
      <c r="K98">
        <f>IF(I98="","",INDEX(Preguntas!$D$2:$D$1000,I98))</f>
        <v/>
      </c>
      <c r="L98">
        <f>IF(K98="","L_YN","L_"&amp;K98)</f>
        <v/>
      </c>
    </row>
    <row r="99">
      <c r="B99" s="17" t="n">
        <v>78</v>
      </c>
      <c r="C99" s="18" t="n"/>
      <c r="D99" s="18" t="n"/>
      <c r="E99" s="19" t="n"/>
      <c r="F99" s="18" t="n"/>
      <c r="G99" s="20">
        <f>IF(AND(D99&lt;&gt;"",I99=""),"⚠ revisar","")</f>
        <v/>
      </c>
      <c r="H99">
        <f>IF(OR($D$5="",C99=""),"",$D$5&amp;"|"&amp;C99)</f>
        <v/>
      </c>
      <c r="I99">
        <f>IF(OR(H99="",D99=""),"",IFERROR(MATCH(H99&amp;"|"&amp;D99,Preguntas!$F$2:$F$1000,0),""))</f>
        <v/>
      </c>
      <c r="K99">
        <f>IF(I99="","",INDEX(Preguntas!$D$2:$D$1000,I99))</f>
        <v/>
      </c>
      <c r="L99">
        <f>IF(K99="","L_YN","L_"&amp;K99)</f>
        <v/>
      </c>
    </row>
    <row r="100">
      <c r="B100" s="17" t="n">
        <v>79</v>
      </c>
      <c r="C100" s="18" t="n"/>
      <c r="D100" s="18" t="n"/>
      <c r="E100" s="19" t="n"/>
      <c r="F100" s="18" t="n"/>
      <c r="G100" s="20">
        <f>IF(AND(D100&lt;&gt;"",I100=""),"⚠ revisar","")</f>
        <v/>
      </c>
      <c r="H100">
        <f>IF(OR($D$5="",C100=""),"",$D$5&amp;"|"&amp;C100)</f>
        <v/>
      </c>
      <c r="I100">
        <f>IF(OR(H100="",D100=""),"",IFERROR(MATCH(H100&amp;"|"&amp;D100,Preguntas!$F$2:$F$1000,0),""))</f>
        <v/>
      </c>
      <c r="K100">
        <f>IF(I100="","",INDEX(Preguntas!$D$2:$D$1000,I100))</f>
        <v/>
      </c>
      <c r="L100">
        <f>IF(K100="","L_YN","L_"&amp;K100)</f>
        <v/>
      </c>
    </row>
    <row r="101">
      <c r="B101" s="17" t="n">
        <v>80</v>
      </c>
      <c r="C101" s="18" t="n"/>
      <c r="D101" s="18" t="n"/>
      <c r="E101" s="19" t="n"/>
      <c r="F101" s="18" t="n"/>
      <c r="G101" s="20">
        <f>IF(AND(D101&lt;&gt;"",I101=""),"⚠ revisar","")</f>
        <v/>
      </c>
      <c r="H101">
        <f>IF(OR($D$5="",C101=""),"",$D$5&amp;"|"&amp;C101)</f>
        <v/>
      </c>
      <c r="I101">
        <f>IF(OR(H101="",D101=""),"",IFERROR(MATCH(H101&amp;"|"&amp;D101,Preguntas!$F$2:$F$1000,0),""))</f>
        <v/>
      </c>
      <c r="K101">
        <f>IF(I101="","",INDEX(Preguntas!$D$2:$D$1000,I101))</f>
        <v/>
      </c>
      <c r="L101">
        <f>IF(K101="","L_YN","L_"&amp;K101)</f>
        <v/>
      </c>
    </row>
    <row r="102">
      <c r="B102" s="17" t="n">
        <v>81</v>
      </c>
      <c r="C102" s="18" t="n"/>
      <c r="D102" s="18" t="n"/>
      <c r="E102" s="19" t="n"/>
      <c r="F102" s="18" t="n"/>
      <c r="G102" s="20">
        <f>IF(AND(D102&lt;&gt;"",I102=""),"⚠ revisar","")</f>
        <v/>
      </c>
      <c r="H102">
        <f>IF(OR($D$5="",C102=""),"",$D$5&amp;"|"&amp;C102)</f>
        <v/>
      </c>
      <c r="I102">
        <f>IF(OR(H102="",D102=""),"",IFERROR(MATCH(H102&amp;"|"&amp;D102,Preguntas!$F$2:$F$1000,0),""))</f>
        <v/>
      </c>
      <c r="K102">
        <f>IF(I102="","",INDEX(Preguntas!$D$2:$D$1000,I102))</f>
        <v/>
      </c>
      <c r="L102">
        <f>IF(K102="","L_YN","L_"&amp;K102)</f>
        <v/>
      </c>
    </row>
    <row r="103">
      <c r="B103" s="17" t="n">
        <v>82</v>
      </c>
      <c r="C103" s="18" t="n"/>
      <c r="D103" s="18" t="n"/>
      <c r="E103" s="19" t="n"/>
      <c r="F103" s="18" t="n"/>
      <c r="G103" s="20">
        <f>IF(AND(D103&lt;&gt;"",I103=""),"⚠ revisar","")</f>
        <v/>
      </c>
      <c r="H103">
        <f>IF(OR($D$5="",C103=""),"",$D$5&amp;"|"&amp;C103)</f>
        <v/>
      </c>
      <c r="I103">
        <f>IF(OR(H103="",D103=""),"",IFERROR(MATCH(H103&amp;"|"&amp;D103,Preguntas!$F$2:$F$1000,0),""))</f>
        <v/>
      </c>
      <c r="K103">
        <f>IF(I103="","",INDEX(Preguntas!$D$2:$D$1000,I103))</f>
        <v/>
      </c>
      <c r="L103">
        <f>IF(K103="","L_YN","L_"&amp;K103)</f>
        <v/>
      </c>
    </row>
    <row r="104">
      <c r="B104" s="17" t="n">
        <v>83</v>
      </c>
      <c r="C104" s="18" t="n"/>
      <c r="D104" s="18" t="n"/>
      <c r="E104" s="19" t="n"/>
      <c r="F104" s="18" t="n"/>
      <c r="G104" s="20">
        <f>IF(AND(D104&lt;&gt;"",I104=""),"⚠ revisar","")</f>
        <v/>
      </c>
      <c r="H104">
        <f>IF(OR($D$5="",C104=""),"",$D$5&amp;"|"&amp;C104)</f>
        <v/>
      </c>
      <c r="I104">
        <f>IF(OR(H104="",D104=""),"",IFERROR(MATCH(H104&amp;"|"&amp;D104,Preguntas!$F$2:$F$1000,0),""))</f>
        <v/>
      </c>
      <c r="K104">
        <f>IF(I104="","",INDEX(Preguntas!$D$2:$D$1000,I104))</f>
        <v/>
      </c>
      <c r="L104">
        <f>IF(K104="","L_YN","L_"&amp;K104)</f>
        <v/>
      </c>
    </row>
    <row r="105">
      <c r="B105" s="17" t="n">
        <v>84</v>
      </c>
      <c r="C105" s="18" t="n"/>
      <c r="D105" s="18" t="n"/>
      <c r="E105" s="19" t="n"/>
      <c r="F105" s="18" t="n"/>
      <c r="G105" s="20">
        <f>IF(AND(D105&lt;&gt;"",I105=""),"⚠ revisar","")</f>
        <v/>
      </c>
      <c r="H105">
        <f>IF(OR($D$5="",C105=""),"",$D$5&amp;"|"&amp;C105)</f>
        <v/>
      </c>
      <c r="I105">
        <f>IF(OR(H105="",D105=""),"",IFERROR(MATCH(H105&amp;"|"&amp;D105,Preguntas!$F$2:$F$1000,0),""))</f>
        <v/>
      </c>
      <c r="K105">
        <f>IF(I105="","",INDEX(Preguntas!$D$2:$D$1000,I105))</f>
        <v/>
      </c>
      <c r="L105">
        <f>IF(K105="","L_YN","L_"&amp;K105)</f>
        <v/>
      </c>
    </row>
    <row r="106">
      <c r="B106" s="17" t="n">
        <v>85</v>
      </c>
      <c r="C106" s="18" t="n"/>
      <c r="D106" s="18" t="n"/>
      <c r="E106" s="19" t="n"/>
      <c r="F106" s="18" t="n"/>
      <c r="G106" s="20">
        <f>IF(AND(D106&lt;&gt;"",I106=""),"⚠ revisar","")</f>
        <v/>
      </c>
      <c r="H106">
        <f>IF(OR($D$5="",C106=""),"",$D$5&amp;"|"&amp;C106)</f>
        <v/>
      </c>
      <c r="I106">
        <f>IF(OR(H106="",D106=""),"",IFERROR(MATCH(H106&amp;"|"&amp;D106,Preguntas!$F$2:$F$1000,0),""))</f>
        <v/>
      </c>
      <c r="K106">
        <f>IF(I106="","",INDEX(Preguntas!$D$2:$D$1000,I106))</f>
        <v/>
      </c>
      <c r="L106">
        <f>IF(K106="","L_YN","L_"&amp;K106)</f>
        <v/>
      </c>
    </row>
    <row r="107">
      <c r="B107" s="17" t="n">
        <v>86</v>
      </c>
      <c r="C107" s="18" t="n"/>
      <c r="D107" s="18" t="n"/>
      <c r="E107" s="19" t="n"/>
      <c r="F107" s="18" t="n"/>
      <c r="G107" s="20">
        <f>IF(AND(D107&lt;&gt;"",I107=""),"⚠ revisar","")</f>
        <v/>
      </c>
      <c r="H107">
        <f>IF(OR($D$5="",C107=""),"",$D$5&amp;"|"&amp;C107)</f>
        <v/>
      </c>
      <c r="I107">
        <f>IF(OR(H107="",D107=""),"",IFERROR(MATCH(H107&amp;"|"&amp;D107,Preguntas!$F$2:$F$1000,0),""))</f>
        <v/>
      </c>
      <c r="K107">
        <f>IF(I107="","",INDEX(Preguntas!$D$2:$D$1000,I107))</f>
        <v/>
      </c>
      <c r="L107">
        <f>IF(K107="","L_YN","L_"&amp;K107)</f>
        <v/>
      </c>
    </row>
    <row r="108">
      <c r="B108" s="17" t="n">
        <v>87</v>
      </c>
      <c r="C108" s="18" t="n"/>
      <c r="D108" s="18" t="n"/>
      <c r="E108" s="19" t="n"/>
      <c r="F108" s="18" t="n"/>
      <c r="G108" s="20">
        <f>IF(AND(D108&lt;&gt;"",I108=""),"⚠ revisar","")</f>
        <v/>
      </c>
      <c r="H108">
        <f>IF(OR($D$5="",C108=""),"",$D$5&amp;"|"&amp;C108)</f>
        <v/>
      </c>
      <c r="I108">
        <f>IF(OR(H108="",D108=""),"",IFERROR(MATCH(H108&amp;"|"&amp;D108,Preguntas!$F$2:$F$1000,0),""))</f>
        <v/>
      </c>
      <c r="K108">
        <f>IF(I108="","",INDEX(Preguntas!$D$2:$D$1000,I108))</f>
        <v/>
      </c>
      <c r="L108">
        <f>IF(K108="","L_YN","L_"&amp;K108)</f>
        <v/>
      </c>
    </row>
    <row r="109">
      <c r="B109" s="17" t="n">
        <v>88</v>
      </c>
      <c r="C109" s="18" t="n"/>
      <c r="D109" s="18" t="n"/>
      <c r="E109" s="19" t="n"/>
      <c r="F109" s="18" t="n"/>
      <c r="G109" s="20">
        <f>IF(AND(D109&lt;&gt;"",I109=""),"⚠ revisar","")</f>
        <v/>
      </c>
      <c r="H109">
        <f>IF(OR($D$5="",C109=""),"",$D$5&amp;"|"&amp;C109)</f>
        <v/>
      </c>
      <c r="I109">
        <f>IF(OR(H109="",D109=""),"",IFERROR(MATCH(H109&amp;"|"&amp;D109,Preguntas!$F$2:$F$1000,0),""))</f>
        <v/>
      </c>
      <c r="K109">
        <f>IF(I109="","",INDEX(Preguntas!$D$2:$D$1000,I109))</f>
        <v/>
      </c>
      <c r="L109">
        <f>IF(K109="","L_YN","L_"&amp;K109)</f>
        <v/>
      </c>
    </row>
    <row r="110">
      <c r="B110" s="17" t="n">
        <v>89</v>
      </c>
      <c r="C110" s="18" t="n"/>
      <c r="D110" s="18" t="n"/>
      <c r="E110" s="19" t="n"/>
      <c r="F110" s="18" t="n"/>
      <c r="G110" s="20">
        <f>IF(AND(D110&lt;&gt;"",I110=""),"⚠ revisar","")</f>
        <v/>
      </c>
      <c r="H110">
        <f>IF(OR($D$5="",C110=""),"",$D$5&amp;"|"&amp;C110)</f>
        <v/>
      </c>
      <c r="I110">
        <f>IF(OR(H110="",D110=""),"",IFERROR(MATCH(H110&amp;"|"&amp;D110,Preguntas!$F$2:$F$1000,0),""))</f>
        <v/>
      </c>
      <c r="K110">
        <f>IF(I110="","",INDEX(Preguntas!$D$2:$D$1000,I110))</f>
        <v/>
      </c>
      <c r="L110">
        <f>IF(K110="","L_YN","L_"&amp;K110)</f>
        <v/>
      </c>
    </row>
    <row r="111">
      <c r="B111" s="17" t="n">
        <v>90</v>
      </c>
      <c r="C111" s="18" t="n"/>
      <c r="D111" s="18" t="n"/>
      <c r="E111" s="19" t="n"/>
      <c r="F111" s="18" t="n"/>
      <c r="G111" s="20">
        <f>IF(AND(D111&lt;&gt;"",I111=""),"⚠ revisar","")</f>
        <v/>
      </c>
      <c r="H111">
        <f>IF(OR($D$5="",C111=""),"",$D$5&amp;"|"&amp;C111)</f>
        <v/>
      </c>
      <c r="I111">
        <f>IF(OR(H111="",D111=""),"",IFERROR(MATCH(H111&amp;"|"&amp;D111,Preguntas!$F$2:$F$1000,0),""))</f>
        <v/>
      </c>
      <c r="K111">
        <f>IF(I111="","",INDEX(Preguntas!$D$2:$D$1000,I111))</f>
        <v/>
      </c>
      <c r="L111">
        <f>IF(K111="","L_YN","L_"&amp;K111)</f>
        <v/>
      </c>
    </row>
    <row r="112">
      <c r="B112" s="17" t="n">
        <v>91</v>
      </c>
      <c r="C112" s="18" t="n"/>
      <c r="D112" s="18" t="n"/>
      <c r="E112" s="19" t="n"/>
      <c r="F112" s="18" t="n"/>
      <c r="G112" s="20">
        <f>IF(AND(D112&lt;&gt;"",I112=""),"⚠ revisar","")</f>
        <v/>
      </c>
      <c r="H112">
        <f>IF(OR($D$5="",C112=""),"",$D$5&amp;"|"&amp;C112)</f>
        <v/>
      </c>
      <c r="I112">
        <f>IF(OR(H112="",D112=""),"",IFERROR(MATCH(H112&amp;"|"&amp;D112,Preguntas!$F$2:$F$1000,0),""))</f>
        <v/>
      </c>
      <c r="K112">
        <f>IF(I112="","",INDEX(Preguntas!$D$2:$D$1000,I112))</f>
        <v/>
      </c>
      <c r="L112">
        <f>IF(K112="","L_YN","L_"&amp;K112)</f>
        <v/>
      </c>
    </row>
    <row r="113">
      <c r="B113" s="17" t="n">
        <v>92</v>
      </c>
      <c r="C113" s="18" t="n"/>
      <c r="D113" s="18" t="n"/>
      <c r="E113" s="19" t="n"/>
      <c r="F113" s="18" t="n"/>
      <c r="G113" s="20">
        <f>IF(AND(D113&lt;&gt;"",I113=""),"⚠ revisar","")</f>
        <v/>
      </c>
      <c r="H113">
        <f>IF(OR($D$5="",C113=""),"",$D$5&amp;"|"&amp;C113)</f>
        <v/>
      </c>
      <c r="I113">
        <f>IF(OR(H113="",D113=""),"",IFERROR(MATCH(H113&amp;"|"&amp;D113,Preguntas!$F$2:$F$1000,0),""))</f>
        <v/>
      </c>
      <c r="K113">
        <f>IF(I113="","",INDEX(Preguntas!$D$2:$D$1000,I113))</f>
        <v/>
      </c>
      <c r="L113">
        <f>IF(K113="","L_YN","L_"&amp;K113)</f>
        <v/>
      </c>
    </row>
    <row r="114">
      <c r="B114" s="17" t="n">
        <v>93</v>
      </c>
      <c r="C114" s="18" t="n"/>
      <c r="D114" s="18" t="n"/>
      <c r="E114" s="19" t="n"/>
      <c r="F114" s="18" t="n"/>
      <c r="G114" s="20">
        <f>IF(AND(D114&lt;&gt;"",I114=""),"⚠ revisar","")</f>
        <v/>
      </c>
      <c r="H114">
        <f>IF(OR($D$5="",C114=""),"",$D$5&amp;"|"&amp;C114)</f>
        <v/>
      </c>
      <c r="I114">
        <f>IF(OR(H114="",D114=""),"",IFERROR(MATCH(H114&amp;"|"&amp;D114,Preguntas!$F$2:$F$1000,0),""))</f>
        <v/>
      </c>
      <c r="K114">
        <f>IF(I114="","",INDEX(Preguntas!$D$2:$D$1000,I114))</f>
        <v/>
      </c>
      <c r="L114">
        <f>IF(K114="","L_YN","L_"&amp;K114)</f>
        <v/>
      </c>
    </row>
    <row r="115">
      <c r="B115" s="17" t="n">
        <v>94</v>
      </c>
      <c r="C115" s="18" t="n"/>
      <c r="D115" s="18" t="n"/>
      <c r="E115" s="19" t="n"/>
      <c r="F115" s="18" t="n"/>
      <c r="G115" s="20">
        <f>IF(AND(D115&lt;&gt;"",I115=""),"⚠ revisar","")</f>
        <v/>
      </c>
      <c r="H115">
        <f>IF(OR($D$5="",C115=""),"",$D$5&amp;"|"&amp;C115)</f>
        <v/>
      </c>
      <c r="I115">
        <f>IF(OR(H115="",D115=""),"",IFERROR(MATCH(H115&amp;"|"&amp;D115,Preguntas!$F$2:$F$1000,0),""))</f>
        <v/>
      </c>
      <c r="K115">
        <f>IF(I115="","",INDEX(Preguntas!$D$2:$D$1000,I115))</f>
        <v/>
      </c>
      <c r="L115">
        <f>IF(K115="","L_YN","L_"&amp;K115)</f>
        <v/>
      </c>
    </row>
    <row r="116">
      <c r="B116" s="17" t="n">
        <v>95</v>
      </c>
      <c r="C116" s="18" t="n"/>
      <c r="D116" s="18" t="n"/>
      <c r="E116" s="19" t="n"/>
      <c r="F116" s="18" t="n"/>
      <c r="G116" s="20">
        <f>IF(AND(D116&lt;&gt;"",I116=""),"⚠ revisar","")</f>
        <v/>
      </c>
      <c r="H116">
        <f>IF(OR($D$5="",C116=""),"",$D$5&amp;"|"&amp;C116)</f>
        <v/>
      </c>
      <c r="I116">
        <f>IF(OR(H116="",D116=""),"",IFERROR(MATCH(H116&amp;"|"&amp;D116,Preguntas!$F$2:$F$1000,0),""))</f>
        <v/>
      </c>
      <c r="K116">
        <f>IF(I116="","",INDEX(Preguntas!$D$2:$D$1000,I116))</f>
        <v/>
      </c>
      <c r="L116">
        <f>IF(K116="","L_YN","L_"&amp;K116)</f>
        <v/>
      </c>
    </row>
    <row r="117">
      <c r="B117" s="17" t="n">
        <v>96</v>
      </c>
      <c r="C117" s="18" t="n"/>
      <c r="D117" s="18" t="n"/>
      <c r="E117" s="19" t="n"/>
      <c r="F117" s="18" t="n"/>
      <c r="G117" s="20">
        <f>IF(AND(D117&lt;&gt;"",I117=""),"⚠ revisar","")</f>
        <v/>
      </c>
      <c r="H117">
        <f>IF(OR($D$5="",C117=""),"",$D$5&amp;"|"&amp;C117)</f>
        <v/>
      </c>
      <c r="I117">
        <f>IF(OR(H117="",D117=""),"",IFERROR(MATCH(H117&amp;"|"&amp;D117,Preguntas!$F$2:$F$1000,0),""))</f>
        <v/>
      </c>
      <c r="K117">
        <f>IF(I117="","",INDEX(Preguntas!$D$2:$D$1000,I117))</f>
        <v/>
      </c>
      <c r="L117">
        <f>IF(K117="","L_YN","L_"&amp;K117)</f>
        <v/>
      </c>
    </row>
    <row r="118">
      <c r="B118" s="17" t="n">
        <v>97</v>
      </c>
      <c r="C118" s="18" t="n"/>
      <c r="D118" s="18" t="n"/>
      <c r="E118" s="19" t="n"/>
      <c r="F118" s="18" t="n"/>
      <c r="G118" s="20">
        <f>IF(AND(D118&lt;&gt;"",I118=""),"⚠ revisar","")</f>
        <v/>
      </c>
      <c r="H118">
        <f>IF(OR($D$5="",C118=""),"",$D$5&amp;"|"&amp;C118)</f>
        <v/>
      </c>
      <c r="I118">
        <f>IF(OR(H118="",D118=""),"",IFERROR(MATCH(H118&amp;"|"&amp;D118,Preguntas!$F$2:$F$1000,0),""))</f>
        <v/>
      </c>
      <c r="K118">
        <f>IF(I118="","",INDEX(Preguntas!$D$2:$D$1000,I118))</f>
        <v/>
      </c>
      <c r="L118">
        <f>IF(K118="","L_YN","L_"&amp;K118)</f>
        <v/>
      </c>
    </row>
    <row r="119">
      <c r="B119" s="17" t="n">
        <v>98</v>
      </c>
      <c r="C119" s="18" t="n"/>
      <c r="D119" s="18" t="n"/>
      <c r="E119" s="19" t="n"/>
      <c r="F119" s="18" t="n"/>
      <c r="G119" s="20">
        <f>IF(AND(D119&lt;&gt;"",I119=""),"⚠ revisar","")</f>
        <v/>
      </c>
      <c r="H119">
        <f>IF(OR($D$5="",C119=""),"",$D$5&amp;"|"&amp;C119)</f>
        <v/>
      </c>
      <c r="I119">
        <f>IF(OR(H119="",D119=""),"",IFERROR(MATCH(H119&amp;"|"&amp;D119,Preguntas!$F$2:$F$1000,0),""))</f>
        <v/>
      </c>
      <c r="K119">
        <f>IF(I119="","",INDEX(Preguntas!$D$2:$D$1000,I119))</f>
        <v/>
      </c>
      <c r="L119">
        <f>IF(K119="","L_YN","L_"&amp;K119)</f>
        <v/>
      </c>
    </row>
    <row r="120">
      <c r="B120" s="17" t="n">
        <v>99</v>
      </c>
      <c r="C120" s="18" t="n"/>
      <c r="D120" s="18" t="n"/>
      <c r="E120" s="19" t="n"/>
      <c r="F120" s="18" t="n"/>
      <c r="G120" s="20">
        <f>IF(AND(D120&lt;&gt;"",I120=""),"⚠ revisar","")</f>
        <v/>
      </c>
      <c r="H120">
        <f>IF(OR($D$5="",C120=""),"",$D$5&amp;"|"&amp;C120)</f>
        <v/>
      </c>
      <c r="I120">
        <f>IF(OR(H120="",D120=""),"",IFERROR(MATCH(H120&amp;"|"&amp;D120,Preguntas!$F$2:$F$1000,0),""))</f>
        <v/>
      </c>
      <c r="K120">
        <f>IF(I120="","",INDEX(Preguntas!$D$2:$D$1000,I120))</f>
        <v/>
      </c>
      <c r="L120">
        <f>IF(K120="","L_YN","L_"&amp;K120)</f>
        <v/>
      </c>
    </row>
    <row r="121">
      <c r="B121" s="17" t="n">
        <v>100</v>
      </c>
      <c r="C121" s="18" t="n"/>
      <c r="D121" s="18" t="n"/>
      <c r="E121" s="19" t="n"/>
      <c r="F121" s="18" t="n"/>
      <c r="G121" s="20">
        <f>IF(AND(D121&lt;&gt;"",I121=""),"⚠ revisar","")</f>
        <v/>
      </c>
      <c r="H121">
        <f>IF(OR($D$5="",C121=""),"",$D$5&amp;"|"&amp;C121)</f>
        <v/>
      </c>
      <c r="I121">
        <f>IF(OR(H121="",D121=""),"",IFERROR(MATCH(H121&amp;"|"&amp;D121,Preguntas!$F$2:$F$1000,0),""))</f>
        <v/>
      </c>
      <c r="K121">
        <f>IF(I121="","",INDEX(Preguntas!$D$2:$D$1000,I121))</f>
        <v/>
      </c>
      <c r="L121">
        <f>IF(K121="","L_YN","L_"&amp;K121)</f>
        <v/>
      </c>
    </row>
  </sheetData>
  <mergeCells count="27">
    <mergeCell ref="B2:G2"/>
    <mergeCell ref="D10:E10"/>
    <mergeCell ref="B7:C7"/>
    <mergeCell ref="B17:G17"/>
    <mergeCell ref="B1:G1"/>
    <mergeCell ref="B12:C12"/>
    <mergeCell ref="D6:E6"/>
    <mergeCell ref="B19:G19"/>
    <mergeCell ref="B11:C11"/>
    <mergeCell ref="D11:E11"/>
    <mergeCell ref="B14:C14"/>
    <mergeCell ref="B8:C8"/>
    <mergeCell ref="B15:G15"/>
    <mergeCell ref="B20:G20"/>
    <mergeCell ref="D7:E7"/>
    <mergeCell ref="B10:C10"/>
    <mergeCell ref="B4:G4"/>
    <mergeCell ref="B9:C9"/>
    <mergeCell ref="D9:E9"/>
    <mergeCell ref="D12:E12"/>
    <mergeCell ref="D8:E8"/>
    <mergeCell ref="B16:G16"/>
    <mergeCell ref="B6:C6"/>
    <mergeCell ref="B5:C5"/>
    <mergeCell ref="D5:E5"/>
    <mergeCell ref="D14:E14"/>
    <mergeCell ref="B18:G18"/>
  </mergeCells>
  <conditionalFormatting sqref="B16:G20">
    <cfRule type="expression" priority="1" dxfId="0">
      <formula>$B16&lt;&gt;""</formula>
    </cfRule>
  </conditionalFormatting>
  <conditionalFormatting sqref="D14">
    <cfRule type="expression" priority="2" dxfId="0">
      <formula>$D$14="ALTA PRIORIDAD"</formula>
    </cfRule>
  </conditionalFormatting>
  <conditionalFormatting sqref="E22:E121">
    <cfRule type="expression" priority="3" dxfId="1" stopIfTrue="1">
      <formula>OR($E22="Sí",$E22="Funciona")</formula>
    </cfRule>
    <cfRule type="expression" priority="4" dxfId="0" stopIfTrue="1">
      <formula>OR($E22="No",$E22="No funciona")</formula>
    </cfRule>
    <cfRule type="expression" priority="5" dxfId="2" stopIfTrue="1">
      <formula>OR($E22="No sé",$E22="No probado",$E22="No fue posible comprobar")</formula>
    </cfRule>
  </conditionalFormatting>
  <dataValidations count="4">
    <dataValidation sqref="D5" showDropDown="0" showInputMessage="1" showErrorMessage="1" allowBlank="1" errorTitle="Tipo de equipo" error="Elija un equipo de la lista." promptTitle="Paso 1" prompt="Elija el tipo de equipo." type="list">
      <formula1>=T_EQUIPO</formula1>
    </dataValidation>
    <dataValidation sqref="C22:C121" showDropDown="0" showInputMessage="1" showErrorMessage="1" allowBlank="1" errorTitle="Categoría" error="Primero elija el tipo de equipo (paso 1) y luego una categoría de la lista." promptTitle="Paso 2" prompt="Elija la categoría o falla." type="list">
      <formula1>=OFFSET(Listas!$E$2,MATCH($D$5,Listas!$D$2:$D$200,0)-1,0,COUNTIF(Listas!$D$2:$D$200,$D$5),1)</formula1>
    </dataValidation>
    <dataValidation sqref="D22:D121" showDropDown="0" showInputMessage="1" showErrorMessage="1" allowBlank="1" errorTitle="Pregunta" error="Primero elija la categoría (paso 2) y luego una pregunta de la lista." promptTitle="Paso 3" prompt="Elija la pregunta." type="list">
      <formula1>=OFFSET(Preguntas!$C$2,MATCH($H22,Preguntas!$E$2:$E$1000,0)-1,0,COUNTIF(Preguntas!$E$2:$E$1000,$H22),1)</formula1>
    </dataValidation>
    <dataValidation sqref="E22:E121" showDropDown="0" showInputMessage="1" showErrorMessage="0" allowBlank="1" promptTitle="Paso 4" prompt="Elija la respuesta (solo la contraseña se escribe)." type="list">
      <formula1>=INDIRECT($L22)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  <col width="14" customWidth="1" min="4" max="4"/>
    <col width="34" customWidth="1" min="5" max="5"/>
    <col width="50" customWidth="1" min="6" max="6"/>
    <col width="70" customWidth="1" min="8" max="8"/>
  </cols>
  <sheetData>
    <row r="1" ht="26" customHeight="1">
      <c r="A1" s="21" t="inlineStr">
        <is>
          <t>Equipo</t>
        </is>
      </c>
      <c r="B1" s="21" t="inlineStr">
        <is>
          <t>Categoría / Falla</t>
        </is>
      </c>
      <c r="C1" s="21" t="inlineStr">
        <is>
          <t>Pregunta</t>
        </is>
      </c>
      <c r="D1" s="21" t="inlineStr">
        <is>
          <t>Tipo de respuesta</t>
        </is>
      </c>
      <c r="E1" s="21" t="inlineStr">
        <is>
          <t>Clave (auto)</t>
        </is>
      </c>
      <c r="F1" s="21" t="inlineStr">
        <is>
          <t>Clave 2 (auto)</t>
        </is>
      </c>
      <c r="H1" s="22" t="inlineStr">
        <is>
          <t>Cómo agregar una pregunta: inserte una fila DENTRO del grupo de su equipo y categoría (clic derecho &gt; Insertar), escriba Equipo, Categoría, Pregunta y Tipo de respuesta, y copie las columnas E y F de la fila de arriba. Tipo: YN, YNS, YNC, FUN u otra lista de la hoja Listas (sin «L_»).</t>
        </is>
      </c>
    </row>
    <row r="2">
      <c r="A2" s="23" t="inlineStr">
        <is>
          <t>Celular</t>
        </is>
      </c>
      <c r="B2" s="24" t="inlineStr">
        <is>
          <t>Datos generales</t>
        </is>
      </c>
      <c r="C2" s="24" t="inlineStr">
        <is>
          <t>¿Cuál es la falla principal que presenta el equipo?</t>
        </is>
      </c>
      <c r="D2" s="25" t="inlineStr">
        <is>
          <t>FALLAP</t>
        </is>
      </c>
      <c r="E2" s="26">
        <f>IF(OR(A2="",B2=""),"",A2&amp;"|"&amp;B2)</f>
        <v/>
      </c>
      <c r="F2" s="26">
        <f>IF(OR(E2="",C2=""),"",E2&amp;"|"&amp;C2)</f>
        <v/>
      </c>
    </row>
    <row r="3">
      <c r="A3" s="23" t="inlineStr">
        <is>
          <t>Celular</t>
        </is>
      </c>
      <c r="B3" s="24" t="inlineStr">
        <is>
          <t>Datos generales</t>
        </is>
      </c>
      <c r="C3" s="24" t="inlineStr">
        <is>
          <t>¿Desde cuándo presenta la falla?</t>
        </is>
      </c>
      <c r="D3" s="25" t="inlineStr">
        <is>
          <t>DESDE</t>
        </is>
      </c>
      <c r="E3" s="26">
        <f>IF(OR(A3="",B3=""),"",A3&amp;"|"&amp;B3)</f>
        <v/>
      </c>
      <c r="F3" s="26">
        <f>IF(OR(E3="",C3=""),"",E3&amp;"|"&amp;C3)</f>
        <v/>
      </c>
    </row>
    <row r="4">
      <c r="A4" s="23" t="inlineStr">
        <is>
          <t>Celular</t>
        </is>
      </c>
      <c r="B4" s="24" t="inlineStr">
        <is>
          <t>Datos generales</t>
        </is>
      </c>
      <c r="C4" s="24" t="inlineStr">
        <is>
          <t>¿La falla es permanente o sucede algunas veces?</t>
        </is>
      </c>
      <c r="D4" s="25" t="inlineStr">
        <is>
          <t>PERM</t>
        </is>
      </c>
      <c r="E4" s="26">
        <f>IF(OR(A4="",B4=""),"",A4&amp;"|"&amp;B4)</f>
        <v/>
      </c>
      <c r="F4" s="26">
        <f>IF(OR(E4="",C4=""),"",E4&amp;"|"&amp;C4)</f>
        <v/>
      </c>
    </row>
    <row r="5">
      <c r="A5" s="23" t="inlineStr">
        <is>
          <t>Celular</t>
        </is>
      </c>
      <c r="B5" s="24" t="inlineStr">
        <is>
          <t>Datos generales</t>
        </is>
      </c>
      <c r="C5" s="24" t="inlineStr">
        <is>
          <t>¿Sufrió algún golpe o caída recientemente?</t>
        </is>
      </c>
      <c r="D5" s="25" t="inlineStr">
        <is>
          <t>YNS</t>
        </is>
      </c>
      <c r="E5" s="26">
        <f>IF(OR(A5="",B5=""),"",A5&amp;"|"&amp;B5)</f>
        <v/>
      </c>
      <c r="F5" s="26">
        <f>IF(OR(E5="",C5=""),"",E5&amp;"|"&amp;C5)</f>
        <v/>
      </c>
    </row>
    <row r="6">
      <c r="A6" s="23" t="inlineStr">
        <is>
          <t>Celular</t>
        </is>
      </c>
      <c r="B6" s="24" t="inlineStr">
        <is>
          <t>Datos generales</t>
        </is>
      </c>
      <c r="C6" s="24" t="inlineStr">
        <is>
          <t>¿Ha tenido contacto con agua, humedad o algún líquido?</t>
        </is>
      </c>
      <c r="D6" s="25" t="inlineStr">
        <is>
          <t>YNS</t>
        </is>
      </c>
      <c r="E6" s="26">
        <f>IF(OR(A6="",B6=""),"",A6&amp;"|"&amp;B6)</f>
        <v/>
      </c>
      <c r="F6" s="26">
        <f>IF(OR(E6="",C6=""),"",E6&amp;"|"&amp;C6)</f>
        <v/>
      </c>
    </row>
    <row r="7">
      <c r="A7" s="23" t="inlineStr">
        <is>
          <t>Celular</t>
        </is>
      </c>
      <c r="B7" s="24" t="inlineStr">
        <is>
          <t>Datos generales</t>
        </is>
      </c>
      <c r="C7" s="24" t="inlineStr">
        <is>
          <t>¿Ha sido abierto o reparado anteriormente?</t>
        </is>
      </c>
      <c r="D7" s="25" t="inlineStr">
        <is>
          <t>YNS</t>
        </is>
      </c>
      <c r="E7" s="26">
        <f>IF(OR(A7="",B7=""),"",A7&amp;"|"&amp;B7)</f>
        <v/>
      </c>
      <c r="F7" s="26">
        <f>IF(OR(E7="",C7=""),"",E7&amp;"|"&amp;C7)</f>
        <v/>
      </c>
    </row>
    <row r="8">
      <c r="A8" s="23" t="inlineStr">
        <is>
          <t>Celular</t>
        </is>
      </c>
      <c r="B8" s="24" t="inlineStr">
        <is>
          <t>Datos generales</t>
        </is>
      </c>
      <c r="C8" s="24" t="inlineStr">
        <is>
          <t>¿Enciende actualmente?</t>
        </is>
      </c>
      <c r="D8" s="25" t="inlineStr">
        <is>
          <t>ENC</t>
        </is>
      </c>
      <c r="E8" s="26">
        <f>IF(OR(A8="",B8=""),"",A8&amp;"|"&amp;B8)</f>
        <v/>
      </c>
      <c r="F8" s="26">
        <f>IF(OR(E8="",C8=""),"",E8&amp;"|"&amp;C8)</f>
        <v/>
      </c>
    </row>
    <row r="9">
      <c r="A9" s="23" t="inlineStr">
        <is>
          <t>Celular</t>
        </is>
      </c>
      <c r="B9" s="24" t="inlineStr">
        <is>
          <t>Datos generales</t>
        </is>
      </c>
      <c r="C9" s="24" t="inlineStr">
        <is>
          <t>¿El equipo se reinicia o se apaga solo?</t>
        </is>
      </c>
      <c r="D9" s="25" t="inlineStr">
        <is>
          <t>YNS</t>
        </is>
      </c>
      <c r="E9" s="26">
        <f>IF(OR(A9="",B9=""),"",A9&amp;"|"&amp;B9)</f>
        <v/>
      </c>
      <c r="F9" s="26">
        <f>IF(OR(E9="",C9=""),"",E9&amp;"|"&amp;C9)</f>
        <v/>
      </c>
    </row>
    <row r="10">
      <c r="A10" s="23" t="inlineStr">
        <is>
          <t>Celular</t>
        </is>
      </c>
      <c r="B10" s="24" t="inlineStr">
        <is>
          <t>Datos generales</t>
        </is>
      </c>
      <c r="C10" s="24" t="inlineStr">
        <is>
          <t>¿Tiene información importante que no puede perder?</t>
        </is>
      </c>
      <c r="D10" s="25" t="inlineStr">
        <is>
          <t>YNS</t>
        </is>
      </c>
      <c r="E10" s="26">
        <f>IF(OR(A10="",B10=""),"",A10&amp;"|"&amp;B10)</f>
        <v/>
      </c>
      <c r="F10" s="26">
        <f>IF(OR(E10="",C10=""),"",E10&amp;"|"&amp;C10)</f>
        <v/>
      </c>
    </row>
    <row r="11">
      <c r="A11" s="23" t="inlineStr">
        <is>
          <t>Celular</t>
        </is>
      </c>
      <c r="B11" s="24" t="inlineStr">
        <is>
          <t>Datos generales</t>
        </is>
      </c>
      <c r="C11" s="24" t="inlineStr">
        <is>
          <t>¿Tiene respaldo reciente de su información?</t>
        </is>
      </c>
      <c r="D11" s="25" t="inlineStr">
        <is>
          <t>YNS</t>
        </is>
      </c>
      <c r="E11" s="26">
        <f>IF(OR(A11="",B11=""),"",A11&amp;"|"&amp;B11)</f>
        <v/>
      </c>
      <c r="F11" s="26">
        <f>IF(OR(E11="",C11=""),"",E11&amp;"|"&amp;C11)</f>
        <v/>
      </c>
    </row>
    <row r="12">
      <c r="A12" s="23" t="inlineStr">
        <is>
          <t>Celular</t>
        </is>
      </c>
      <c r="B12" s="24" t="inlineStr">
        <is>
          <t>Datos generales</t>
        </is>
      </c>
      <c r="C12" s="24" t="inlineStr">
        <is>
          <t>¿Hay alguna otra falla o condición que debamos conocer?</t>
        </is>
      </c>
      <c r="D12" s="25" t="inlineStr">
        <is>
          <t>OTRAF</t>
        </is>
      </c>
      <c r="E12" s="26">
        <f>IF(OR(A12="",B12=""),"",A12&amp;"|"&amp;B12)</f>
        <v/>
      </c>
      <c r="F12" s="26">
        <f>IF(OR(E12="",C12=""),"",E12&amp;"|"&amp;C12)</f>
        <v/>
      </c>
    </row>
    <row r="13">
      <c r="A13" s="23" t="inlineStr">
        <is>
          <t>Celular</t>
        </is>
      </c>
      <c r="B13" s="24" t="inlineStr">
        <is>
          <t>Datos generales</t>
        </is>
      </c>
      <c r="C13" s="24" t="inlineStr">
        <is>
          <t>¿Es la primera vez que presenta esta falla?</t>
        </is>
      </c>
      <c r="D13" s="25" t="inlineStr">
        <is>
          <t>YNS</t>
        </is>
      </c>
      <c r="E13" s="26">
        <f>IF(OR(A13="",B13=""),"",A13&amp;"|"&amp;B13)</f>
        <v/>
      </c>
      <c r="F13" s="26">
        <f>IF(OR(E13="",C13=""),"",E13&amp;"|"&amp;C13)</f>
        <v/>
      </c>
    </row>
    <row r="14">
      <c r="A14" s="23" t="inlineStr">
        <is>
          <t>Celular</t>
        </is>
      </c>
      <c r="B14" s="24" t="inlineStr">
        <is>
          <t>Datos generales</t>
        </is>
      </c>
      <c r="C14" s="24" t="inlineStr">
        <is>
          <t>¿Qué antigüedad tiene el equipo?</t>
        </is>
      </c>
      <c r="D14" s="25" t="inlineStr">
        <is>
          <t>ANTIG</t>
        </is>
      </c>
      <c r="E14" s="26">
        <f>IF(OR(A14="",B14=""),"",A14&amp;"|"&amp;B14)</f>
        <v/>
      </c>
      <c r="F14" s="26">
        <f>IF(OR(E14="",C14=""),"",E14&amp;"|"&amp;C14)</f>
        <v/>
      </c>
    </row>
    <row r="15">
      <c r="A15" s="23" t="inlineStr">
        <is>
          <t>Celular</t>
        </is>
      </c>
      <c r="B15" s="24" t="inlineStr">
        <is>
          <t>Datos generales</t>
        </is>
      </c>
      <c r="C15" s="24" t="inlineStr">
        <is>
          <t>¿El equipo está en garantía?</t>
        </is>
      </c>
      <c r="D15" s="25" t="inlineStr">
        <is>
          <t>YNS</t>
        </is>
      </c>
      <c r="E15" s="26">
        <f>IF(OR(A15="",B15=""),"",A15&amp;"|"&amp;B15)</f>
        <v/>
      </c>
      <c r="F15" s="26">
        <f>IF(OR(E15="",C15=""),"",E15&amp;"|"&amp;C15)</f>
        <v/>
      </c>
    </row>
    <row r="16">
      <c r="A16" s="23" t="inlineStr">
        <is>
          <t>Celular</t>
        </is>
      </c>
      <c r="B16" s="24" t="inlineStr">
        <is>
          <t>Datos generales</t>
        </is>
      </c>
      <c r="C16" s="24" t="inlineStr">
        <is>
          <t>¿Para qué usa principalmente el equipo?</t>
        </is>
      </c>
      <c r="D16" s="25" t="inlineStr">
        <is>
          <t>USO</t>
        </is>
      </c>
      <c r="E16" s="26">
        <f>IF(OR(A16="",B16=""),"",A16&amp;"|"&amp;B16)</f>
        <v/>
      </c>
      <c r="F16" s="26">
        <f>IF(OR(E16="",C16=""),"",E16&amp;"|"&amp;C16)</f>
        <v/>
      </c>
    </row>
    <row r="17">
      <c r="A17" s="23" t="inlineStr">
        <is>
          <t>Celular</t>
        </is>
      </c>
      <c r="B17" s="24" t="inlineStr">
        <is>
          <t>Datos generales</t>
        </is>
      </c>
      <c r="C17" s="24" t="inlineStr">
        <is>
          <t>¿Qué tan urgente es tener el equipo de vuelta?</t>
        </is>
      </c>
      <c r="D17" s="25" t="inlineStr">
        <is>
          <t>URG</t>
        </is>
      </c>
      <c r="E17" s="26">
        <f>IF(OR(A17="",B17=""),"",A17&amp;"|"&amp;B17)</f>
        <v/>
      </c>
      <c r="F17" s="26">
        <f>IF(OR(E17="",C17=""),"",E17&amp;"|"&amp;C17)</f>
        <v/>
      </c>
    </row>
    <row r="18">
      <c r="A18" s="23" t="inlineStr">
        <is>
          <t>Celular</t>
        </is>
      </c>
      <c r="B18" s="24" t="inlineStr">
        <is>
          <t>Datos generales</t>
        </is>
      </c>
      <c r="C18" s="24" t="inlineStr">
        <is>
          <t>¿Por qué medio prefiere que le avisemos?</t>
        </is>
      </c>
      <c r="D18" s="25" t="inlineStr">
        <is>
          <t>CONT</t>
        </is>
      </c>
      <c r="E18" s="26">
        <f>IF(OR(A18="",B18=""),"",A18&amp;"|"&amp;B18)</f>
        <v/>
      </c>
      <c r="F18" s="26">
        <f>IF(OR(E18="",C18=""),"",E18&amp;"|"&amp;C18)</f>
        <v/>
      </c>
    </row>
    <row r="19">
      <c r="A19" s="23" t="inlineStr">
        <is>
          <t>Celular</t>
        </is>
      </c>
      <c r="B19" s="24" t="inlineStr">
        <is>
          <t>Datos generales</t>
        </is>
      </c>
      <c r="C19" s="24" t="inlineStr">
        <is>
          <t>¿Desea que se le informe el costo antes de reparar?</t>
        </is>
      </c>
      <c r="D19" s="25" t="inlineStr">
        <is>
          <t>YNS</t>
        </is>
      </c>
      <c r="E19" s="26">
        <f>IF(OR(A19="",B19=""),"",A19&amp;"|"&amp;B19)</f>
        <v/>
      </c>
      <c r="F19" s="26">
        <f>IF(OR(E19="",C19=""),"",E19&amp;"|"&amp;C19)</f>
        <v/>
      </c>
    </row>
    <row r="20">
      <c r="A20" s="23" t="inlineStr">
        <is>
          <t>Celular</t>
        </is>
      </c>
      <c r="B20" s="24" t="inlineStr">
        <is>
          <t>Datos generales</t>
        </is>
      </c>
      <c r="C20" s="24" t="inlineStr">
        <is>
          <t>¿Acepta una reparación con repuesto no original si el original no está disponible?</t>
        </is>
      </c>
      <c r="D20" s="25" t="inlineStr">
        <is>
          <t>YNS</t>
        </is>
      </c>
      <c r="E20" s="26">
        <f>IF(OR(A20="",B20=""),"",A20&amp;"|"&amp;B20)</f>
        <v/>
      </c>
      <c r="F20" s="26">
        <f>IF(OR(E20="",C20=""),"",E20&amp;"|"&amp;C20)</f>
        <v/>
      </c>
    </row>
    <row r="21">
      <c r="A21" s="23" t="inlineStr">
        <is>
          <t>Celular</t>
        </is>
      </c>
      <c r="B21" s="24" t="inlineStr">
        <is>
          <t>No enciende</t>
        </is>
      </c>
      <c r="C21" s="24" t="inlineStr">
        <is>
          <t>¿Cuándo fue la última vez que encendió normalmente?</t>
        </is>
      </c>
      <c r="D21" s="25" t="inlineStr">
        <is>
          <t>CUANDO</t>
        </is>
      </c>
      <c r="E21" s="26">
        <f>IF(OR(A21="",B21=""),"",A21&amp;"|"&amp;B21)</f>
        <v/>
      </c>
      <c r="F21" s="26">
        <f>IF(OR(E21="",C21=""),"",E21&amp;"|"&amp;C21)</f>
        <v/>
      </c>
    </row>
    <row r="22">
      <c r="A22" s="23" t="inlineStr">
        <is>
          <t>Celular</t>
        </is>
      </c>
      <c r="B22" s="24" t="inlineStr">
        <is>
          <t>No enciende</t>
        </is>
      </c>
      <c r="C22" s="24" t="inlineStr">
        <is>
          <t>¿Se apagó mientras lo estaba utilizando?</t>
        </is>
      </c>
      <c r="D22" s="25" t="inlineStr">
        <is>
          <t>YNS</t>
        </is>
      </c>
      <c r="E22" s="26">
        <f>IF(OR(A22="",B22=""),"",A22&amp;"|"&amp;B22)</f>
        <v/>
      </c>
      <c r="F22" s="26">
        <f>IF(OR(E22="",C22=""),"",E22&amp;"|"&amp;C22)</f>
        <v/>
      </c>
    </row>
    <row r="23">
      <c r="A23" s="23" t="inlineStr">
        <is>
          <t>Celular</t>
        </is>
      </c>
      <c r="B23" s="24" t="inlineStr">
        <is>
          <t>No enciende</t>
        </is>
      </c>
      <c r="C23" s="24" t="inlineStr">
        <is>
          <t>¿Ocurrió después de una caída, líquido o sobrecalentamiento?</t>
        </is>
      </c>
      <c r="D23" s="25" t="inlineStr">
        <is>
          <t>YNS</t>
        </is>
      </c>
      <c r="E23" s="26">
        <f>IF(OR(A23="",B23=""),"",A23&amp;"|"&amp;B23)</f>
        <v/>
      </c>
      <c r="F23" s="26">
        <f>IF(OR(E23="",C23=""),"",E23&amp;"|"&amp;C23)</f>
        <v/>
      </c>
    </row>
    <row r="24">
      <c r="A24" s="23" t="inlineStr">
        <is>
          <t>Celular</t>
        </is>
      </c>
      <c r="B24" s="24" t="inlineStr">
        <is>
          <t>No enciende</t>
        </is>
      </c>
      <c r="C24" s="24" t="inlineStr">
        <is>
          <t>¿Muestra alguna luz, vibración, sonido o señal de vida?</t>
        </is>
      </c>
      <c r="D24" s="25" t="inlineStr">
        <is>
          <t>SENAL</t>
        </is>
      </c>
      <c r="E24" s="26">
        <f>IF(OR(A24="",B24=""),"",A24&amp;"|"&amp;B24)</f>
        <v/>
      </c>
      <c r="F24" s="26">
        <f>IF(OR(E24="",C24=""),"",E24&amp;"|"&amp;C24)</f>
        <v/>
      </c>
    </row>
    <row r="25">
      <c r="A25" s="23" t="inlineStr">
        <is>
          <t>Celular</t>
        </is>
      </c>
      <c r="B25" s="24" t="inlineStr">
        <is>
          <t>No enciende</t>
        </is>
      </c>
      <c r="C25" s="24" t="inlineStr">
        <is>
          <t>¿Ha intentado cargarlo con otro cargador o cable?</t>
        </is>
      </c>
      <c r="D25" s="25" t="inlineStr">
        <is>
          <t>YNS</t>
        </is>
      </c>
      <c r="E25" s="26">
        <f>IF(OR(A25="",B25=""),"",A25&amp;"|"&amp;B25)</f>
        <v/>
      </c>
      <c r="F25" s="26">
        <f>IF(OR(E25="",C25=""),"",E25&amp;"|"&amp;C25)</f>
        <v/>
      </c>
    </row>
    <row r="26">
      <c r="A26" s="23" t="inlineStr">
        <is>
          <t>Celular</t>
        </is>
      </c>
      <c r="B26" s="24" t="inlineStr">
        <is>
          <t>No enciende</t>
        </is>
      </c>
      <c r="C26" s="24" t="inlineStr">
        <is>
          <t>¿Se queda en el logo o se reinicia constantemente?</t>
        </is>
      </c>
      <c r="D26" s="25" t="inlineStr">
        <is>
          <t>YNS</t>
        </is>
      </c>
      <c r="E26" s="26">
        <f>IF(OR(A26="",B26=""),"",A26&amp;"|"&amp;B26)</f>
        <v/>
      </c>
      <c r="F26" s="26">
        <f>IF(OR(E26="",C26=""),"",E26&amp;"|"&amp;C26)</f>
        <v/>
      </c>
    </row>
    <row r="27">
      <c r="A27" s="23" t="inlineStr">
        <is>
          <t>Celular</t>
        </is>
      </c>
      <c r="B27" s="24" t="inlineStr">
        <is>
          <t>No enciende</t>
        </is>
      </c>
      <c r="C27" s="24" t="inlineStr">
        <is>
          <t>¿Alguien intentó repararlo después de que dejó de encender?</t>
        </is>
      </c>
      <c r="D27" s="25" t="inlineStr">
        <is>
          <t>YNS</t>
        </is>
      </c>
      <c r="E27" s="26">
        <f>IF(OR(A27="",B27=""),"",A27&amp;"|"&amp;B27)</f>
        <v/>
      </c>
      <c r="F27" s="26">
        <f>IF(OR(E27="",C27=""),"",E27&amp;"|"&amp;C27)</f>
        <v/>
      </c>
    </row>
    <row r="28">
      <c r="A28" s="23" t="inlineStr">
        <is>
          <t>Celular</t>
        </is>
      </c>
      <c r="B28" s="24" t="inlineStr">
        <is>
          <t>No enciende</t>
        </is>
      </c>
      <c r="C28" s="24" t="inlineStr">
        <is>
          <t>¿Se calentó mucho antes de dejar de encender?</t>
        </is>
      </c>
      <c r="D28" s="25" t="inlineStr">
        <is>
          <t>YNS</t>
        </is>
      </c>
      <c r="E28" s="26">
        <f>IF(OR(A28="",B28=""),"",A28&amp;"|"&amp;B28)</f>
        <v/>
      </c>
      <c r="F28" s="26">
        <f>IF(OR(E28="",C28=""),"",E28&amp;"|"&amp;C28)</f>
        <v/>
      </c>
    </row>
    <row r="29">
      <c r="A29" s="23" t="inlineStr">
        <is>
          <t>Celular</t>
        </is>
      </c>
      <c r="B29" s="24" t="inlineStr">
        <is>
          <t>No enciende</t>
        </is>
      </c>
      <c r="C29" s="24" t="inlineStr">
        <is>
          <t>¿Huele a quemado?</t>
        </is>
      </c>
      <c r="D29" s="25" t="inlineStr">
        <is>
          <t>YNS</t>
        </is>
      </c>
      <c r="E29" s="26">
        <f>IF(OR(A29="",B29=""),"",A29&amp;"|"&amp;B29)</f>
        <v/>
      </c>
      <c r="F29" s="26">
        <f>IF(OR(E29="",C29=""),"",E29&amp;"|"&amp;C29)</f>
        <v/>
      </c>
    </row>
    <row r="30">
      <c r="A30" s="23" t="inlineStr">
        <is>
          <t>Celular</t>
        </is>
      </c>
      <c r="B30" s="24" t="inlineStr">
        <is>
          <t>No enciende</t>
        </is>
      </c>
      <c r="C30" s="24" t="inlineStr">
        <is>
          <t>¿Vibra o reacciona al conectarlo al cargador?</t>
        </is>
      </c>
      <c r="D30" s="25" t="inlineStr">
        <is>
          <t>YNS</t>
        </is>
      </c>
      <c r="E30" s="26">
        <f>IF(OR(A30="",B30=""),"",A30&amp;"|"&amp;B30)</f>
        <v/>
      </c>
      <c r="F30" s="26">
        <f>IF(OR(E30="",C30=""),"",E30&amp;"|"&amp;C30)</f>
        <v/>
      </c>
    </row>
    <row r="31">
      <c r="A31" s="23" t="inlineStr">
        <is>
          <t>Celular</t>
        </is>
      </c>
      <c r="B31" s="24" t="inlineStr">
        <is>
          <t>Batería / No carga</t>
        </is>
      </c>
      <c r="C31" s="24" t="inlineStr">
        <is>
          <t>¿Carga de manera intermitente?</t>
        </is>
      </c>
      <c r="D31" s="25" t="inlineStr">
        <is>
          <t>YNS</t>
        </is>
      </c>
      <c r="E31" s="26">
        <f>IF(OR(A31="",B31=""),"",A31&amp;"|"&amp;B31)</f>
        <v/>
      </c>
      <c r="F31" s="26">
        <f>IF(OR(E31="",C31=""),"",E31&amp;"|"&amp;C31)</f>
        <v/>
      </c>
    </row>
    <row r="32">
      <c r="A32" s="23" t="inlineStr">
        <is>
          <t>Celular</t>
        </is>
      </c>
      <c r="B32" s="24" t="inlineStr">
        <is>
          <t>Batería / No carga</t>
        </is>
      </c>
      <c r="C32" s="24" t="inlineStr">
        <is>
          <t>¿Debe mover el cable para que cargue?</t>
        </is>
      </c>
      <c r="D32" s="25" t="inlineStr">
        <is>
          <t>YNS</t>
        </is>
      </c>
      <c r="E32" s="26">
        <f>IF(OR(A32="",B32=""),"",A32&amp;"|"&amp;B32)</f>
        <v/>
      </c>
      <c r="F32" s="26">
        <f>IF(OR(E32="",C32=""),"",E32&amp;"|"&amp;C32)</f>
        <v/>
      </c>
    </row>
    <row r="33">
      <c r="A33" s="23" t="inlineStr">
        <is>
          <t>Celular</t>
        </is>
      </c>
      <c r="B33" s="24" t="inlineStr">
        <is>
          <t>Batería / No carga</t>
        </is>
      </c>
      <c r="C33" s="24" t="inlineStr">
        <is>
          <t>¿Se descarga rápidamente?</t>
        </is>
      </c>
      <c r="D33" s="25" t="inlineStr">
        <is>
          <t>YNS</t>
        </is>
      </c>
      <c r="E33" s="26">
        <f>IF(OR(A33="",B33=""),"",A33&amp;"|"&amp;B33)</f>
        <v/>
      </c>
      <c r="F33" s="26">
        <f>IF(OR(E33="",C33=""),"",E33&amp;"|"&amp;C33)</f>
        <v/>
      </c>
    </row>
    <row r="34">
      <c r="A34" s="23" t="inlineStr">
        <is>
          <t>Celular</t>
        </is>
      </c>
      <c r="B34" s="24" t="inlineStr">
        <is>
          <t>Batería / No carga</t>
        </is>
      </c>
      <c r="C34" s="24" t="inlineStr">
        <is>
          <t>¿Se apaga aunque indique que todavía tiene batería?</t>
        </is>
      </c>
      <c r="D34" s="25" t="inlineStr">
        <is>
          <t>YNS</t>
        </is>
      </c>
      <c r="E34" s="26">
        <f>IF(OR(A34="",B34=""),"",A34&amp;"|"&amp;B34)</f>
        <v/>
      </c>
      <c r="F34" s="26">
        <f>IF(OR(E34="",C34=""),"",E34&amp;"|"&amp;C34)</f>
        <v/>
      </c>
    </row>
    <row r="35">
      <c r="A35" s="23" t="inlineStr">
        <is>
          <t>Celular</t>
        </is>
      </c>
      <c r="B35" s="24" t="inlineStr">
        <is>
          <t>Batería / No carga</t>
        </is>
      </c>
      <c r="C35" s="24" t="inlineStr">
        <is>
          <t>¿La batería está inflada o ha deformado el equipo?</t>
        </is>
      </c>
      <c r="D35" s="25" t="inlineStr">
        <is>
          <t>YNS</t>
        </is>
      </c>
      <c r="E35" s="26">
        <f>IF(OR(A35="",B35=""),"",A35&amp;"|"&amp;B35)</f>
        <v/>
      </c>
      <c r="F35" s="26">
        <f>IF(OR(E35="",C35=""),"",E35&amp;"|"&amp;C35)</f>
        <v/>
      </c>
    </row>
    <row r="36">
      <c r="A36" s="23" t="inlineStr">
        <is>
          <t>Celular</t>
        </is>
      </c>
      <c r="B36" s="24" t="inlineStr">
        <is>
          <t>Batería / No carga</t>
        </is>
      </c>
      <c r="C36" s="24" t="inlineStr">
        <is>
          <t>¿Utiliza cargador original?</t>
        </is>
      </c>
      <c r="D36" s="25" t="inlineStr">
        <is>
          <t>YNS</t>
        </is>
      </c>
      <c r="E36" s="26">
        <f>IF(OR(A36="",B36=""),"",A36&amp;"|"&amp;B36)</f>
        <v/>
      </c>
      <c r="F36" s="26">
        <f>IF(OR(E36="",C36=""),"",E36&amp;"|"&amp;C36)</f>
        <v/>
      </c>
    </row>
    <row r="37">
      <c r="A37" s="23" t="inlineStr">
        <is>
          <t>Celular</t>
        </is>
      </c>
      <c r="B37" s="24" t="inlineStr">
        <is>
          <t>Batería / No carga</t>
        </is>
      </c>
      <c r="C37" s="24" t="inlineStr">
        <is>
          <t>¿Ha probado otro cargador?</t>
        </is>
      </c>
      <c r="D37" s="25" t="inlineStr">
        <is>
          <t>YNS</t>
        </is>
      </c>
      <c r="E37" s="26">
        <f>IF(OR(A37="",B37=""),"",A37&amp;"|"&amp;B37)</f>
        <v/>
      </c>
      <c r="F37" s="26">
        <f>IF(OR(E37="",C37=""),"",E37&amp;"|"&amp;C37)</f>
        <v/>
      </c>
    </row>
    <row r="38">
      <c r="A38" s="23" t="inlineStr">
        <is>
          <t>Celular</t>
        </is>
      </c>
      <c r="B38" s="24" t="inlineStr">
        <is>
          <t>Batería / No carga</t>
        </is>
      </c>
      <c r="C38" s="24" t="inlineStr">
        <is>
          <t>¿Carga lenta o se detiene en cierto porcentaje?</t>
        </is>
      </c>
      <c r="D38" s="25" t="inlineStr">
        <is>
          <t>YNS</t>
        </is>
      </c>
      <c r="E38" s="26">
        <f>IF(OR(A38="",B38=""),"",A38&amp;"|"&amp;B38)</f>
        <v/>
      </c>
      <c r="F38" s="26">
        <f>IF(OR(E38="",C38=""),"",E38&amp;"|"&amp;C38)</f>
        <v/>
      </c>
    </row>
    <row r="39">
      <c r="A39" s="23" t="inlineStr">
        <is>
          <t>Celular</t>
        </is>
      </c>
      <c r="B39" s="24" t="inlineStr">
        <is>
          <t>Batería / No carga</t>
        </is>
      </c>
      <c r="C39" s="24" t="inlineStr">
        <is>
          <t>¿El puerto de carga está flojo o sucio?</t>
        </is>
      </c>
      <c r="D39" s="25" t="inlineStr">
        <is>
          <t>YNS</t>
        </is>
      </c>
      <c r="E39" s="26">
        <f>IF(OR(A39="",B39=""),"",A39&amp;"|"&amp;B39)</f>
        <v/>
      </c>
      <c r="F39" s="26">
        <f>IF(OR(E39="",C39=""),"",E39&amp;"|"&amp;C39)</f>
        <v/>
      </c>
    </row>
    <row r="40">
      <c r="A40" s="23" t="inlineStr">
        <is>
          <t>Celular</t>
        </is>
      </c>
      <c r="B40" s="24" t="inlineStr">
        <is>
          <t>Batería / No carga</t>
        </is>
      </c>
      <c r="C40" s="24" t="inlineStr">
        <is>
          <t>¿Cuánto dura la batería aproximadamente?</t>
        </is>
      </c>
      <c r="D40" s="25" t="inlineStr">
        <is>
          <t>AUTON</t>
        </is>
      </c>
      <c r="E40" s="26">
        <f>IF(OR(A40="",B40=""),"",A40&amp;"|"&amp;B40)</f>
        <v/>
      </c>
      <c r="F40" s="26">
        <f>IF(OR(E40="",C40=""),"",E40&amp;"|"&amp;C40)</f>
        <v/>
      </c>
    </row>
    <row r="41">
      <c r="A41" s="23" t="inlineStr">
        <is>
          <t>Celular</t>
        </is>
      </c>
      <c r="B41" s="24" t="inlineStr">
        <is>
          <t>Batería / No carga</t>
        </is>
      </c>
      <c r="C41" s="24" t="inlineStr">
        <is>
          <t>¿La batería ha sido cambiada antes?</t>
        </is>
      </c>
      <c r="D41" s="25" t="inlineStr">
        <is>
          <t>YNS</t>
        </is>
      </c>
      <c r="E41" s="26">
        <f>IF(OR(A41="",B41=""),"",A41&amp;"|"&amp;B41)</f>
        <v/>
      </c>
      <c r="F41" s="26">
        <f>IF(OR(E41="",C41=""),"",E41&amp;"|"&amp;C41)</f>
        <v/>
      </c>
    </row>
    <row r="42">
      <c r="A42" s="23" t="inlineStr">
        <is>
          <t>Celular</t>
        </is>
      </c>
      <c r="B42" s="24" t="inlineStr">
        <is>
          <t>Batería / No carga</t>
        </is>
      </c>
      <c r="C42" s="24" t="inlineStr">
        <is>
          <t>¿Cuánto tiempo tiene la batería actual?</t>
        </is>
      </c>
      <c r="D42" s="25" t="inlineStr">
        <is>
          <t>BATED</t>
        </is>
      </c>
      <c r="E42" s="26">
        <f>IF(OR(A42="",B42=""),"",A42&amp;"|"&amp;B42)</f>
        <v/>
      </c>
      <c r="F42" s="26">
        <f>IF(OR(E42="",C42=""),"",E42&amp;"|"&amp;C42)</f>
        <v/>
      </c>
    </row>
    <row r="43">
      <c r="A43" s="23" t="inlineStr">
        <is>
          <t>Celular</t>
        </is>
      </c>
      <c r="B43" s="24" t="inlineStr">
        <is>
          <t>Batería / No carga</t>
        </is>
      </c>
      <c r="C43" s="24" t="inlineStr">
        <is>
          <t>¿El porcentaje salta de repente (por ejemplo de 30% a 1%)?</t>
        </is>
      </c>
      <c r="D43" s="25" t="inlineStr">
        <is>
          <t>YNS</t>
        </is>
      </c>
      <c r="E43" s="26">
        <f>IF(OR(A43="",B43=""),"",A43&amp;"|"&amp;B43)</f>
        <v/>
      </c>
      <c r="F43" s="26">
        <f>IF(OR(E43="",C43=""),"",E43&amp;"|"&amp;C43)</f>
        <v/>
      </c>
    </row>
    <row r="44">
      <c r="A44" s="23" t="inlineStr">
        <is>
          <t>Celular</t>
        </is>
      </c>
      <c r="B44" s="24" t="inlineStr">
        <is>
          <t>Batería / No carga</t>
        </is>
      </c>
      <c r="C44" s="24" t="inlineStr">
        <is>
          <t>¿Aparece aviso de «accesorio no compatible» o «líquido detectado» al cargar?</t>
        </is>
      </c>
      <c r="D44" s="25" t="inlineStr">
        <is>
          <t>YNS</t>
        </is>
      </c>
      <c r="E44" s="26">
        <f>IF(OR(A44="",B44=""),"",A44&amp;"|"&amp;B44)</f>
        <v/>
      </c>
      <c r="F44" s="26">
        <f>IF(OR(E44="",C44=""),"",E44&amp;"|"&amp;C44)</f>
        <v/>
      </c>
    </row>
    <row r="45">
      <c r="A45" s="23" t="inlineStr">
        <is>
          <t>Celular</t>
        </is>
      </c>
      <c r="B45" s="24" t="inlineStr">
        <is>
          <t>Calentamiento / Se apaga</t>
        </is>
      </c>
      <c r="C45" s="24" t="inlineStr">
        <is>
          <t>¿En qué momento se calienta?</t>
        </is>
      </c>
      <c r="D45" s="25" t="inlineStr">
        <is>
          <t>MOM</t>
        </is>
      </c>
      <c r="E45" s="26">
        <f>IF(OR(A45="",B45=""),"",A45&amp;"|"&amp;B45)</f>
        <v/>
      </c>
      <c r="F45" s="26">
        <f>IF(OR(E45="",C45=""),"",E45&amp;"|"&amp;C45)</f>
        <v/>
      </c>
    </row>
    <row r="46">
      <c r="A46" s="23" t="inlineStr">
        <is>
          <t>Celular</t>
        </is>
      </c>
      <c r="B46" s="24" t="inlineStr">
        <is>
          <t>Calentamiento / Se apaga</t>
        </is>
      </c>
      <c r="C46" s="24" t="inlineStr">
        <is>
          <t>¿Se apaga o reinicia cuando se calienta?</t>
        </is>
      </c>
      <c r="D46" s="25" t="inlineStr">
        <is>
          <t>YNS</t>
        </is>
      </c>
      <c r="E46" s="26">
        <f>IF(OR(A46="",B46=""),"",A46&amp;"|"&amp;B46)</f>
        <v/>
      </c>
      <c r="F46" s="26">
        <f>IF(OR(E46="",C46=""),"",E46&amp;"|"&amp;C46)</f>
        <v/>
      </c>
    </row>
    <row r="47">
      <c r="A47" s="23" t="inlineStr">
        <is>
          <t>Celular</t>
        </is>
      </c>
      <c r="B47" s="24" t="inlineStr">
        <is>
          <t>Calentamiento / Se apaga</t>
        </is>
      </c>
      <c r="C47" s="24" t="inlineStr">
        <is>
          <t>¿Ha notado pérdida de rendimiento?</t>
        </is>
      </c>
      <c r="D47" s="25" t="inlineStr">
        <is>
          <t>YNS</t>
        </is>
      </c>
      <c r="E47" s="26">
        <f>IF(OR(A47="",B47=""),"",A47&amp;"|"&amp;B47)</f>
        <v/>
      </c>
      <c r="F47" s="26">
        <f>IF(OR(E47="",C47=""),"",E47&amp;"|"&amp;C47)</f>
        <v/>
      </c>
    </row>
    <row r="48">
      <c r="A48" s="23" t="inlineStr">
        <is>
          <t>Celular</t>
        </is>
      </c>
      <c r="B48" s="24" t="inlineStr">
        <is>
          <t>Calentamiento / Se apaga</t>
        </is>
      </c>
      <c r="C48" s="24" t="inlineStr">
        <is>
          <t>¿En qué zona se calienta?</t>
        </is>
      </c>
      <c r="D48" s="25" t="inlineStr">
        <is>
          <t>ZONAC</t>
        </is>
      </c>
      <c r="E48" s="26">
        <f>IF(OR(A48="",B48=""),"",A48&amp;"|"&amp;B48)</f>
        <v/>
      </c>
      <c r="F48" s="26">
        <f>IF(OR(E48="",C48=""),"",E48&amp;"|"&amp;C48)</f>
        <v/>
      </c>
    </row>
    <row r="49">
      <c r="A49" s="23" t="inlineStr">
        <is>
          <t>Celular</t>
        </is>
      </c>
      <c r="B49" s="24" t="inlineStr">
        <is>
          <t>Calentamiento / Se apaga</t>
        </is>
      </c>
      <c r="C49" s="24" t="inlineStr">
        <is>
          <t>¿Usa funda gruesa o lo utiliza mientras carga?</t>
        </is>
      </c>
      <c r="D49" s="25" t="inlineStr">
        <is>
          <t>YNS</t>
        </is>
      </c>
      <c r="E49" s="26">
        <f>IF(OR(A49="",B49=""),"",A49&amp;"|"&amp;B49)</f>
        <v/>
      </c>
      <c r="F49" s="26">
        <f>IF(OR(E49="",C49=""),"",E49&amp;"|"&amp;C49)</f>
        <v/>
      </c>
    </row>
    <row r="50">
      <c r="A50" s="23" t="inlineStr">
        <is>
          <t>Celular</t>
        </is>
      </c>
      <c r="B50" s="24" t="inlineStr">
        <is>
          <t>Calentamiento / Se apaga</t>
        </is>
      </c>
      <c r="C50" s="24" t="inlineStr">
        <is>
          <t>¿Se calienta solo con ciertas apps o juegos?</t>
        </is>
      </c>
      <c r="D50" s="25" t="inlineStr">
        <is>
          <t>YNS</t>
        </is>
      </c>
      <c r="E50" s="26">
        <f>IF(OR(A50="",B50=""),"",A50&amp;"|"&amp;B50)</f>
        <v/>
      </c>
      <c r="F50" s="26">
        <f>IF(OR(E50="",C50=""),"",E50&amp;"|"&amp;C50)</f>
        <v/>
      </c>
    </row>
    <row r="51">
      <c r="A51" s="23" t="inlineStr">
        <is>
          <t>Celular</t>
        </is>
      </c>
      <c r="B51" s="24" t="inlineStr">
        <is>
          <t>Calentamiento / Se apaga</t>
        </is>
      </c>
      <c r="C51" s="24" t="inlineStr">
        <is>
          <t>¿Se calienta incluso sin usarlo?</t>
        </is>
      </c>
      <c r="D51" s="25" t="inlineStr">
        <is>
          <t>YNS</t>
        </is>
      </c>
      <c r="E51" s="26">
        <f>IF(OR(A51="",B51=""),"",A51&amp;"|"&amp;B51)</f>
        <v/>
      </c>
      <c r="F51" s="26">
        <f>IF(OR(E51="",C51=""),"",E51&amp;"|"&amp;C51)</f>
        <v/>
      </c>
    </row>
    <row r="52">
      <c r="A52" s="23" t="inlineStr">
        <is>
          <t>Celular</t>
        </is>
      </c>
      <c r="B52" s="24" t="inlineStr">
        <is>
          <t>Contacto con líquido</t>
        </is>
      </c>
      <c r="C52" s="24" t="inlineStr">
        <is>
          <t>¿Qué tipo de líquido fue?</t>
        </is>
      </c>
      <c r="D52" s="25" t="inlineStr">
        <is>
          <t>LIQ</t>
        </is>
      </c>
      <c r="E52" s="26">
        <f>IF(OR(A52="",B52=""),"",A52&amp;"|"&amp;B52)</f>
        <v/>
      </c>
      <c r="F52" s="26">
        <f>IF(OR(E52="",C52=""),"",E52&amp;"|"&amp;C52)</f>
        <v/>
      </c>
    </row>
    <row r="53">
      <c r="A53" s="23" t="inlineStr">
        <is>
          <t>Celular</t>
        </is>
      </c>
      <c r="B53" s="24" t="inlineStr">
        <is>
          <t>Contacto con líquido</t>
        </is>
      </c>
      <c r="C53" s="24" t="inlineStr">
        <is>
          <t>¿Cuándo ocurrió?</t>
        </is>
      </c>
      <c r="D53" s="25" t="inlineStr">
        <is>
          <t>CUANDO</t>
        </is>
      </c>
      <c r="E53" s="26">
        <f>IF(OR(A53="",B53=""),"",A53&amp;"|"&amp;B53)</f>
        <v/>
      </c>
      <c r="F53" s="26">
        <f>IF(OR(E53="",C53=""),"",E53&amp;"|"&amp;C53)</f>
        <v/>
      </c>
    </row>
    <row r="54">
      <c r="A54" s="23" t="inlineStr">
        <is>
          <t>Celular</t>
        </is>
      </c>
      <c r="B54" s="24" t="inlineStr">
        <is>
          <t>Contacto con líquido</t>
        </is>
      </c>
      <c r="C54" s="24" t="inlineStr">
        <is>
          <t>¿Continuó utilizando el equipo?</t>
        </is>
      </c>
      <c r="D54" s="25" t="inlineStr">
        <is>
          <t>YNS</t>
        </is>
      </c>
      <c r="E54" s="26">
        <f>IF(OR(A54="",B54=""),"",A54&amp;"|"&amp;B54)</f>
        <v/>
      </c>
      <c r="F54" s="26">
        <f>IF(OR(E54="",C54=""),"",E54&amp;"|"&amp;C54)</f>
        <v/>
      </c>
    </row>
    <row r="55">
      <c r="A55" s="23" t="inlineStr">
        <is>
          <t>Celular</t>
        </is>
      </c>
      <c r="B55" s="24" t="inlineStr">
        <is>
          <t>Contacto con líquido</t>
        </is>
      </c>
      <c r="C55" s="24" t="inlineStr">
        <is>
          <t>¿Intentó encenderlo?</t>
        </is>
      </c>
      <c r="D55" s="25" t="inlineStr">
        <is>
          <t>YNS</t>
        </is>
      </c>
      <c r="E55" s="26">
        <f>IF(OR(A55="",B55=""),"",A55&amp;"|"&amp;B55)</f>
        <v/>
      </c>
      <c r="F55" s="26">
        <f>IF(OR(E55="",C55=""),"",E55&amp;"|"&amp;C55)</f>
        <v/>
      </c>
    </row>
    <row r="56">
      <c r="A56" s="23" t="inlineStr">
        <is>
          <t>Celular</t>
        </is>
      </c>
      <c r="B56" s="24" t="inlineStr">
        <is>
          <t>Contacto con líquido</t>
        </is>
      </c>
      <c r="C56" s="24" t="inlineStr">
        <is>
          <t>¿Lo conectó al cargador después de mojarse?</t>
        </is>
      </c>
      <c r="D56" s="25" t="inlineStr">
        <is>
          <t>YNS</t>
        </is>
      </c>
      <c r="E56" s="26">
        <f>IF(OR(A56="",B56=""),"",A56&amp;"|"&amp;B56)</f>
        <v/>
      </c>
      <c r="F56" s="26">
        <f>IF(OR(E56="",C56=""),"",E56&amp;"|"&amp;C56)</f>
        <v/>
      </c>
    </row>
    <row r="57">
      <c r="A57" s="23" t="inlineStr">
        <is>
          <t>Celular</t>
        </is>
      </c>
      <c r="B57" s="24" t="inlineStr">
        <is>
          <t>Contacto con líquido</t>
        </is>
      </c>
      <c r="C57" s="24" t="inlineStr">
        <is>
          <t>¿Fue abierto posteriormente?</t>
        </is>
      </c>
      <c r="D57" s="25" t="inlineStr">
        <is>
          <t>YNS</t>
        </is>
      </c>
      <c r="E57" s="26">
        <f>IF(OR(A57="",B57=""),"",A57&amp;"|"&amp;B57)</f>
        <v/>
      </c>
      <c r="F57" s="26">
        <f>IF(OR(E57="",C57=""),"",E57&amp;"|"&amp;C57)</f>
        <v/>
      </c>
    </row>
    <row r="58">
      <c r="A58" s="23" t="inlineStr">
        <is>
          <t>Celular</t>
        </is>
      </c>
      <c r="B58" s="24" t="inlineStr">
        <is>
          <t>Contacto con líquido</t>
        </is>
      </c>
      <c r="C58" s="24" t="inlineStr">
        <is>
          <t>¿Recibió limpieza o reparación previa?</t>
        </is>
      </c>
      <c r="D58" s="25" t="inlineStr">
        <is>
          <t>YNS</t>
        </is>
      </c>
      <c r="E58" s="26">
        <f>IF(OR(A58="",B58=""),"",A58&amp;"|"&amp;B58)</f>
        <v/>
      </c>
      <c r="F58" s="26">
        <f>IF(OR(E58="",C58=""),"",E58&amp;"|"&amp;C58)</f>
        <v/>
      </c>
    </row>
    <row r="59">
      <c r="A59" s="23" t="inlineStr">
        <is>
          <t>Celular</t>
        </is>
      </c>
      <c r="B59" s="24" t="inlineStr">
        <is>
          <t>Contacto con líquido</t>
        </is>
      </c>
      <c r="C59" s="24" t="inlineStr">
        <is>
          <t>¿Usó arroz, secador u otro método casero?</t>
        </is>
      </c>
      <c r="D59" s="25" t="inlineStr">
        <is>
          <t>YNS</t>
        </is>
      </c>
      <c r="E59" s="26">
        <f>IF(OR(A59="",B59=""),"",A59&amp;"|"&amp;B59)</f>
        <v/>
      </c>
      <c r="F59" s="26">
        <f>IF(OR(E59="",C59=""),"",E59&amp;"|"&amp;C59)</f>
        <v/>
      </c>
    </row>
    <row r="60">
      <c r="A60" s="23" t="inlineStr">
        <is>
          <t>Celular</t>
        </is>
      </c>
      <c r="B60" s="24" t="inlineStr">
        <is>
          <t>Contacto con líquido</t>
        </is>
      </c>
      <c r="C60" s="24" t="inlineStr">
        <is>
          <t>¿Tiene certificación de resistencia al agua (IP67/IP68)?</t>
        </is>
      </c>
      <c r="D60" s="25" t="inlineStr">
        <is>
          <t>YNS</t>
        </is>
      </c>
      <c r="E60" s="26">
        <f>IF(OR(A60="",B60=""),"",A60&amp;"|"&amp;B60)</f>
        <v/>
      </c>
      <c r="F60" s="26">
        <f>IF(OR(E60="",C60=""),"",E60&amp;"|"&amp;C60)</f>
        <v/>
      </c>
    </row>
    <row r="61">
      <c r="A61" s="23" t="inlineStr">
        <is>
          <t>Celular</t>
        </is>
      </c>
      <c r="B61" s="24" t="inlineStr">
        <is>
          <t>Contacto con líquido</t>
        </is>
      </c>
      <c r="C61" s="24" t="inlineStr">
        <is>
          <t>¿Qué cantidad de líquido fue?</t>
        </is>
      </c>
      <c r="D61" s="25" t="inlineStr">
        <is>
          <t>CANT</t>
        </is>
      </c>
      <c r="E61" s="26">
        <f>IF(OR(A61="",B61=""),"",A61&amp;"|"&amp;B61)</f>
        <v/>
      </c>
      <c r="F61" s="26">
        <f>IF(OR(E61="",C61=""),"",E61&amp;"|"&amp;C61)</f>
        <v/>
      </c>
    </row>
    <row r="62">
      <c r="A62" s="23" t="inlineStr">
        <is>
          <t>Celular</t>
        </is>
      </c>
      <c r="B62" s="24" t="inlineStr">
        <is>
          <t>Contacto con líquido</t>
        </is>
      </c>
      <c r="C62" s="24" t="inlineStr">
        <is>
          <t>¿El líquido tenía azúcar (gaseosa, jugo, café con azúcar)?</t>
        </is>
      </c>
      <c r="D62" s="25" t="inlineStr">
        <is>
          <t>YNS</t>
        </is>
      </c>
      <c r="E62" s="26">
        <f>IF(OR(A62="",B62=""),"",A62&amp;"|"&amp;B62)</f>
        <v/>
      </c>
      <c r="F62" s="26">
        <f>IF(OR(E62="",C62=""),"",E62&amp;"|"&amp;C62)</f>
        <v/>
      </c>
    </row>
    <row r="63">
      <c r="A63" s="23" t="inlineStr">
        <is>
          <t>Celular</t>
        </is>
      </c>
      <c r="B63" s="24" t="inlineStr">
        <is>
          <t>Contacto con líquido</t>
        </is>
      </c>
      <c r="C63" s="24" t="inlineStr">
        <is>
          <t>¿Entró líquido por el puerto de carga?</t>
        </is>
      </c>
      <c r="D63" s="25" t="inlineStr">
        <is>
          <t>YNS</t>
        </is>
      </c>
      <c r="E63" s="26">
        <f>IF(OR(A63="",B63=""),"",A63&amp;"|"&amp;B63)</f>
        <v/>
      </c>
      <c r="F63" s="26">
        <f>IF(OR(E63="",C63=""),"",E63&amp;"|"&amp;C63)</f>
        <v/>
      </c>
    </row>
    <row r="64">
      <c r="A64" s="23" t="inlineStr">
        <is>
          <t>Celular</t>
        </is>
      </c>
      <c r="B64" s="24" t="inlineStr">
        <is>
          <t>Contacto con líquido</t>
        </is>
      </c>
      <c r="C64" s="24" t="inlineStr">
        <is>
          <t>¿Quedó sumergido completamente?</t>
        </is>
      </c>
      <c r="D64" s="25" t="inlineStr">
        <is>
          <t>YNS</t>
        </is>
      </c>
      <c r="E64" s="26">
        <f>IF(OR(A64="",B64=""),"",A64&amp;"|"&amp;B64)</f>
        <v/>
      </c>
      <c r="F64" s="26">
        <f>IF(OR(E64="",C64=""),"",E64&amp;"|"&amp;C64)</f>
        <v/>
      </c>
    </row>
    <row r="65">
      <c r="A65" s="23" t="inlineStr">
        <is>
          <t>Celular</t>
        </is>
      </c>
      <c r="B65" s="24" t="inlineStr">
        <is>
          <t>Golpe / Caída</t>
        </is>
      </c>
      <c r="C65" s="24" t="inlineStr">
        <is>
          <t>¿Cuándo ocurrió?</t>
        </is>
      </c>
      <c r="D65" s="25" t="inlineStr">
        <is>
          <t>CUANDO</t>
        </is>
      </c>
      <c r="E65" s="26">
        <f>IF(OR(A65="",B65=""),"",A65&amp;"|"&amp;B65)</f>
        <v/>
      </c>
      <c r="F65" s="26">
        <f>IF(OR(E65="",C65=""),"",E65&amp;"|"&amp;C65)</f>
        <v/>
      </c>
    </row>
    <row r="66">
      <c r="A66" s="23" t="inlineStr">
        <is>
          <t>Celular</t>
        </is>
      </c>
      <c r="B66" s="24" t="inlineStr">
        <is>
          <t>Golpe / Caída</t>
        </is>
      </c>
      <c r="C66" s="24" t="inlineStr">
        <is>
          <t>¿Continuó funcionando después del golpe?</t>
        </is>
      </c>
      <c r="D66" s="25" t="inlineStr">
        <is>
          <t>YNS</t>
        </is>
      </c>
      <c r="E66" s="26">
        <f>IF(OR(A66="",B66=""),"",A66&amp;"|"&amp;B66)</f>
        <v/>
      </c>
      <c r="F66" s="26">
        <f>IF(OR(E66="",C66=""),"",E66&amp;"|"&amp;C66)</f>
        <v/>
      </c>
    </row>
    <row r="67">
      <c r="A67" s="23" t="inlineStr">
        <is>
          <t>Celular</t>
        </is>
      </c>
      <c r="B67" s="24" t="inlineStr">
        <is>
          <t>Golpe / Caída</t>
        </is>
      </c>
      <c r="C67" s="24" t="inlineStr">
        <is>
          <t>¿La falla apareció inmediatamente?</t>
        </is>
      </c>
      <c r="D67" s="25" t="inlineStr">
        <is>
          <t>YNS</t>
        </is>
      </c>
      <c r="E67" s="26">
        <f>IF(OR(A67="",B67=""),"",A67&amp;"|"&amp;B67)</f>
        <v/>
      </c>
      <c r="F67" s="26">
        <f>IF(OR(E67="",C67=""),"",E67&amp;"|"&amp;C67)</f>
        <v/>
      </c>
    </row>
    <row r="68">
      <c r="A68" s="23" t="inlineStr">
        <is>
          <t>Celular</t>
        </is>
      </c>
      <c r="B68" s="24" t="inlineStr">
        <is>
          <t>Golpe / Caída</t>
        </is>
      </c>
      <c r="C68" s="24" t="inlineStr">
        <is>
          <t>¿Se dañó la pantalla o el táctil?</t>
        </is>
      </c>
      <c r="D68" s="25" t="inlineStr">
        <is>
          <t>YNS</t>
        </is>
      </c>
      <c r="E68" s="26">
        <f>IF(OR(A68="",B68=""),"",A68&amp;"|"&amp;B68)</f>
        <v/>
      </c>
      <c r="F68" s="26">
        <f>IF(OR(E68="",C68=""),"",E68&amp;"|"&amp;C68)</f>
        <v/>
      </c>
    </row>
    <row r="69">
      <c r="A69" s="23" t="inlineStr">
        <is>
          <t>Celular</t>
        </is>
      </c>
      <c r="B69" s="24" t="inlineStr">
        <is>
          <t>Golpe / Caída</t>
        </is>
      </c>
      <c r="C69" s="24" t="inlineStr">
        <is>
          <t>¿Presentó problemas de imagen?</t>
        </is>
      </c>
      <c r="D69" s="25" t="inlineStr">
        <is>
          <t>YNS</t>
        </is>
      </c>
      <c r="E69" s="26">
        <f>IF(OR(A69="",B69=""),"",A69&amp;"|"&amp;B69)</f>
        <v/>
      </c>
      <c r="F69" s="26">
        <f>IF(OR(E69="",C69=""),"",E69&amp;"|"&amp;C69)</f>
        <v/>
      </c>
    </row>
    <row r="70">
      <c r="A70" s="23" t="inlineStr">
        <is>
          <t>Celular</t>
        </is>
      </c>
      <c r="B70" s="24" t="inlineStr">
        <is>
          <t>Golpe / Caída</t>
        </is>
      </c>
      <c r="C70" s="24" t="inlineStr">
        <is>
          <t>¿Se deformó la carcasa o el chasis?</t>
        </is>
      </c>
      <c r="D70" s="25" t="inlineStr">
        <is>
          <t>YNS</t>
        </is>
      </c>
      <c r="E70" s="26">
        <f>IF(OR(A70="",B70=""),"",A70&amp;"|"&amp;B70)</f>
        <v/>
      </c>
      <c r="F70" s="26">
        <f>IF(OR(E70="",C70=""),"",E70&amp;"|"&amp;C70)</f>
        <v/>
      </c>
    </row>
    <row r="71">
      <c r="A71" s="23" t="inlineStr">
        <is>
          <t>Celular</t>
        </is>
      </c>
      <c r="B71" s="24" t="inlineStr">
        <is>
          <t>Golpe / Caída</t>
        </is>
      </c>
      <c r="C71" s="24" t="inlineStr">
        <is>
          <t>¿Dejó de encender?</t>
        </is>
      </c>
      <c r="D71" s="25" t="inlineStr">
        <is>
          <t>YNS</t>
        </is>
      </c>
      <c r="E71" s="26">
        <f>IF(OR(A71="",B71=""),"",A71&amp;"|"&amp;B71)</f>
        <v/>
      </c>
      <c r="F71" s="26">
        <f>IF(OR(E71="",C71=""),"",E71&amp;"|"&amp;C71)</f>
        <v/>
      </c>
    </row>
    <row r="72">
      <c r="A72" s="23" t="inlineStr">
        <is>
          <t>Celular</t>
        </is>
      </c>
      <c r="B72" s="24" t="inlineStr">
        <is>
          <t>Golpe / Caída</t>
        </is>
      </c>
      <c r="C72" s="24" t="inlineStr">
        <is>
          <t>¿En qué zona recibió el impacto?</t>
        </is>
      </c>
      <c r="D72" s="25" t="inlineStr">
        <is>
          <t>ZONAI</t>
        </is>
      </c>
      <c r="E72" s="26">
        <f>IF(OR(A72="",B72=""),"",A72&amp;"|"&amp;B72)</f>
        <v/>
      </c>
      <c r="F72" s="26">
        <f>IF(OR(E72="",C72=""),"",E72&amp;"|"&amp;C72)</f>
        <v/>
      </c>
    </row>
    <row r="73">
      <c r="A73" s="23" t="inlineStr">
        <is>
          <t>Celular</t>
        </is>
      </c>
      <c r="B73" s="24" t="inlineStr">
        <is>
          <t>Golpe / Caída</t>
        </is>
      </c>
      <c r="C73" s="24" t="inlineStr">
        <is>
          <t>¿Cuántas veces ha caído?</t>
        </is>
      </c>
      <c r="D73" s="25" t="inlineStr">
        <is>
          <t>CAID</t>
        </is>
      </c>
      <c r="E73" s="26">
        <f>IF(OR(A73="",B73=""),"",A73&amp;"|"&amp;B73)</f>
        <v/>
      </c>
      <c r="F73" s="26">
        <f>IF(OR(E73="",C73=""),"",E73&amp;"|"&amp;C73)</f>
        <v/>
      </c>
    </row>
    <row r="74">
      <c r="A74" s="23" t="inlineStr">
        <is>
          <t>Celular</t>
        </is>
      </c>
      <c r="B74" s="24" t="inlineStr">
        <is>
          <t>Golpe / Caída</t>
        </is>
      </c>
      <c r="C74" s="24" t="inlineStr">
        <is>
          <t>¿Cayó sobre una superficie dura (piso, cemento)?</t>
        </is>
      </c>
      <c r="D74" s="25" t="inlineStr">
        <is>
          <t>YNS</t>
        </is>
      </c>
      <c r="E74" s="26">
        <f>IF(OR(A74="",B74=""),"",A74&amp;"|"&amp;B74)</f>
        <v/>
      </c>
      <c r="F74" s="26">
        <f>IF(OR(E74="",C74=""),"",E74&amp;"|"&amp;C74)</f>
        <v/>
      </c>
    </row>
    <row r="75">
      <c r="A75" s="23" t="inlineStr">
        <is>
          <t>Celular</t>
        </is>
      </c>
      <c r="B75" s="24" t="inlineStr">
        <is>
          <t>Golpe / Caída</t>
        </is>
      </c>
      <c r="C75" s="24" t="inlineStr">
        <is>
          <t>¿Tenía funda o protector al caer?</t>
        </is>
      </c>
      <c r="D75" s="25" t="inlineStr">
        <is>
          <t>YNS</t>
        </is>
      </c>
      <c r="E75" s="26">
        <f>IF(OR(A75="",B75=""),"",A75&amp;"|"&amp;B75)</f>
        <v/>
      </c>
      <c r="F75" s="26">
        <f>IF(OR(E75="",C75=""),"",E75&amp;"|"&amp;C75)</f>
        <v/>
      </c>
    </row>
    <row r="76">
      <c r="A76" s="23" t="inlineStr">
        <is>
          <t>Celular</t>
        </is>
      </c>
      <c r="B76" s="24" t="inlineStr">
        <is>
          <t>Golpe / Caída</t>
        </is>
      </c>
      <c r="C76" s="24" t="inlineStr">
        <is>
          <t>¿Estaba en uso o encendido al caer?</t>
        </is>
      </c>
      <c r="D76" s="25" t="inlineStr">
        <is>
          <t>YNS</t>
        </is>
      </c>
      <c r="E76" s="26">
        <f>IF(OR(A76="",B76=""),"",A76&amp;"|"&amp;B76)</f>
        <v/>
      </c>
      <c r="F76" s="26">
        <f>IF(OR(E76="",C76=""),"",E76&amp;"|"&amp;C76)</f>
        <v/>
      </c>
    </row>
    <row r="77">
      <c r="A77" s="23" t="inlineStr">
        <is>
          <t>Celular</t>
        </is>
      </c>
      <c r="B77" s="24" t="inlineStr">
        <is>
          <t>Pantalla / Imagen</t>
        </is>
      </c>
      <c r="C77" s="24" t="inlineStr">
        <is>
          <t>¿Pantalla quebrada?</t>
        </is>
      </c>
      <c r="D77" s="25" t="inlineStr">
        <is>
          <t>YNS</t>
        </is>
      </c>
      <c r="E77" s="26">
        <f>IF(OR(A77="",B77=""),"",A77&amp;"|"&amp;B77)</f>
        <v/>
      </c>
      <c r="F77" s="26">
        <f>IF(OR(E77="",C77=""),"",E77&amp;"|"&amp;C77)</f>
        <v/>
      </c>
    </row>
    <row r="78">
      <c r="A78" s="23" t="inlineStr">
        <is>
          <t>Celular</t>
        </is>
      </c>
      <c r="B78" s="24" t="inlineStr">
        <is>
          <t>Pantalla / Imagen</t>
        </is>
      </c>
      <c r="C78" s="24" t="inlineStr">
        <is>
          <t>¿Sin imagen?</t>
        </is>
      </c>
      <c r="D78" s="25" t="inlineStr">
        <is>
          <t>YNS</t>
        </is>
      </c>
      <c r="E78" s="26">
        <f>IF(OR(A78="",B78=""),"",A78&amp;"|"&amp;B78)</f>
        <v/>
      </c>
      <c r="F78" s="26">
        <f>IF(OR(E78="",C78=""),"",E78&amp;"|"&amp;C78)</f>
        <v/>
      </c>
    </row>
    <row r="79">
      <c r="A79" s="23" t="inlineStr">
        <is>
          <t>Celular</t>
        </is>
      </c>
      <c r="B79" s="24" t="inlineStr">
        <is>
          <t>Pantalla / Imagen</t>
        </is>
      </c>
      <c r="C79" s="24" t="inlineStr">
        <is>
          <t>¿Imagen intermitente?</t>
        </is>
      </c>
      <c r="D79" s="25" t="inlineStr">
        <is>
          <t>YNS</t>
        </is>
      </c>
      <c r="E79" s="26">
        <f>IF(OR(A79="",B79=""),"",A79&amp;"|"&amp;B79)</f>
        <v/>
      </c>
      <c r="F79" s="26">
        <f>IF(OR(E79="",C79=""),"",E79&amp;"|"&amp;C79)</f>
        <v/>
      </c>
    </row>
    <row r="80">
      <c r="A80" s="23" t="inlineStr">
        <is>
          <t>Celular</t>
        </is>
      </c>
      <c r="B80" s="24" t="inlineStr">
        <is>
          <t>Pantalla / Imagen</t>
        </is>
      </c>
      <c r="C80" s="24" t="inlineStr">
        <is>
          <t>¿Líneas en la imagen?</t>
        </is>
      </c>
      <c r="D80" s="25" t="inlineStr">
        <is>
          <t>YNS</t>
        </is>
      </c>
      <c r="E80" s="26">
        <f>IF(OR(A80="",B80=""),"",A80&amp;"|"&amp;B80)</f>
        <v/>
      </c>
      <c r="F80" s="26">
        <f>IF(OR(E80="",C80=""),"",E80&amp;"|"&amp;C80)</f>
        <v/>
      </c>
    </row>
    <row r="81">
      <c r="A81" s="23" t="inlineStr">
        <is>
          <t>Celular</t>
        </is>
      </c>
      <c r="B81" s="24" t="inlineStr">
        <is>
          <t>Pantalla / Imagen</t>
        </is>
      </c>
      <c r="C81" s="24" t="inlineStr">
        <is>
          <t>¿Manchas?</t>
        </is>
      </c>
      <c r="D81" s="25" t="inlineStr">
        <is>
          <t>YNS</t>
        </is>
      </c>
      <c r="E81" s="26">
        <f>IF(OR(A81="",B81=""),"",A81&amp;"|"&amp;B81)</f>
        <v/>
      </c>
      <c r="F81" s="26">
        <f>IF(OR(E81="",C81=""),"",E81&amp;"|"&amp;C81)</f>
        <v/>
      </c>
    </row>
    <row r="82">
      <c r="A82" s="23" t="inlineStr">
        <is>
          <t>Celular</t>
        </is>
      </c>
      <c r="B82" s="24" t="inlineStr">
        <is>
          <t>Pantalla / Imagen</t>
        </is>
      </c>
      <c r="C82" s="24" t="inlineStr">
        <is>
          <t>¿Parpadeo?</t>
        </is>
      </c>
      <c r="D82" s="25" t="inlineStr">
        <is>
          <t>YNS</t>
        </is>
      </c>
      <c r="E82" s="26">
        <f>IF(OR(A82="",B82=""),"",A82&amp;"|"&amp;B82)</f>
        <v/>
      </c>
      <c r="F82" s="26">
        <f>IF(OR(E82="",C82=""),"",E82&amp;"|"&amp;C82)</f>
        <v/>
      </c>
    </row>
    <row r="83">
      <c r="A83" s="23" t="inlineStr">
        <is>
          <t>Celular</t>
        </is>
      </c>
      <c r="B83" s="24" t="inlineStr">
        <is>
          <t>Pantalla / Imagen</t>
        </is>
      </c>
      <c r="C83" s="24" t="inlineStr">
        <is>
          <t>¿Sombra?</t>
        </is>
      </c>
      <c r="D83" s="25" t="inlineStr">
        <is>
          <t>YNS</t>
        </is>
      </c>
      <c r="E83" s="26">
        <f>IF(OR(A83="",B83=""),"",A83&amp;"|"&amp;B83)</f>
        <v/>
      </c>
      <c r="F83" s="26">
        <f>IF(OR(E83="",C83=""),"",E83&amp;"|"&amp;C83)</f>
        <v/>
      </c>
    </row>
    <row r="84">
      <c r="A84" s="23" t="inlineStr">
        <is>
          <t>Celular</t>
        </is>
      </c>
      <c r="B84" s="24" t="inlineStr">
        <is>
          <t>Pantalla / Imagen</t>
        </is>
      </c>
      <c r="C84" s="24" t="inlineStr">
        <is>
          <t>¿Imagen distorsionada?</t>
        </is>
      </c>
      <c r="D84" s="25" t="inlineStr">
        <is>
          <t>YNS</t>
        </is>
      </c>
      <c r="E84" s="26">
        <f>IF(OR(A84="",B84=""),"",A84&amp;"|"&amp;B84)</f>
        <v/>
      </c>
      <c r="F84" s="26">
        <f>IF(OR(E84="",C84=""),"",E84&amp;"|"&amp;C84)</f>
        <v/>
      </c>
    </row>
    <row r="85">
      <c r="A85" s="23" t="inlineStr">
        <is>
          <t>Celular</t>
        </is>
      </c>
      <c r="B85" s="24" t="inlineStr">
        <is>
          <t>Pantalla / Imagen</t>
        </is>
      </c>
      <c r="C85" s="24" t="inlineStr">
        <is>
          <t>¿El touch no funciona?</t>
        </is>
      </c>
      <c r="D85" s="25" t="inlineStr">
        <is>
          <t>YNS</t>
        </is>
      </c>
      <c r="E85" s="26">
        <f>IF(OR(A85="",B85=""),"",A85&amp;"|"&amp;B85)</f>
        <v/>
      </c>
      <c r="F85" s="26">
        <f>IF(OR(E85="",C85=""),"",E85&amp;"|"&amp;C85)</f>
        <v/>
      </c>
    </row>
    <row r="86">
      <c r="A86" s="23" t="inlineStr">
        <is>
          <t>Celular</t>
        </is>
      </c>
      <c r="B86" s="24" t="inlineStr">
        <is>
          <t>Pantalla / Imagen</t>
        </is>
      </c>
      <c r="C86" s="24" t="inlineStr">
        <is>
          <t>¿Ocurrió después de un golpe o caída?</t>
        </is>
      </c>
      <c r="D86" s="25" t="inlineStr">
        <is>
          <t>YNS</t>
        </is>
      </c>
      <c r="E86" s="26">
        <f>IF(OR(A86="",B86=""),"",A86&amp;"|"&amp;B86)</f>
        <v/>
      </c>
      <c r="F86" s="26">
        <f>IF(OR(E86="",C86=""),"",E86&amp;"|"&amp;C86)</f>
        <v/>
      </c>
    </row>
    <row r="87">
      <c r="A87" s="23" t="inlineStr">
        <is>
          <t>Celular</t>
        </is>
      </c>
      <c r="B87" s="24" t="inlineStr">
        <is>
          <t>Pantalla / Imagen</t>
        </is>
      </c>
      <c r="C87" s="24" t="inlineStr">
        <is>
          <t>¿La pantalla se ve muy oscura o con poco brillo?</t>
        </is>
      </c>
      <c r="D87" s="25" t="inlineStr">
        <is>
          <t>YNS</t>
        </is>
      </c>
      <c r="E87" s="26">
        <f>IF(OR(A87="",B87=""),"",A87&amp;"|"&amp;B87)</f>
        <v/>
      </c>
      <c r="F87" s="26">
        <f>IF(OR(E87="",C87=""),"",E87&amp;"|"&amp;C87)</f>
        <v/>
      </c>
    </row>
    <row r="88">
      <c r="A88" s="23" t="inlineStr">
        <is>
          <t>Celular</t>
        </is>
      </c>
      <c r="B88" s="24" t="inlineStr">
        <is>
          <t>Pantalla / Imagen</t>
        </is>
      </c>
      <c r="C88" s="24" t="inlineStr">
        <is>
          <t>¿Hay una mancha negra o de tinta que crece?</t>
        </is>
      </c>
      <c r="D88" s="25" t="inlineStr">
        <is>
          <t>YNS</t>
        </is>
      </c>
      <c r="E88" s="26">
        <f>IF(OR(A88="",B88=""),"",A88&amp;"|"&amp;B88)</f>
        <v/>
      </c>
      <c r="F88" s="26">
        <f>IF(OR(E88="",C88=""),"",E88&amp;"|"&amp;C88)</f>
        <v/>
      </c>
    </row>
    <row r="89">
      <c r="A89" s="23" t="inlineStr">
        <is>
          <t>Celular</t>
        </is>
      </c>
      <c r="B89" s="24" t="inlineStr">
        <is>
          <t>Pantalla / Imagen</t>
        </is>
      </c>
      <c r="C89" s="24" t="inlineStr">
        <is>
          <t>¿El táctil responde solo o toca cosas sin que lo toquen?</t>
        </is>
      </c>
      <c r="D89" s="25" t="inlineStr">
        <is>
          <t>YNS</t>
        </is>
      </c>
      <c r="E89" s="26">
        <f>IF(OR(A89="",B89=""),"",A89&amp;"|"&amp;B89)</f>
        <v/>
      </c>
      <c r="F89" s="26">
        <f>IF(OR(E89="",C89=""),"",E89&amp;"|"&amp;C89)</f>
        <v/>
      </c>
    </row>
    <row r="90">
      <c r="A90" s="23" t="inlineStr">
        <is>
          <t>Celular</t>
        </is>
      </c>
      <c r="B90" s="24" t="inlineStr">
        <is>
          <t>Pantalla / Imagen</t>
        </is>
      </c>
      <c r="C90" s="24" t="inlineStr">
        <is>
          <t>¿Hay una zona de la pantalla donde el táctil no responde?</t>
        </is>
      </c>
      <c r="D90" s="25" t="inlineStr">
        <is>
          <t>YNS</t>
        </is>
      </c>
      <c r="E90" s="26">
        <f>IF(OR(A90="",B90=""),"",A90&amp;"|"&amp;B90)</f>
        <v/>
      </c>
      <c r="F90" s="26">
        <f>IF(OR(E90="",C90=""),"",E90&amp;"|"&amp;C90)</f>
        <v/>
      </c>
    </row>
    <row r="91">
      <c r="A91" s="23" t="inlineStr">
        <is>
          <t>Celular</t>
        </is>
      </c>
      <c r="B91" s="24" t="inlineStr">
        <is>
          <t>Lentitud / Sistema</t>
        </is>
      </c>
      <c r="C91" s="24" t="inlineStr">
        <is>
          <t>¿Desde cuándo comenzó la lentitud o el problema?</t>
        </is>
      </c>
      <c r="D91" s="25" t="inlineStr">
        <is>
          <t>DESDE</t>
        </is>
      </c>
      <c r="E91" s="26">
        <f>IF(OR(A91="",B91=""),"",A91&amp;"|"&amp;B91)</f>
        <v/>
      </c>
      <c r="F91" s="26">
        <f>IF(OR(E91="",C91=""),"",E91&amp;"|"&amp;C91)</f>
        <v/>
      </c>
    </row>
    <row r="92">
      <c r="A92" s="23" t="inlineStr">
        <is>
          <t>Celular</t>
        </is>
      </c>
      <c r="B92" s="24" t="inlineStr">
        <is>
          <t>Lentitud / Sistema</t>
        </is>
      </c>
      <c r="C92" s="24" t="inlineStr">
        <is>
          <t>¿Tarda demasiado en encender?</t>
        </is>
      </c>
      <c r="D92" s="25" t="inlineStr">
        <is>
          <t>YNS</t>
        </is>
      </c>
      <c r="E92" s="26">
        <f>IF(OR(A92="",B92=""),"",A92&amp;"|"&amp;B92)</f>
        <v/>
      </c>
      <c r="F92" s="26">
        <f>IF(OR(E92="",C92=""),"",E92&amp;"|"&amp;C92)</f>
        <v/>
      </c>
    </row>
    <row r="93">
      <c r="A93" s="23" t="inlineStr">
        <is>
          <t>Celular</t>
        </is>
      </c>
      <c r="B93" s="24" t="inlineStr">
        <is>
          <t>Lentitud / Sistema</t>
        </is>
      </c>
      <c r="C93" s="24" t="inlineStr">
        <is>
          <t>¿Se congela?</t>
        </is>
      </c>
      <c r="D93" s="25" t="inlineStr">
        <is>
          <t>YNS</t>
        </is>
      </c>
      <c r="E93" s="26">
        <f>IF(OR(A93="",B93=""),"",A93&amp;"|"&amp;B93)</f>
        <v/>
      </c>
      <c r="F93" s="26">
        <f>IF(OR(E93="",C93=""),"",E93&amp;"|"&amp;C93)</f>
        <v/>
      </c>
    </row>
    <row r="94">
      <c r="A94" s="23" t="inlineStr">
        <is>
          <t>Celular</t>
        </is>
      </c>
      <c r="B94" s="24" t="inlineStr">
        <is>
          <t>Lentitud / Sistema</t>
        </is>
      </c>
      <c r="C94" s="24" t="inlineStr">
        <is>
          <t>¿Se reinicia solo?</t>
        </is>
      </c>
      <c r="D94" s="25" t="inlineStr">
        <is>
          <t>YNS</t>
        </is>
      </c>
      <c r="E94" s="26">
        <f>IF(OR(A94="",B94=""),"",A94&amp;"|"&amp;B94)</f>
        <v/>
      </c>
      <c r="F94" s="26">
        <f>IF(OR(E94="",C94=""),"",E94&amp;"|"&amp;C94)</f>
        <v/>
      </c>
    </row>
    <row r="95">
      <c r="A95" s="23" t="inlineStr">
        <is>
          <t>Celular</t>
        </is>
      </c>
      <c r="B95" s="24" t="inlineStr">
        <is>
          <t>Lentitud / Sistema</t>
        </is>
      </c>
      <c r="C95" s="24" t="inlineStr">
        <is>
          <t>¿Qué programa, app o juego falla?</t>
        </is>
      </c>
      <c r="D95" s="25" t="inlineStr">
        <is>
          <t>PROG</t>
        </is>
      </c>
      <c r="E95" s="26">
        <f>IF(OR(A95="",B95=""),"",A95&amp;"|"&amp;B95)</f>
        <v/>
      </c>
      <c r="F95" s="26">
        <f>IF(OR(E95="",C95=""),"",E95&amp;"|"&amp;C95)</f>
        <v/>
      </c>
    </row>
    <row r="96">
      <c r="A96" s="23" t="inlineStr">
        <is>
          <t>Celular</t>
        </is>
      </c>
      <c r="B96" s="24" t="inlineStr">
        <is>
          <t>Lentitud / Sistema</t>
        </is>
      </c>
      <c r="C96" s="24" t="inlineStr">
        <is>
          <t>¿Se realizó recientemente alguna actualización?</t>
        </is>
      </c>
      <c r="D96" s="25" t="inlineStr">
        <is>
          <t>YNS</t>
        </is>
      </c>
      <c r="E96" s="26">
        <f>IF(OR(A96="",B96=""),"",A96&amp;"|"&amp;B96)</f>
        <v/>
      </c>
      <c r="F96" s="26">
        <f>IF(OR(E96="",C96=""),"",E96&amp;"|"&amp;C96)</f>
        <v/>
      </c>
    </row>
    <row r="97">
      <c r="A97" s="23" t="inlineStr">
        <is>
          <t>Celular</t>
        </is>
      </c>
      <c r="B97" s="24" t="inlineStr">
        <is>
          <t>Lentitud / Sistema</t>
        </is>
      </c>
      <c r="C97" s="24" t="inlineStr">
        <is>
          <t>¿Aparece «memoria llena» o tiene poco almacenamiento?</t>
        </is>
      </c>
      <c r="D97" s="25" t="inlineStr">
        <is>
          <t>YNS</t>
        </is>
      </c>
      <c r="E97" s="26">
        <f>IF(OR(A97="",B97=""),"",A97&amp;"|"&amp;B97)</f>
        <v/>
      </c>
      <c r="F97" s="26">
        <f>IF(OR(E97="",C97=""),"",E97&amp;"|"&amp;C97)</f>
        <v/>
      </c>
    </row>
    <row r="98">
      <c r="A98" s="23" t="inlineStr">
        <is>
          <t>Celular</t>
        </is>
      </c>
      <c r="B98" s="24" t="inlineStr">
        <is>
          <t>Lentitud / Sistema</t>
        </is>
      </c>
      <c r="C98" s="24" t="inlineStr">
        <is>
          <t>¿Las aplicaciones se cierran solas?</t>
        </is>
      </c>
      <c r="D98" s="25" t="inlineStr">
        <is>
          <t>YNS</t>
        </is>
      </c>
      <c r="E98" s="26">
        <f>IF(OR(A98="",B98=""),"",A98&amp;"|"&amp;B98)</f>
        <v/>
      </c>
      <c r="F98" s="26">
        <f>IF(OR(E98="",C98=""),"",E98&amp;"|"&amp;C98)</f>
        <v/>
      </c>
    </row>
    <row r="99">
      <c r="A99" s="23" t="inlineStr">
        <is>
          <t>Celular</t>
        </is>
      </c>
      <c r="B99" s="24" t="inlineStr">
        <is>
          <t>Lentitud / Sistema</t>
        </is>
      </c>
      <c r="C99" s="24" t="inlineStr">
        <is>
          <t>¿Se vuelve lento después de un tiempo de uso?</t>
        </is>
      </c>
      <c r="D99" s="25" t="inlineStr">
        <is>
          <t>YNS</t>
        </is>
      </c>
      <c r="E99" s="26">
        <f>IF(OR(A99="",B99=""),"",A99&amp;"|"&amp;B99)</f>
        <v/>
      </c>
      <c r="F99" s="26">
        <f>IF(OR(E99="",C99=""),"",E99&amp;"|"&amp;C99)</f>
        <v/>
      </c>
    </row>
    <row r="100">
      <c r="A100" s="23" t="inlineStr">
        <is>
          <t>Celular</t>
        </is>
      </c>
      <c r="B100" s="24" t="inlineStr">
        <is>
          <t>Lentitud / Sistema</t>
        </is>
      </c>
      <c r="C100" s="24" t="inlineStr">
        <is>
          <t>¿Tiene muchas fotos, videos o archivos guardados?</t>
        </is>
      </c>
      <c r="D100" s="25" t="inlineStr">
        <is>
          <t>YNS</t>
        </is>
      </c>
      <c r="E100" s="26">
        <f>IF(OR(A100="",B100=""),"",A100&amp;"|"&amp;B100)</f>
        <v/>
      </c>
      <c r="F100" s="26">
        <f>IF(OR(E100="",C100=""),"",E100&amp;"|"&amp;C100)</f>
        <v/>
      </c>
    </row>
    <row r="101">
      <c r="A101" s="23" t="inlineStr">
        <is>
          <t>Celular</t>
        </is>
      </c>
      <c r="B101" s="24" t="inlineStr">
        <is>
          <t>Lentitud / Sistema</t>
        </is>
      </c>
      <c r="C101" s="24" t="inlineStr">
        <is>
          <t>¿Se traba al abrir la cámara o WhatsApp?</t>
        </is>
      </c>
      <c r="D101" s="25" t="inlineStr">
        <is>
          <t>YNS</t>
        </is>
      </c>
      <c r="E101" s="26">
        <f>IF(OR(A101="",B101=""),"",A101&amp;"|"&amp;B101)</f>
        <v/>
      </c>
      <c r="F101" s="26">
        <f>IF(OR(E101="",C101=""),"",E101&amp;"|"&amp;C101)</f>
        <v/>
      </c>
    </row>
    <row r="102">
      <c r="A102" s="23" t="inlineStr">
        <is>
          <t>Celular</t>
        </is>
      </c>
      <c r="B102" s="24" t="inlineStr">
        <is>
          <t>Cuenta / Bloqueo</t>
        </is>
      </c>
      <c r="C102" s="24" t="inlineStr">
        <is>
          <t>¿Recuerda usuario y contraseña de su cuenta (Apple ID, Google, PSN, Xbox, Nintendo, Microsoft)?</t>
        </is>
      </c>
      <c r="D102" s="25" t="inlineStr">
        <is>
          <t>YNS</t>
        </is>
      </c>
      <c r="E102" s="26">
        <f>IF(OR(A102="",B102=""),"",A102&amp;"|"&amp;B102)</f>
        <v/>
      </c>
      <c r="F102" s="26">
        <f>IF(OR(E102="",C102=""),"",E102&amp;"|"&amp;C102)</f>
        <v/>
      </c>
    </row>
    <row r="103">
      <c r="A103" s="23" t="inlineStr">
        <is>
          <t>Celular</t>
        </is>
      </c>
      <c r="B103" s="24" t="inlineStr">
        <is>
          <t>Cuenta / Bloqueo</t>
        </is>
      </c>
      <c r="C103" s="24" t="inlineStr">
        <is>
          <t>¿El equipo tiene bloqueo por contraseña, PIN o patrón?</t>
        </is>
      </c>
      <c r="D103" s="25" t="inlineStr">
        <is>
          <t>YNS</t>
        </is>
      </c>
      <c r="E103" s="26">
        <f>IF(OR(A103="",B103=""),"",A103&amp;"|"&amp;B103)</f>
        <v/>
      </c>
      <c r="F103" s="26">
        <f>IF(OR(E103="",C103=""),"",E103&amp;"|"&amp;C103)</f>
        <v/>
      </c>
    </row>
    <row r="104">
      <c r="A104" s="23" t="inlineStr">
        <is>
          <t>Celular</t>
        </is>
      </c>
      <c r="B104" s="24" t="inlineStr">
        <is>
          <t>Cuenta / Bloqueo</t>
        </is>
      </c>
      <c r="C104" s="24" t="inlineStr">
        <is>
          <t>¿Tiene activado «Buscar mi dispositivo» o bloqueo de activación?</t>
        </is>
      </c>
      <c r="D104" s="25" t="inlineStr">
        <is>
          <t>YNS</t>
        </is>
      </c>
      <c r="E104" s="26">
        <f>IF(OR(A104="",B104=""),"",A104&amp;"|"&amp;B104)</f>
        <v/>
      </c>
      <c r="F104" s="26">
        <f>IF(OR(E104="",C104=""),"",E104&amp;"|"&amp;C104)</f>
        <v/>
      </c>
    </row>
    <row r="105">
      <c r="A105" s="23" t="inlineStr">
        <is>
          <t>Celular</t>
        </is>
      </c>
      <c r="B105" s="24" t="inlineStr">
        <is>
          <t>Cuenta / Bloqueo</t>
        </is>
      </c>
      <c r="C105" s="24" t="inlineStr">
        <is>
          <t>¿El equipo es de operadora o está bloqueado a una compañía?</t>
        </is>
      </c>
      <c r="D105" s="25" t="inlineStr">
        <is>
          <t>YNS</t>
        </is>
      </c>
      <c r="E105" s="26">
        <f>IF(OR(A105="",B105=""),"",A105&amp;"|"&amp;B105)</f>
        <v/>
      </c>
      <c r="F105" s="26">
        <f>IF(OR(E105="",C105=""),"",E105&amp;"|"&amp;C105)</f>
        <v/>
      </c>
    </row>
    <row r="106">
      <c r="A106" s="23" t="inlineStr">
        <is>
          <t>Celular</t>
        </is>
      </c>
      <c r="B106" s="24" t="inlineStr">
        <is>
          <t>Cuenta / Bloqueo</t>
        </is>
      </c>
      <c r="C106" s="24" t="inlineStr">
        <is>
          <t>¿Olvidó la contraseña o el PIN de desbloqueo?</t>
        </is>
      </c>
      <c r="D106" s="25" t="inlineStr">
        <is>
          <t>YNS</t>
        </is>
      </c>
      <c r="E106" s="26">
        <f>IF(OR(A106="",B106=""),"",A106&amp;"|"&amp;B106)</f>
        <v/>
      </c>
      <c r="F106" s="26">
        <f>IF(OR(E106="",C106=""),"",E106&amp;"|"&amp;C106)</f>
        <v/>
      </c>
    </row>
    <row r="107">
      <c r="A107" s="23" t="inlineStr">
        <is>
          <t>Celular</t>
        </is>
      </c>
      <c r="B107" s="24" t="inlineStr">
        <is>
          <t>Cuenta / Bloqueo</t>
        </is>
      </c>
      <c r="C107" s="24" t="inlineStr">
        <is>
          <t>¿Recuerda el correo asociado a la cuenta del equipo?</t>
        </is>
      </c>
      <c r="D107" s="25" t="inlineStr">
        <is>
          <t>YNS</t>
        </is>
      </c>
      <c r="E107" s="26">
        <f>IF(OR(A107="",B107=""),"",A107&amp;"|"&amp;B107)</f>
        <v/>
      </c>
      <c r="F107" s="26">
        <f>IF(OR(E107="",C107=""),"",E107&amp;"|"&amp;C107)</f>
        <v/>
      </c>
    </row>
    <row r="108">
      <c r="A108" s="23" t="inlineStr">
        <is>
          <t>Celular</t>
        </is>
      </c>
      <c r="B108" s="24" t="inlineStr">
        <is>
          <t>Cuenta / Bloqueo</t>
        </is>
      </c>
      <c r="C108" s="24" t="inlineStr">
        <is>
          <t>¿El equipo pide verificar la cuenta al encender?</t>
        </is>
      </c>
      <c r="D108" s="25" t="inlineStr">
        <is>
          <t>YNS</t>
        </is>
      </c>
      <c r="E108" s="26">
        <f>IF(OR(A108="",B108=""),"",A108&amp;"|"&amp;B108)</f>
        <v/>
      </c>
      <c r="F108" s="26">
        <f>IF(OR(E108="",C108=""),"",E108&amp;"|"&amp;C108)</f>
        <v/>
      </c>
    </row>
    <row r="109">
      <c r="A109" s="23" t="inlineStr">
        <is>
          <t>Celular</t>
        </is>
      </c>
      <c r="B109" s="24" t="inlineStr">
        <is>
          <t>Audio / Cámara / Micrófono</t>
        </is>
      </c>
      <c r="C109" s="24" t="inlineStr">
        <is>
          <t>¿La bocina no suena o suena distorsionada?</t>
        </is>
      </c>
      <c r="D109" s="25" t="inlineStr">
        <is>
          <t>YNS</t>
        </is>
      </c>
      <c r="E109" s="26">
        <f>IF(OR(A109="",B109=""),"",A109&amp;"|"&amp;B109)</f>
        <v/>
      </c>
      <c r="F109" s="26">
        <f>IF(OR(E109="",C109=""),"",E109&amp;"|"&amp;C109)</f>
        <v/>
      </c>
    </row>
    <row r="110">
      <c r="A110" s="23" t="inlineStr">
        <is>
          <t>Celular</t>
        </is>
      </c>
      <c r="B110" s="24" t="inlineStr">
        <is>
          <t>Audio / Cámara / Micrófono</t>
        </is>
      </c>
      <c r="C110" s="24" t="inlineStr">
        <is>
          <t>¿Se escucha solo de un lado?</t>
        </is>
      </c>
      <c r="D110" s="25" t="inlineStr">
        <is>
          <t>YNS</t>
        </is>
      </c>
      <c r="E110" s="26">
        <f>IF(OR(A110="",B110=""),"",A110&amp;"|"&amp;B110)</f>
        <v/>
      </c>
      <c r="F110" s="26">
        <f>IF(OR(E110="",C110=""),"",E110&amp;"|"&amp;C110)</f>
        <v/>
      </c>
    </row>
    <row r="111">
      <c r="A111" s="23" t="inlineStr">
        <is>
          <t>Celular</t>
        </is>
      </c>
      <c r="B111" s="24" t="inlineStr">
        <is>
          <t>Audio / Cámara / Micrófono</t>
        </is>
      </c>
      <c r="C111" s="24" t="inlineStr">
        <is>
          <t>¿El micrófono no se escucha?</t>
        </is>
      </c>
      <c r="D111" s="25" t="inlineStr">
        <is>
          <t>YNS</t>
        </is>
      </c>
      <c r="E111" s="26">
        <f>IF(OR(A111="",B111=""),"",A111&amp;"|"&amp;B111)</f>
        <v/>
      </c>
      <c r="F111" s="26">
        <f>IF(OR(E111="",C111=""),"",E111&amp;"|"&amp;C111)</f>
        <v/>
      </c>
    </row>
    <row r="112">
      <c r="A112" s="23" t="inlineStr">
        <is>
          <t>Celular</t>
        </is>
      </c>
      <c r="B112" s="24" t="inlineStr">
        <is>
          <t>Audio / Cámara / Micrófono</t>
        </is>
      </c>
      <c r="C112" s="24" t="inlineStr">
        <is>
          <t>¿La cámara frontal o webcam falla?</t>
        </is>
      </c>
      <c r="D112" s="25" t="inlineStr">
        <is>
          <t>YNS</t>
        </is>
      </c>
      <c r="E112" s="26">
        <f>IF(OR(A112="",B112=""),"",A112&amp;"|"&amp;B112)</f>
        <v/>
      </c>
      <c r="F112" s="26">
        <f>IF(OR(E112="",C112=""),"",E112&amp;"|"&amp;C112)</f>
        <v/>
      </c>
    </row>
    <row r="113">
      <c r="A113" s="23" t="inlineStr">
        <is>
          <t>Celular</t>
        </is>
      </c>
      <c r="B113" s="24" t="inlineStr">
        <is>
          <t>Audio / Cámara / Micrófono</t>
        </is>
      </c>
      <c r="C113" s="24" t="inlineStr">
        <is>
          <t>¿La cámara trasera falla o sale borrosa?</t>
        </is>
      </c>
      <c r="D113" s="25" t="inlineStr">
        <is>
          <t>YNS</t>
        </is>
      </c>
      <c r="E113" s="26">
        <f>IF(OR(A113="",B113=""),"",A113&amp;"|"&amp;B113)</f>
        <v/>
      </c>
      <c r="F113" s="26">
        <f>IF(OR(E113="",C113=""),"",E113&amp;"|"&amp;C113)</f>
        <v/>
      </c>
    </row>
    <row r="114">
      <c r="A114" s="23" t="inlineStr">
        <is>
          <t>Celular</t>
        </is>
      </c>
      <c r="B114" s="24" t="inlineStr">
        <is>
          <t>Audio / Cámara / Micrófono</t>
        </is>
      </c>
      <c r="C114" s="24" t="inlineStr">
        <is>
          <t>¿El puerto de audífonos no funciona?</t>
        </is>
      </c>
      <c r="D114" s="25" t="inlineStr">
        <is>
          <t>YNS</t>
        </is>
      </c>
      <c r="E114" s="26">
        <f>IF(OR(A114="",B114=""),"",A114&amp;"|"&amp;B114)</f>
        <v/>
      </c>
      <c r="F114" s="26">
        <f>IF(OR(E114="",C114=""),"",E114&amp;"|"&amp;C114)</f>
        <v/>
      </c>
    </row>
    <row r="115">
      <c r="A115" s="23" t="inlineStr">
        <is>
          <t>Celular</t>
        </is>
      </c>
      <c r="B115" s="24" t="inlineStr">
        <is>
          <t>Audio / Cámara / Micrófono</t>
        </is>
      </c>
      <c r="C115" s="24" t="inlineStr">
        <is>
          <t>¿La vibración no funciona?</t>
        </is>
      </c>
      <c r="D115" s="25" t="inlineStr">
        <is>
          <t>YNS</t>
        </is>
      </c>
      <c r="E115" s="26">
        <f>IF(OR(A115="",B115=""),"",A115&amp;"|"&amp;B115)</f>
        <v/>
      </c>
      <c r="F115" s="26">
        <f>IF(OR(E115="",C115=""),"",E115&amp;"|"&amp;C115)</f>
        <v/>
      </c>
    </row>
    <row r="116">
      <c r="A116" s="23" t="inlineStr">
        <is>
          <t>Celular</t>
        </is>
      </c>
      <c r="B116" s="24" t="inlineStr">
        <is>
          <t>Audio / Cámara / Micrófono</t>
        </is>
      </c>
      <c r="C116" s="24" t="inlineStr">
        <is>
          <t>¿El audio se corta o suena con ruido estático?</t>
        </is>
      </c>
      <c r="D116" s="25" t="inlineStr">
        <is>
          <t>YNS</t>
        </is>
      </c>
      <c r="E116" s="26">
        <f>IF(OR(A116="",B116=""),"",A116&amp;"|"&amp;B116)</f>
        <v/>
      </c>
      <c r="F116" s="26">
        <f>IF(OR(E116="",C116=""),"",E116&amp;"|"&amp;C116)</f>
        <v/>
      </c>
    </row>
    <row r="117">
      <c r="A117" s="23" t="inlineStr">
        <is>
          <t>Celular</t>
        </is>
      </c>
      <c r="B117" s="24" t="inlineStr">
        <is>
          <t>Audio / Cámara / Micrófono</t>
        </is>
      </c>
      <c r="C117" s="24" t="inlineStr">
        <is>
          <t>¿Los audífonos Bluetooth se conectan bien?</t>
        </is>
      </c>
      <c r="D117" s="25" t="inlineStr">
        <is>
          <t>YNS</t>
        </is>
      </c>
      <c r="E117" s="26">
        <f>IF(OR(A117="",B117=""),"",A117&amp;"|"&amp;B117)</f>
        <v/>
      </c>
      <c r="F117" s="26">
        <f>IF(OR(E117="",C117=""),"",E117&amp;"|"&amp;C117)</f>
        <v/>
      </c>
    </row>
    <row r="118">
      <c r="A118" s="23" t="inlineStr">
        <is>
          <t>Celular</t>
        </is>
      </c>
      <c r="B118" s="24" t="inlineStr">
        <is>
          <t>Audio / Cámara / Micrófono</t>
        </is>
      </c>
      <c r="C118" s="24" t="inlineStr">
        <is>
          <t>¿La cámara no abre o muestra pantalla negra?</t>
        </is>
      </c>
      <c r="D118" s="25" t="inlineStr">
        <is>
          <t>YNS</t>
        </is>
      </c>
      <c r="E118" s="26">
        <f>IF(OR(A118="",B118=""),"",A118&amp;"|"&amp;B118)</f>
        <v/>
      </c>
      <c r="F118" s="26">
        <f>IF(OR(E118="",C118=""),"",E118&amp;"|"&amp;C118)</f>
        <v/>
      </c>
    </row>
    <row r="119">
      <c r="A119" s="23" t="inlineStr">
        <is>
          <t>Celular</t>
        </is>
      </c>
      <c r="B119" s="24" t="inlineStr">
        <is>
          <t>Audio / Cámara / Micrófono</t>
        </is>
      </c>
      <c r="C119" s="24" t="inlineStr">
        <is>
          <t>¿El flash o la linterna funciona?</t>
        </is>
      </c>
      <c r="D119" s="25" t="inlineStr">
        <is>
          <t>YNS</t>
        </is>
      </c>
      <c r="E119" s="26">
        <f>IF(OR(A119="",B119=""),"",A119&amp;"|"&amp;B119)</f>
        <v/>
      </c>
      <c r="F119" s="26">
        <f>IF(OR(E119="",C119=""),"",E119&amp;"|"&amp;C119)</f>
        <v/>
      </c>
    </row>
    <row r="120">
      <c r="A120" s="23" t="inlineStr">
        <is>
          <t>Celular</t>
        </is>
      </c>
      <c r="B120" s="24" t="inlineStr">
        <is>
          <t>Audio / Cámara / Micrófono</t>
        </is>
      </c>
      <c r="C120" s="24" t="inlineStr">
        <is>
          <t>¿El altavoz suena muy bajo?</t>
        </is>
      </c>
      <c r="D120" s="25" t="inlineStr">
        <is>
          <t>YNS</t>
        </is>
      </c>
      <c r="E120" s="26">
        <f>IF(OR(A120="",B120=""),"",A120&amp;"|"&amp;B120)</f>
        <v/>
      </c>
      <c r="F120" s="26">
        <f>IF(OR(E120="",C120=""),"",E120&amp;"|"&amp;C120)</f>
        <v/>
      </c>
    </row>
    <row r="121">
      <c r="A121" s="23" t="inlineStr">
        <is>
          <t>Celular</t>
        </is>
      </c>
      <c r="B121" s="24" t="inlineStr">
        <is>
          <t>Red / Señal / Conectividad</t>
        </is>
      </c>
      <c r="C121" s="24" t="inlineStr">
        <is>
          <t>¿Aparece «sin servicio» o no detecta la SIM?</t>
        </is>
      </c>
      <c r="D121" s="25" t="inlineStr">
        <is>
          <t>YNS</t>
        </is>
      </c>
      <c r="E121" s="26">
        <f>IF(OR(A121="",B121=""),"",A121&amp;"|"&amp;B121)</f>
        <v/>
      </c>
      <c r="F121" s="26">
        <f>IF(OR(E121="",C121=""),"",E121&amp;"|"&amp;C121)</f>
        <v/>
      </c>
    </row>
    <row r="122">
      <c r="A122" s="23" t="inlineStr">
        <is>
          <t>Celular</t>
        </is>
      </c>
      <c r="B122" s="24" t="inlineStr">
        <is>
          <t>Red / Señal / Conectividad</t>
        </is>
      </c>
      <c r="C122" s="24" t="inlineStr">
        <is>
          <t>¿Las llamadas se cortan o no entran?</t>
        </is>
      </c>
      <c r="D122" s="25" t="inlineStr">
        <is>
          <t>YNS</t>
        </is>
      </c>
      <c r="E122" s="26">
        <f>IF(OR(A122="",B122=""),"",A122&amp;"|"&amp;B122)</f>
        <v/>
      </c>
      <c r="F122" s="26">
        <f>IF(OR(E122="",C122=""),"",E122&amp;"|"&amp;C122)</f>
        <v/>
      </c>
    </row>
    <row r="123">
      <c r="A123" s="23" t="inlineStr">
        <is>
          <t>Celular</t>
        </is>
      </c>
      <c r="B123" s="24" t="inlineStr">
        <is>
          <t>Red / Señal / Conectividad</t>
        </is>
      </c>
      <c r="C123" s="24" t="inlineStr">
        <is>
          <t>¿Los datos móviles no funcionan?</t>
        </is>
      </c>
      <c r="D123" s="25" t="inlineStr">
        <is>
          <t>YNS</t>
        </is>
      </c>
      <c r="E123" s="26">
        <f>IF(OR(A123="",B123=""),"",A123&amp;"|"&amp;B123)</f>
        <v/>
      </c>
      <c r="F123" s="26">
        <f>IF(OR(E123="",C123=""),"",E123&amp;"|"&amp;C123)</f>
        <v/>
      </c>
    </row>
    <row r="124">
      <c r="A124" s="23" t="inlineStr">
        <is>
          <t>Celular</t>
        </is>
      </c>
      <c r="B124" s="24" t="inlineStr">
        <is>
          <t>Red / Señal / Conectividad</t>
        </is>
      </c>
      <c r="C124" s="24" t="inlineStr">
        <is>
          <t>¿Ha probado la SIM en otro equipo?</t>
        </is>
      </c>
      <c r="D124" s="25" t="inlineStr">
        <is>
          <t>YNS</t>
        </is>
      </c>
      <c r="E124" s="26">
        <f>IF(OR(A124="",B124=""),"",A124&amp;"|"&amp;B124)</f>
        <v/>
      </c>
      <c r="F124" s="26">
        <f>IF(OR(E124="",C124=""),"",E124&amp;"|"&amp;C124)</f>
        <v/>
      </c>
    </row>
    <row r="125">
      <c r="A125" s="23" t="inlineStr">
        <is>
          <t>Celular</t>
        </is>
      </c>
      <c r="B125" s="24" t="inlineStr">
        <is>
          <t>Red / Señal / Conectividad</t>
        </is>
      </c>
      <c r="C125" s="24" t="inlineStr">
        <is>
          <t>¿El Wi-Fi no conecta o se desconecta?</t>
        </is>
      </c>
      <c r="D125" s="25" t="inlineStr">
        <is>
          <t>YNS</t>
        </is>
      </c>
      <c r="E125" s="26">
        <f>IF(OR(A125="",B125=""),"",A125&amp;"|"&amp;B125)</f>
        <v/>
      </c>
      <c r="F125" s="26">
        <f>IF(OR(E125="",C125=""),"",E125&amp;"|"&amp;C125)</f>
        <v/>
      </c>
    </row>
    <row r="126">
      <c r="A126" s="23" t="inlineStr">
        <is>
          <t>Celular</t>
        </is>
      </c>
      <c r="B126" s="24" t="inlineStr">
        <is>
          <t>Red / Señal / Conectividad</t>
        </is>
      </c>
      <c r="C126" s="24" t="inlineStr">
        <is>
          <t>¿El Bluetooth no funciona?</t>
        </is>
      </c>
      <c r="D126" s="25" t="inlineStr">
        <is>
          <t>YNS</t>
        </is>
      </c>
      <c r="E126" s="26">
        <f>IF(OR(A126="",B126=""),"",A126&amp;"|"&amp;B126)</f>
        <v/>
      </c>
      <c r="F126" s="26">
        <f>IF(OR(E126="",C126=""),"",E126&amp;"|"&amp;C126)</f>
        <v/>
      </c>
    </row>
    <row r="127">
      <c r="A127" s="23" t="inlineStr">
        <is>
          <t>Celular</t>
        </is>
      </c>
      <c r="B127" s="24" t="inlineStr">
        <is>
          <t>Red / Señal / Conectividad</t>
        </is>
      </c>
      <c r="C127" s="24" t="inlineStr">
        <is>
          <t>¿El GPS falla?</t>
        </is>
      </c>
      <c r="D127" s="25" t="inlineStr">
        <is>
          <t>YNS</t>
        </is>
      </c>
      <c r="E127" s="26">
        <f>IF(OR(A127="",B127=""),"",A127&amp;"|"&amp;B127)</f>
        <v/>
      </c>
      <c r="F127" s="26">
        <f>IF(OR(E127="",C127=""),"",E127&amp;"|"&amp;C127)</f>
        <v/>
      </c>
    </row>
    <row r="128">
      <c r="A128" s="23" t="inlineStr">
        <is>
          <t>Celular</t>
        </is>
      </c>
      <c r="B128" s="24" t="inlineStr">
        <is>
          <t>Red / Señal / Conectividad</t>
        </is>
      </c>
      <c r="C128" s="24" t="inlineStr">
        <is>
          <t>¿Se conecta al Wi-Fi pero no tiene internet?</t>
        </is>
      </c>
      <c r="D128" s="25" t="inlineStr">
        <is>
          <t>YNS</t>
        </is>
      </c>
      <c r="E128" s="26">
        <f>IF(OR(A128="",B128=""),"",A128&amp;"|"&amp;B128)</f>
        <v/>
      </c>
      <c r="F128" s="26">
        <f>IF(OR(E128="",C128=""),"",E128&amp;"|"&amp;C128)</f>
        <v/>
      </c>
    </row>
    <row r="129">
      <c r="A129" s="23" t="inlineStr">
        <is>
          <t>Celular</t>
        </is>
      </c>
      <c r="B129" s="24" t="inlineStr">
        <is>
          <t>Red / Señal / Conectividad</t>
        </is>
      </c>
      <c r="C129" s="24" t="inlineStr">
        <is>
          <t>¿Funciona el Wi-Fi en otro lugar o con otra red?</t>
        </is>
      </c>
      <c r="D129" s="25" t="inlineStr">
        <is>
          <t>YNS</t>
        </is>
      </c>
      <c r="E129" s="26">
        <f>IF(OR(A129="",B129=""),"",A129&amp;"|"&amp;B129)</f>
        <v/>
      </c>
      <c r="F129" s="26">
        <f>IF(OR(E129="",C129=""),"",E129&amp;"|"&amp;C129)</f>
        <v/>
      </c>
    </row>
    <row r="130">
      <c r="A130" s="23" t="inlineStr">
        <is>
          <t>Celular</t>
        </is>
      </c>
      <c r="B130" s="24" t="inlineStr">
        <is>
          <t>Red / Señal / Conectividad</t>
        </is>
      </c>
      <c r="C130" s="24" t="inlineStr">
        <is>
          <t>¿El Bluetooth se desconecta con frecuencia?</t>
        </is>
      </c>
      <c r="D130" s="25" t="inlineStr">
        <is>
          <t>YNS</t>
        </is>
      </c>
      <c r="E130" s="26">
        <f>IF(OR(A130="",B130=""),"",A130&amp;"|"&amp;B130)</f>
        <v/>
      </c>
      <c r="F130" s="26">
        <f>IF(OR(E130="",C130=""),"",E130&amp;"|"&amp;C130)</f>
        <v/>
      </c>
    </row>
    <row r="131">
      <c r="A131" s="23" t="inlineStr">
        <is>
          <t>Celular</t>
        </is>
      </c>
      <c r="B131" s="24" t="inlineStr">
        <is>
          <t>Red / Señal / Conectividad</t>
        </is>
      </c>
      <c r="C131" s="24" t="inlineStr">
        <is>
          <t>¿Aparece «Solo emergencias»?</t>
        </is>
      </c>
      <c r="D131" s="25" t="inlineStr">
        <is>
          <t>YNS</t>
        </is>
      </c>
      <c r="E131" s="26">
        <f>IF(OR(A131="",B131=""),"",A131&amp;"|"&amp;B131)</f>
        <v/>
      </c>
      <c r="F131" s="26">
        <f>IF(OR(E131="",C131=""),"",E131&amp;"|"&amp;C131)</f>
        <v/>
      </c>
    </row>
    <row r="132">
      <c r="A132" s="23" t="inlineStr">
        <is>
          <t>Celular</t>
        </is>
      </c>
      <c r="B132" s="24" t="inlineStr">
        <is>
          <t>Red / Señal / Conectividad</t>
        </is>
      </c>
      <c r="C132" s="24" t="inlineStr">
        <is>
          <t>¿Solo aparece 3G / H en lugar de 4G / 5G?</t>
        </is>
      </c>
      <c r="D132" s="25" t="inlineStr">
        <is>
          <t>YNS</t>
        </is>
      </c>
      <c r="E132" s="26">
        <f>IF(OR(A132="",B132=""),"",A132&amp;"|"&amp;B132)</f>
        <v/>
      </c>
      <c r="F132" s="26">
        <f>IF(OR(E132="",C132=""),"",E132&amp;"|"&amp;C132)</f>
        <v/>
      </c>
    </row>
    <row r="133">
      <c r="A133" s="23" t="inlineStr">
        <is>
          <t>Celular</t>
        </is>
      </c>
      <c r="B133" s="24" t="inlineStr">
        <is>
          <t>Red / Señal / Conectividad</t>
        </is>
      </c>
      <c r="C133" s="24" t="inlineStr">
        <is>
          <t>¿La bandeja de la SIM está dañada o floja?</t>
        </is>
      </c>
      <c r="D133" s="25" t="inlineStr">
        <is>
          <t>YNS</t>
        </is>
      </c>
      <c r="E133" s="26">
        <f>IF(OR(A133="",B133=""),"",A133&amp;"|"&amp;B133)</f>
        <v/>
      </c>
      <c r="F133" s="26">
        <f>IF(OR(E133="",C133=""),"",E133&amp;"|"&amp;C133)</f>
        <v/>
      </c>
    </row>
    <row r="134">
      <c r="A134" s="23" t="inlineStr">
        <is>
          <t>Celular</t>
        </is>
      </c>
      <c r="B134" s="24" t="inlineStr">
        <is>
          <t>Otra falla</t>
        </is>
      </c>
      <c r="C134" s="24" t="inlineStr">
        <is>
          <t>¿Cuál es la otra falla o condición?</t>
        </is>
      </c>
      <c r="D134" s="25" t="inlineStr">
        <is>
          <t>OTRAF</t>
        </is>
      </c>
      <c r="E134" s="26">
        <f>IF(OR(A134="",B134=""),"",A134&amp;"|"&amp;B134)</f>
        <v/>
      </c>
      <c r="F134" s="26">
        <f>IF(OR(E134="",C134=""),"",E134&amp;"|"&amp;C134)</f>
        <v/>
      </c>
    </row>
    <row r="135">
      <c r="A135" s="23" t="inlineStr">
        <is>
          <t>Celular</t>
        </is>
      </c>
      <c r="B135" s="24" t="inlineStr">
        <is>
          <t>Otra falla</t>
        </is>
      </c>
      <c r="C135" s="24" t="inlineStr">
        <is>
          <t>¿Qué solución ya intentó el cliente?</t>
        </is>
      </c>
      <c r="D135" s="25" t="inlineStr">
        <is>
          <t>SOL</t>
        </is>
      </c>
      <c r="E135" s="26">
        <f>IF(OR(A135="",B135=""),"",A135&amp;"|"&amp;B135)</f>
        <v/>
      </c>
      <c r="F135" s="26">
        <f>IF(OR(E135="",C135=""),"",E135&amp;"|"&amp;C135)</f>
        <v/>
      </c>
    </row>
    <row r="136">
      <c r="A136" s="23" t="inlineStr">
        <is>
          <t>Celular</t>
        </is>
      </c>
      <c r="B136" s="24" t="inlineStr">
        <is>
          <t>Botones / Puertos</t>
        </is>
      </c>
      <c r="C136" s="24" t="inlineStr">
        <is>
          <t>¿El botón de encendido no responde bien?</t>
        </is>
      </c>
      <c r="D136" s="25" t="inlineStr">
        <is>
          <t>YNS</t>
        </is>
      </c>
      <c r="E136" s="26">
        <f>IF(OR(A136="",B136=""),"",A136&amp;"|"&amp;B136)</f>
        <v/>
      </c>
      <c r="F136" s="26">
        <f>IF(OR(E136="",C136=""),"",E136&amp;"|"&amp;C136)</f>
        <v/>
      </c>
    </row>
    <row r="137">
      <c r="A137" s="23" t="inlineStr">
        <is>
          <t>Celular</t>
        </is>
      </c>
      <c r="B137" s="24" t="inlineStr">
        <is>
          <t>Botones / Puertos</t>
        </is>
      </c>
      <c r="C137" s="24" t="inlineStr">
        <is>
          <t>¿Los botones de volumen fallan?</t>
        </is>
      </c>
      <c r="D137" s="25" t="inlineStr">
        <is>
          <t>YNS</t>
        </is>
      </c>
      <c r="E137" s="26">
        <f>IF(OR(A137="",B137=""),"",A137&amp;"|"&amp;B137)</f>
        <v/>
      </c>
      <c r="F137" s="26">
        <f>IF(OR(E137="",C137=""),"",E137&amp;"|"&amp;C137)</f>
        <v/>
      </c>
    </row>
    <row r="138">
      <c r="A138" s="23" t="inlineStr">
        <is>
          <t>Celular</t>
        </is>
      </c>
      <c r="B138" s="24" t="inlineStr">
        <is>
          <t>Botones / Puertos</t>
        </is>
      </c>
      <c r="C138" s="24" t="inlineStr">
        <is>
          <t>¿El botón de inicio o el lector de huella falla?</t>
        </is>
      </c>
      <c r="D138" s="25" t="inlineStr">
        <is>
          <t>YNS</t>
        </is>
      </c>
      <c r="E138" s="26">
        <f>IF(OR(A138="",B138=""),"",A138&amp;"|"&amp;B138)</f>
        <v/>
      </c>
      <c r="F138" s="26">
        <f>IF(OR(E138="",C138=""),"",E138&amp;"|"&amp;C138)</f>
        <v/>
      </c>
    </row>
    <row r="139">
      <c r="A139" s="23" t="inlineStr">
        <is>
          <t>Celular</t>
        </is>
      </c>
      <c r="B139" s="24" t="inlineStr">
        <is>
          <t>Botones / Puertos</t>
        </is>
      </c>
      <c r="C139" s="24" t="inlineStr">
        <is>
          <t>¿El puerto de carga no detecta el cable?</t>
        </is>
      </c>
      <c r="D139" s="25" t="inlineStr">
        <is>
          <t>YNS</t>
        </is>
      </c>
      <c r="E139" s="26">
        <f>IF(OR(A139="",B139=""),"",A139&amp;"|"&amp;B139)</f>
        <v/>
      </c>
      <c r="F139" s="26">
        <f>IF(OR(E139="",C139=""),"",E139&amp;"|"&amp;C139)</f>
        <v/>
      </c>
    </row>
    <row r="140">
      <c r="A140" s="23" t="inlineStr">
        <is>
          <t>Celular</t>
        </is>
      </c>
      <c r="B140" s="24" t="inlineStr">
        <is>
          <t>Botones / Puertos</t>
        </is>
      </c>
      <c r="C140" s="24" t="inlineStr">
        <is>
          <t>¿El interruptor de silencio o vibración falla?</t>
        </is>
      </c>
      <c r="D140" s="25" t="inlineStr">
        <is>
          <t>YNS</t>
        </is>
      </c>
      <c r="E140" s="26">
        <f>IF(OR(A140="",B140=""),"",A140&amp;"|"&amp;B140)</f>
        <v/>
      </c>
      <c r="F140" s="26">
        <f>IF(OR(E140="",C140=""),"",E140&amp;"|"&amp;C140)</f>
        <v/>
      </c>
    </row>
    <row r="141">
      <c r="A141" s="23" t="inlineStr">
        <is>
          <t>Celular</t>
        </is>
      </c>
      <c r="B141" s="24" t="inlineStr">
        <is>
          <t>Software / Actualización</t>
        </is>
      </c>
      <c r="C141" s="24" t="inlineStr">
        <is>
          <t>¿Falló durante una actualización?</t>
        </is>
      </c>
      <c r="D141" s="25" t="inlineStr">
        <is>
          <t>YNS</t>
        </is>
      </c>
      <c r="E141" s="26">
        <f>IF(OR(A141="",B141=""),"",A141&amp;"|"&amp;B141)</f>
        <v/>
      </c>
      <c r="F141" s="26">
        <f>IF(OR(E141="",C141=""),"",E141&amp;"|"&amp;C141)</f>
        <v/>
      </c>
    </row>
    <row r="142">
      <c r="A142" s="23" t="inlineStr">
        <is>
          <t>Celular</t>
        </is>
      </c>
      <c r="B142" s="24" t="inlineStr">
        <is>
          <t>Software / Actualización</t>
        </is>
      </c>
      <c r="C142" s="24" t="inlineStr">
        <is>
          <t>¿Se queda cargando o en el logo después de actualizar?</t>
        </is>
      </c>
      <c r="D142" s="25" t="inlineStr">
        <is>
          <t>YNS</t>
        </is>
      </c>
      <c r="E142" s="26">
        <f>IF(OR(A142="",B142=""),"",A142&amp;"|"&amp;B142)</f>
        <v/>
      </c>
      <c r="F142" s="26">
        <f>IF(OR(E142="",C142=""),"",E142&amp;"|"&amp;C142)</f>
        <v/>
      </c>
    </row>
    <row r="143">
      <c r="A143" s="23" t="inlineStr">
        <is>
          <t>Celular</t>
        </is>
      </c>
      <c r="B143" s="24" t="inlineStr">
        <is>
          <t>Software / Actualización</t>
        </is>
      </c>
      <c r="C143" s="24" t="inlineStr">
        <is>
          <t>¿Necesita restaurarse o formatearse?</t>
        </is>
      </c>
      <c r="D143" s="25" t="inlineStr">
        <is>
          <t>YNS</t>
        </is>
      </c>
      <c r="E143" s="26">
        <f>IF(OR(A143="",B143=""),"",A143&amp;"|"&amp;B143)</f>
        <v/>
      </c>
      <c r="F143" s="26">
        <f>IF(OR(E143="",C143=""),"",E143&amp;"|"&amp;C143)</f>
        <v/>
      </c>
    </row>
    <row r="144">
      <c r="A144" s="23" t="inlineStr">
        <is>
          <t>Celular</t>
        </is>
      </c>
      <c r="B144" s="24" t="inlineStr">
        <is>
          <t>Software / Actualización</t>
        </is>
      </c>
      <c r="C144" s="24" t="inlineStr">
        <is>
          <t>¿Instaló apps o programas de origen desconocido?</t>
        </is>
      </c>
      <c r="D144" s="25" t="inlineStr">
        <is>
          <t>YNS</t>
        </is>
      </c>
      <c r="E144" s="26">
        <f>IF(OR(A144="",B144=""),"",A144&amp;"|"&amp;B144)</f>
        <v/>
      </c>
      <c r="F144" s="26">
        <f>IF(OR(E144="",C144=""),"",E144&amp;"|"&amp;C144)</f>
        <v/>
      </c>
    </row>
    <row r="145">
      <c r="A145" s="23" t="inlineStr">
        <is>
          <t>Celular</t>
        </is>
      </c>
      <c r="B145" s="24" t="inlineStr">
        <is>
          <t>Software / Actualización</t>
        </is>
      </c>
      <c r="C145" s="24" t="inlineStr">
        <is>
          <t>¿Tiene una versión muy antigua del sistema?</t>
        </is>
      </c>
      <c r="D145" s="25" t="inlineStr">
        <is>
          <t>YNS</t>
        </is>
      </c>
      <c r="E145" s="26">
        <f>IF(OR(A145="",B145=""),"",A145&amp;"|"&amp;B145)</f>
        <v/>
      </c>
      <c r="F145" s="26">
        <f>IF(OR(E145="",C145=""),"",E145&amp;"|"&amp;C145)</f>
        <v/>
      </c>
    </row>
    <row r="146">
      <c r="A146" s="23" t="inlineStr">
        <is>
          <t>Celular</t>
        </is>
      </c>
      <c r="B146" s="24" t="inlineStr">
        <is>
          <t>Estado físico</t>
        </is>
      </c>
      <c r="C146" s="24" t="inlineStr">
        <is>
          <t>Estado de la pantalla</t>
        </is>
      </c>
      <c r="D146" s="25" t="inlineStr">
        <is>
          <t>E_PANT</t>
        </is>
      </c>
      <c r="E146" s="26">
        <f>IF(OR(A146="",B146=""),"",A146&amp;"|"&amp;B146)</f>
        <v/>
      </c>
      <c r="F146" s="26">
        <f>IF(OR(E146="",C146=""),"",E146&amp;"|"&amp;C146)</f>
        <v/>
      </c>
    </row>
    <row r="147">
      <c r="A147" s="23" t="inlineStr">
        <is>
          <t>Celular</t>
        </is>
      </c>
      <c r="B147" s="24" t="inlineStr">
        <is>
          <t>Estado físico</t>
        </is>
      </c>
      <c r="C147" s="24" t="inlineStr">
        <is>
          <t>Estado de la carcasa / chasis</t>
        </is>
      </c>
      <c r="D147" s="25" t="inlineStr">
        <is>
          <t>E_CARC</t>
        </is>
      </c>
      <c r="E147" s="26">
        <f>IF(OR(A147="",B147=""),"",A147&amp;"|"&amp;B147)</f>
        <v/>
      </c>
      <c r="F147" s="26">
        <f>IF(OR(E147="",C147=""),"",E147&amp;"|"&amp;C147)</f>
        <v/>
      </c>
    </row>
    <row r="148">
      <c r="A148" s="23" t="inlineStr">
        <is>
          <t>Celular</t>
        </is>
      </c>
      <c r="B148" s="24" t="inlineStr">
        <is>
          <t>Estado físico</t>
        </is>
      </c>
      <c r="C148" s="24" t="inlineStr">
        <is>
          <t>¿Faltan tornillos?</t>
        </is>
      </c>
      <c r="D148" s="25" t="inlineStr">
        <is>
          <t>YN</t>
        </is>
      </c>
      <c r="E148" s="26">
        <f>IF(OR(A148="",B148=""),"",A148&amp;"|"&amp;B148)</f>
        <v/>
      </c>
      <c r="F148" s="26">
        <f>IF(OR(E148="",C148=""),"",E148&amp;"|"&amp;C148)</f>
        <v/>
      </c>
    </row>
    <row r="149">
      <c r="A149" s="23" t="inlineStr">
        <is>
          <t>Celular</t>
        </is>
      </c>
      <c r="B149" s="24" t="inlineStr">
        <is>
          <t>Estado físico</t>
        </is>
      </c>
      <c r="C149" s="24" t="inlineStr">
        <is>
          <t>¿Hay botones o puertos dañados?</t>
        </is>
      </c>
      <c r="D149" s="25" t="inlineStr">
        <is>
          <t>YN</t>
        </is>
      </c>
      <c r="E149" s="26">
        <f>IF(OR(A149="",B149=""),"",A149&amp;"|"&amp;B149)</f>
        <v/>
      </c>
      <c r="F149" s="26">
        <f>IF(OR(E149="",C149=""),"",E149&amp;"|"&amp;C149)</f>
        <v/>
      </c>
    </row>
    <row r="150">
      <c r="A150" s="23" t="inlineStr">
        <is>
          <t>Celular</t>
        </is>
      </c>
      <c r="B150" s="24" t="inlineStr">
        <is>
          <t>Estado físico</t>
        </is>
      </c>
      <c r="C150" s="24" t="inlineStr">
        <is>
          <t>¿Hay señales de apertura previa?</t>
        </is>
      </c>
      <c r="D150" s="25" t="inlineStr">
        <is>
          <t>YN</t>
        </is>
      </c>
      <c r="E150" s="26">
        <f>IF(OR(A150="",B150=""),"",A150&amp;"|"&amp;B150)</f>
        <v/>
      </c>
      <c r="F150" s="26">
        <f>IF(OR(E150="",C150=""),"",E150&amp;"|"&amp;C150)</f>
        <v/>
      </c>
    </row>
    <row r="151">
      <c r="A151" s="23" t="inlineStr">
        <is>
          <t>Celular</t>
        </is>
      </c>
      <c r="B151" s="24" t="inlineStr">
        <is>
          <t>Estado físico</t>
        </is>
      </c>
      <c r="C151" s="24" t="inlineStr">
        <is>
          <t>¿Hay señales visibles de humedad?</t>
        </is>
      </c>
      <c r="D151" s="25" t="inlineStr">
        <is>
          <t>YN</t>
        </is>
      </c>
      <c r="E151" s="26">
        <f>IF(OR(A151="",B151=""),"",A151&amp;"|"&amp;B151)</f>
        <v/>
      </c>
      <c r="F151" s="26">
        <f>IF(OR(E151="",C151=""),"",E151&amp;"|"&amp;C151)</f>
        <v/>
      </c>
    </row>
    <row r="152">
      <c r="A152" s="23" t="inlineStr">
        <is>
          <t>Celular</t>
        </is>
      </c>
      <c r="B152" s="24" t="inlineStr">
        <is>
          <t>Estado físico</t>
        </is>
      </c>
      <c r="C152" s="24" t="inlineStr">
        <is>
          <t>¿La batería está inflada?</t>
        </is>
      </c>
      <c r="D152" s="25" t="inlineStr">
        <is>
          <t>YN</t>
        </is>
      </c>
      <c r="E152" s="26">
        <f>IF(OR(A152="",B152=""),"",A152&amp;"|"&amp;B152)</f>
        <v/>
      </c>
      <c r="F152" s="26">
        <f>IF(OR(E152="",C152=""),"",E152&amp;"|"&amp;C152)</f>
        <v/>
      </c>
    </row>
    <row r="153">
      <c r="A153" s="23" t="inlineStr">
        <is>
          <t>Celular</t>
        </is>
      </c>
      <c r="B153" s="24" t="inlineStr">
        <is>
          <t>Estado físico</t>
        </is>
      </c>
      <c r="C153" s="24" t="inlineStr">
        <is>
          <t>¿Qué otro daño visible tiene?</t>
        </is>
      </c>
      <c r="D153" s="25" t="inlineStr">
        <is>
          <t>DANO</t>
        </is>
      </c>
      <c r="E153" s="26">
        <f>IF(OR(A153="",B153=""),"",A153&amp;"|"&amp;B153)</f>
        <v/>
      </c>
      <c r="F153" s="26">
        <f>IF(OR(E153="",C153=""),"",E153&amp;"|"&amp;C153)</f>
        <v/>
      </c>
    </row>
    <row r="154">
      <c r="A154" s="23" t="inlineStr">
        <is>
          <t>Celular</t>
        </is>
      </c>
      <c r="B154" s="24" t="inlineStr">
        <is>
          <t>Estado físico</t>
        </is>
      </c>
      <c r="C154" s="24" t="inlineStr">
        <is>
          <t>¿Tiene protector o vidrio templado en la pantalla?</t>
        </is>
      </c>
      <c r="D154" s="25" t="inlineStr">
        <is>
          <t>YN</t>
        </is>
      </c>
      <c r="E154" s="26">
        <f>IF(OR(A154="",B154=""),"",A154&amp;"|"&amp;B154)</f>
        <v/>
      </c>
      <c r="F154" s="26">
        <f>IF(OR(E154="",C154=""),"",E154&amp;"|"&amp;C154)</f>
        <v/>
      </c>
    </row>
    <row r="155">
      <c r="A155" s="23" t="inlineStr">
        <is>
          <t>Celular</t>
        </is>
      </c>
      <c r="B155" s="24" t="inlineStr">
        <is>
          <t>Estado físico</t>
        </is>
      </c>
      <c r="C155" s="24" t="inlineStr">
        <is>
          <t>¿El lente de la cámara trasera está roto?</t>
        </is>
      </c>
      <c r="D155" s="25" t="inlineStr">
        <is>
          <t>YN</t>
        </is>
      </c>
      <c r="E155" s="26">
        <f>IF(OR(A155="",B155=""),"",A155&amp;"|"&amp;B155)</f>
        <v/>
      </c>
      <c r="F155" s="26">
        <f>IF(OR(E155="",C155=""),"",E155&amp;"|"&amp;C155)</f>
        <v/>
      </c>
    </row>
    <row r="156">
      <c r="A156" s="23" t="inlineStr">
        <is>
          <t>Celular</t>
        </is>
      </c>
      <c r="B156" s="24" t="inlineStr">
        <is>
          <t>Estado físico</t>
        </is>
      </c>
      <c r="C156" s="24" t="inlineStr">
        <is>
          <t>¿Los sellos de garantía están intactos?</t>
        </is>
      </c>
      <c r="D156" s="25" t="inlineStr">
        <is>
          <t>YN</t>
        </is>
      </c>
      <c r="E156" s="26">
        <f>IF(OR(A156="",B156=""),"",A156&amp;"|"&amp;B156)</f>
        <v/>
      </c>
      <c r="F156" s="26">
        <f>IF(OR(E156="",C156=""),"",E156&amp;"|"&amp;C156)</f>
        <v/>
      </c>
    </row>
    <row r="157">
      <c r="A157" s="23" t="inlineStr">
        <is>
          <t>Celular</t>
        </is>
      </c>
      <c r="B157" s="24" t="inlineStr">
        <is>
          <t>Estado físico</t>
        </is>
      </c>
      <c r="C157" s="24" t="inlineStr">
        <is>
          <t>¿Hay señales de corrosión en puertos o en la bandeja SIM?</t>
        </is>
      </c>
      <c r="D157" s="25" t="inlineStr">
        <is>
          <t>YN</t>
        </is>
      </c>
      <c r="E157" s="26">
        <f>IF(OR(A157="",B157=""),"",A157&amp;"|"&amp;B157)</f>
        <v/>
      </c>
      <c r="F157" s="26">
        <f>IF(OR(E157="",C157=""),"",E157&amp;"|"&amp;C157)</f>
        <v/>
      </c>
    </row>
    <row r="158">
      <c r="A158" s="23" t="inlineStr">
        <is>
          <t>Celular</t>
        </is>
      </c>
      <c r="B158" s="24" t="inlineStr">
        <is>
          <t>Estado al ingresar</t>
        </is>
      </c>
      <c r="C158" s="24" t="inlineStr">
        <is>
          <t>¿Enciende?</t>
        </is>
      </c>
      <c r="D158" s="25" t="inlineStr">
        <is>
          <t>YNC</t>
        </is>
      </c>
      <c r="E158" s="26">
        <f>IF(OR(A158="",B158=""),"",A158&amp;"|"&amp;B158)</f>
        <v/>
      </c>
      <c r="F158" s="26">
        <f>IF(OR(E158="",C158=""),"",E158&amp;"|"&amp;C158)</f>
        <v/>
      </c>
    </row>
    <row r="159">
      <c r="A159" s="23" t="inlineStr">
        <is>
          <t>Celular</t>
        </is>
      </c>
      <c r="B159" s="24" t="inlineStr">
        <is>
          <t>Estado al ingresar</t>
        </is>
      </c>
      <c r="C159" s="24" t="inlineStr">
        <is>
          <t>¿Da imagen?</t>
        </is>
      </c>
      <c r="D159" s="25" t="inlineStr">
        <is>
          <t>YNC</t>
        </is>
      </c>
      <c r="E159" s="26">
        <f>IF(OR(A159="",B159=""),"",A159&amp;"|"&amp;B159)</f>
        <v/>
      </c>
      <c r="F159" s="26">
        <f>IF(OR(E159="",C159=""),"",E159&amp;"|"&amp;C159)</f>
        <v/>
      </c>
    </row>
    <row r="160">
      <c r="A160" s="23" t="inlineStr">
        <is>
          <t>Celular</t>
        </is>
      </c>
      <c r="B160" s="24" t="inlineStr">
        <is>
          <t>Estado al ingresar</t>
        </is>
      </c>
      <c r="C160" s="24" t="inlineStr">
        <is>
          <t>¿Inicia el sistema operativo?</t>
        </is>
      </c>
      <c r="D160" s="25" t="inlineStr">
        <is>
          <t>YNC</t>
        </is>
      </c>
      <c r="E160" s="26">
        <f>IF(OR(A160="",B160=""),"",A160&amp;"|"&amp;B160)</f>
        <v/>
      </c>
      <c r="F160" s="26">
        <f>IF(OR(E160="",C160=""),"",E160&amp;"|"&amp;C160)</f>
        <v/>
      </c>
    </row>
    <row r="161">
      <c r="A161" s="23" t="inlineStr">
        <is>
          <t>Celular</t>
        </is>
      </c>
      <c r="B161" s="24" t="inlineStr">
        <is>
          <t>Estado al ingresar</t>
        </is>
      </c>
      <c r="C161" s="24" t="inlineStr">
        <is>
          <t>¿Carga al conectarlo?</t>
        </is>
      </c>
      <c r="D161" s="25" t="inlineStr">
        <is>
          <t>YNC</t>
        </is>
      </c>
      <c r="E161" s="26">
        <f>IF(OR(A161="",B161=""),"",A161&amp;"|"&amp;B161)</f>
        <v/>
      </c>
      <c r="F161" s="26">
        <f>IF(OR(E161="",C161=""),"",E161&amp;"|"&amp;C161)</f>
        <v/>
      </c>
    </row>
    <row r="162">
      <c r="A162" s="23" t="inlineStr">
        <is>
          <t>Celular</t>
        </is>
      </c>
      <c r="B162" s="24" t="inlineStr">
        <is>
          <t>Estado al ingresar</t>
        </is>
      </c>
      <c r="C162" s="24" t="inlineStr">
        <is>
          <t>¿Reconoce el cargador o la fuente de poder?</t>
        </is>
      </c>
      <c r="D162" s="25" t="inlineStr">
        <is>
          <t>YNC</t>
        </is>
      </c>
      <c r="E162" s="26">
        <f>IF(OR(A162="",B162=""),"",A162&amp;"|"&amp;B162)</f>
        <v/>
      </c>
      <c r="F162" s="26">
        <f>IF(OR(E162="",C162=""),"",E162&amp;"|"&amp;C162)</f>
        <v/>
      </c>
    </row>
    <row r="163">
      <c r="A163" s="23" t="inlineStr">
        <is>
          <t>Celular</t>
        </is>
      </c>
      <c r="B163" s="24" t="inlineStr">
        <is>
          <t>Estado al ingresar</t>
        </is>
      </c>
      <c r="C163" s="24" t="inlineStr">
        <is>
          <t>¿Qué nivel de batería tenía al ingresar?</t>
        </is>
      </c>
      <c r="D163" s="25" t="inlineStr">
        <is>
          <t>BATNIV</t>
        </is>
      </c>
      <c r="E163" s="26">
        <f>IF(OR(A163="",B163=""),"",A163&amp;"|"&amp;B163)</f>
        <v/>
      </c>
      <c r="F163" s="26">
        <f>IF(OR(E163="",C163=""),"",E163&amp;"|"&amp;C163)</f>
        <v/>
      </c>
    </row>
    <row r="164">
      <c r="A164" s="23" t="inlineStr">
        <is>
          <t>Celular</t>
        </is>
      </c>
      <c r="B164" s="24" t="inlineStr">
        <is>
          <t>Estado al ingresar</t>
        </is>
      </c>
      <c r="C164" s="24" t="inlineStr">
        <is>
          <t>¿Muestra errores o mensajes al iniciar?</t>
        </is>
      </c>
      <c r="D164" s="25" t="inlineStr">
        <is>
          <t>YNC</t>
        </is>
      </c>
      <c r="E164" s="26">
        <f>IF(OR(A164="",B164=""),"",A164&amp;"|"&amp;B164)</f>
        <v/>
      </c>
      <c r="F164" s="26">
        <f>IF(OR(E164="",C164=""),"",E164&amp;"|"&amp;C164)</f>
        <v/>
      </c>
    </row>
    <row r="165">
      <c r="A165" s="23" t="inlineStr">
        <is>
          <t>Celular</t>
        </is>
      </c>
      <c r="B165" s="24" t="inlineStr">
        <is>
          <t>Accesorios entregados</t>
        </is>
      </c>
      <c r="C165" s="24" t="inlineStr">
        <is>
          <t>¿Entregó cargador?</t>
        </is>
      </c>
      <c r="D165" s="25" t="inlineStr">
        <is>
          <t>YN</t>
        </is>
      </c>
      <c r="E165" s="26">
        <f>IF(OR(A165="",B165=""),"",A165&amp;"|"&amp;B165)</f>
        <v/>
      </c>
      <c r="F165" s="26">
        <f>IF(OR(E165="",C165=""),"",E165&amp;"|"&amp;C165)</f>
        <v/>
      </c>
    </row>
    <row r="166">
      <c r="A166" s="23" t="inlineStr">
        <is>
          <t>Celular</t>
        </is>
      </c>
      <c r="B166" s="24" t="inlineStr">
        <is>
          <t>Accesorios entregados</t>
        </is>
      </c>
      <c r="C166" s="24" t="inlineStr">
        <is>
          <t>¿Entregó cable?</t>
        </is>
      </c>
      <c r="D166" s="25" t="inlineStr">
        <is>
          <t>YN</t>
        </is>
      </c>
      <c r="E166" s="26">
        <f>IF(OR(A166="",B166=""),"",A166&amp;"|"&amp;B166)</f>
        <v/>
      </c>
      <c r="F166" s="26">
        <f>IF(OR(E166="",C166=""),"",E166&amp;"|"&amp;C166)</f>
        <v/>
      </c>
    </row>
    <row r="167">
      <c r="A167" s="23" t="inlineStr">
        <is>
          <t>Celular</t>
        </is>
      </c>
      <c r="B167" s="24" t="inlineStr">
        <is>
          <t>Accesorios entregados</t>
        </is>
      </c>
      <c r="C167" s="24" t="inlineStr">
        <is>
          <t>¿Entregó funda?</t>
        </is>
      </c>
      <c r="D167" s="25" t="inlineStr">
        <is>
          <t>YN</t>
        </is>
      </c>
      <c r="E167" s="26">
        <f>IF(OR(A167="",B167=""),"",A167&amp;"|"&amp;B167)</f>
        <v/>
      </c>
      <c r="F167" s="26">
        <f>IF(OR(E167="",C167=""),"",E167&amp;"|"&amp;C167)</f>
        <v/>
      </c>
    </row>
    <row r="168">
      <c r="A168" s="23" t="inlineStr">
        <is>
          <t>Celular</t>
        </is>
      </c>
      <c r="B168" s="24" t="inlineStr">
        <is>
          <t>Accesorios entregados</t>
        </is>
      </c>
      <c r="C168" s="24" t="inlineStr">
        <is>
          <t>¿Entregó SIM?</t>
        </is>
      </c>
      <c r="D168" s="25" t="inlineStr">
        <is>
          <t>YN</t>
        </is>
      </c>
      <c r="E168" s="26">
        <f>IF(OR(A168="",B168=""),"",A168&amp;"|"&amp;B168)</f>
        <v/>
      </c>
      <c r="F168" s="26">
        <f>IF(OR(E168="",C168=""),"",E168&amp;"|"&amp;C168)</f>
        <v/>
      </c>
    </row>
    <row r="169">
      <c r="A169" s="23" t="inlineStr">
        <is>
          <t>Celular</t>
        </is>
      </c>
      <c r="B169" s="24" t="inlineStr">
        <is>
          <t>Accesorios entregados</t>
        </is>
      </c>
      <c r="C169" s="24" t="inlineStr">
        <is>
          <t>¿Entregó MicroSD?</t>
        </is>
      </c>
      <c r="D169" s="25" t="inlineStr">
        <is>
          <t>YN</t>
        </is>
      </c>
      <c r="E169" s="26">
        <f>IF(OR(A169="",B169=""),"",A169&amp;"|"&amp;B169)</f>
        <v/>
      </c>
      <c r="F169" s="26">
        <f>IF(OR(E169="",C169=""),"",E169&amp;"|"&amp;C169)</f>
        <v/>
      </c>
    </row>
    <row r="170">
      <c r="A170" s="23" t="inlineStr">
        <is>
          <t>Celular</t>
        </is>
      </c>
      <c r="B170" s="24" t="inlineStr">
        <is>
          <t>Accesorios entregados</t>
        </is>
      </c>
      <c r="C170" s="24" t="inlineStr">
        <is>
          <t>¿Entregó adaptador?</t>
        </is>
      </c>
      <c r="D170" s="25" t="inlineStr">
        <is>
          <t>YN</t>
        </is>
      </c>
      <c r="E170" s="26">
        <f>IF(OR(A170="",B170=""),"",A170&amp;"|"&amp;B170)</f>
        <v/>
      </c>
      <c r="F170" s="26">
        <f>IF(OR(E170="",C170=""),"",E170&amp;"|"&amp;C170)</f>
        <v/>
      </c>
    </row>
    <row r="171">
      <c r="A171" s="23" t="inlineStr">
        <is>
          <t>Celular</t>
        </is>
      </c>
      <c r="B171" s="24" t="inlineStr">
        <is>
          <t>Accesorios entregados</t>
        </is>
      </c>
      <c r="C171" s="24" t="inlineStr">
        <is>
          <t>¿Entregó otro accesorio?</t>
        </is>
      </c>
      <c r="D171" s="25" t="inlineStr">
        <is>
          <t>YN</t>
        </is>
      </c>
      <c r="E171" s="26">
        <f>IF(OR(A171="",B171=""),"",A171&amp;"|"&amp;B171)</f>
        <v/>
      </c>
      <c r="F171" s="26">
        <f>IF(OR(E171="",C171=""),"",E171&amp;"|"&amp;C171)</f>
        <v/>
      </c>
    </row>
    <row r="172">
      <c r="A172" s="23" t="inlineStr">
        <is>
          <t>Celular</t>
        </is>
      </c>
      <c r="B172" s="24" t="inlineStr">
        <is>
          <t>Accesorios entregados</t>
        </is>
      </c>
      <c r="C172" s="24" t="inlineStr">
        <is>
          <t>¿Entregó la caja original?</t>
        </is>
      </c>
      <c r="D172" s="25" t="inlineStr">
        <is>
          <t>YN</t>
        </is>
      </c>
      <c r="E172" s="26">
        <f>IF(OR(A172="",B172=""),"",A172&amp;"|"&amp;B172)</f>
        <v/>
      </c>
      <c r="F172" s="26">
        <f>IF(OR(E172="",C172=""),"",E172&amp;"|"&amp;C172)</f>
        <v/>
      </c>
    </row>
    <row r="173">
      <c r="A173" s="23" t="inlineStr">
        <is>
          <t>Celular</t>
        </is>
      </c>
      <c r="B173" s="24" t="inlineStr">
        <is>
          <t>Accesorios entregados</t>
        </is>
      </c>
      <c r="C173" s="24" t="inlineStr">
        <is>
          <t>¿Entregó factura o comprobante de compra?</t>
        </is>
      </c>
      <c r="D173" s="25" t="inlineStr">
        <is>
          <t>YN</t>
        </is>
      </c>
      <c r="E173" s="26">
        <f>IF(OR(A173="",B173=""),"",A173&amp;"|"&amp;B173)</f>
        <v/>
      </c>
      <c r="F173" s="26">
        <f>IF(OR(E173="",C173=""),"",E173&amp;"|"&amp;C173)</f>
        <v/>
      </c>
    </row>
    <row r="174">
      <c r="A174" s="23" t="inlineStr">
        <is>
          <t>Celular</t>
        </is>
      </c>
      <c r="B174" s="24" t="inlineStr">
        <is>
          <t>Accesorios entregados</t>
        </is>
      </c>
      <c r="C174" s="24" t="inlineStr">
        <is>
          <t>¿Entregó la tarjeta de garantía?</t>
        </is>
      </c>
      <c r="D174" s="25" t="inlineStr">
        <is>
          <t>YN</t>
        </is>
      </c>
      <c r="E174" s="26">
        <f>IF(OR(A174="",B174=""),"",A174&amp;"|"&amp;B174)</f>
        <v/>
      </c>
      <c r="F174" s="26">
        <f>IF(OR(E174="",C174=""),"",E174&amp;"|"&amp;C174)</f>
        <v/>
      </c>
    </row>
    <row r="175">
      <c r="A175" s="23" t="inlineStr">
        <is>
          <t>Celular</t>
        </is>
      </c>
      <c r="B175" s="24" t="inlineStr">
        <is>
          <t>Accesorios entregados</t>
        </is>
      </c>
      <c r="C175" s="24" t="inlineStr">
        <is>
          <t>¿Entregó audífonos?</t>
        </is>
      </c>
      <c r="D175" s="25" t="inlineStr">
        <is>
          <t>YN</t>
        </is>
      </c>
      <c r="E175" s="26">
        <f>IF(OR(A175="",B175=""),"",A175&amp;"|"&amp;B175)</f>
        <v/>
      </c>
      <c r="F175" s="26">
        <f>IF(OR(E175="",C175=""),"",E175&amp;"|"&amp;C175)</f>
        <v/>
      </c>
    </row>
    <row r="176">
      <c r="A176" s="23" t="inlineStr">
        <is>
          <t>Celular</t>
        </is>
      </c>
      <c r="B176" s="24" t="inlineStr">
        <is>
          <t>Fotografías de recepción</t>
        </is>
      </c>
      <c r="C176" s="24" t="inlineStr">
        <is>
          <t>¿Se tomó la foto frontal?</t>
        </is>
      </c>
      <c r="D176" s="25" t="inlineStr">
        <is>
          <t>YN</t>
        </is>
      </c>
      <c r="E176" s="26">
        <f>IF(OR(A176="",B176=""),"",A176&amp;"|"&amp;B176)</f>
        <v/>
      </c>
      <c r="F176" s="26">
        <f>IF(OR(E176="",C176=""),"",E176&amp;"|"&amp;C176)</f>
        <v/>
      </c>
    </row>
    <row r="177">
      <c r="A177" s="23" t="inlineStr">
        <is>
          <t>Celular</t>
        </is>
      </c>
      <c r="B177" s="24" t="inlineStr">
        <is>
          <t>Fotografías de recepción</t>
        </is>
      </c>
      <c r="C177" s="24" t="inlineStr">
        <is>
          <t>¿Se tomó la foto posterior?</t>
        </is>
      </c>
      <c r="D177" s="25" t="inlineStr">
        <is>
          <t>YN</t>
        </is>
      </c>
      <c r="E177" s="26">
        <f>IF(OR(A177="",B177=""),"",A177&amp;"|"&amp;B177)</f>
        <v/>
      </c>
      <c r="F177" s="26">
        <f>IF(OR(E177="",C177=""),"",E177&amp;"|"&amp;C177)</f>
        <v/>
      </c>
    </row>
    <row r="178">
      <c r="A178" s="23" t="inlineStr">
        <is>
          <t>Celular</t>
        </is>
      </c>
      <c r="B178" s="24" t="inlineStr">
        <is>
          <t>Fotografías de recepción</t>
        </is>
      </c>
      <c r="C178" s="24" t="inlineStr">
        <is>
          <t>¿Se tomaron las fotos laterales?</t>
        </is>
      </c>
      <c r="D178" s="25" t="inlineStr">
        <is>
          <t>YN</t>
        </is>
      </c>
      <c r="E178" s="26">
        <f>IF(OR(A178="",B178=""),"",A178&amp;"|"&amp;B178)</f>
        <v/>
      </c>
      <c r="F178" s="26">
        <f>IF(OR(E178="",C178=""),"",E178&amp;"|"&amp;C178)</f>
        <v/>
      </c>
    </row>
    <row r="179">
      <c r="A179" s="23" t="inlineStr">
        <is>
          <t>Celular</t>
        </is>
      </c>
      <c r="B179" s="24" t="inlineStr">
        <is>
          <t>Fotografías de recepción</t>
        </is>
      </c>
      <c r="C179" s="24" t="inlineStr">
        <is>
          <t>¿Se tomó la foto de la pantalla?</t>
        </is>
      </c>
      <c r="D179" s="25" t="inlineStr">
        <is>
          <t>YN</t>
        </is>
      </c>
      <c r="E179" s="26">
        <f>IF(OR(A179="",B179=""),"",A179&amp;"|"&amp;B179)</f>
        <v/>
      </c>
      <c r="F179" s="26">
        <f>IF(OR(E179="",C179=""),"",E179&amp;"|"&amp;C179)</f>
        <v/>
      </c>
    </row>
    <row r="180">
      <c r="A180" s="23" t="inlineStr">
        <is>
          <t>Celular</t>
        </is>
      </c>
      <c r="B180" s="24" t="inlineStr">
        <is>
          <t>Fotografías de recepción</t>
        </is>
      </c>
      <c r="C180" s="24" t="inlineStr">
        <is>
          <t>¿Se tomó la foto del serial / IMEI?</t>
        </is>
      </c>
      <c r="D180" s="25" t="inlineStr">
        <is>
          <t>YN</t>
        </is>
      </c>
      <c r="E180" s="26">
        <f>IF(OR(A180="",B180=""),"",A180&amp;"|"&amp;B180)</f>
        <v/>
      </c>
      <c r="F180" s="26">
        <f>IF(OR(E180="",C180=""),"",E180&amp;"|"&amp;C180)</f>
        <v/>
      </c>
    </row>
    <row r="181">
      <c r="A181" s="23" t="inlineStr">
        <is>
          <t>Celular</t>
        </is>
      </c>
      <c r="B181" s="24" t="inlineStr">
        <is>
          <t>Fotografías de recepción</t>
        </is>
      </c>
      <c r="C181" s="24" t="inlineStr">
        <is>
          <t>¿Se tomó la foto de los daños existentes?</t>
        </is>
      </c>
      <c r="D181" s="25" t="inlineStr">
        <is>
          <t>YN</t>
        </is>
      </c>
      <c r="E181" s="26">
        <f>IF(OR(A181="",B181=""),"",A181&amp;"|"&amp;B181)</f>
        <v/>
      </c>
      <c r="F181" s="26">
        <f>IF(OR(E181="",C181=""),"",E181&amp;"|"&amp;C181)</f>
        <v/>
      </c>
    </row>
    <row r="182">
      <c r="A182" s="23" t="inlineStr">
        <is>
          <t>Celular</t>
        </is>
      </c>
      <c r="B182" s="24" t="inlineStr">
        <is>
          <t>Fotografías de recepción</t>
        </is>
      </c>
      <c r="C182" s="24" t="inlineStr">
        <is>
          <t>¿Se tomó un video del equipo al ingresar?</t>
        </is>
      </c>
      <c r="D182" s="25" t="inlineStr">
        <is>
          <t>YN</t>
        </is>
      </c>
      <c r="E182" s="26">
        <f>IF(OR(A182="",B182=""),"",A182&amp;"|"&amp;B182)</f>
        <v/>
      </c>
      <c r="F182" s="26">
        <f>IF(OR(E182="",C182=""),"",E182&amp;"|"&amp;C182)</f>
        <v/>
      </c>
    </row>
    <row r="183">
      <c r="A183" s="23" t="inlineStr">
        <is>
          <t>Celular</t>
        </is>
      </c>
      <c r="B183" s="24" t="inlineStr">
        <is>
          <t>Fotografías de recepción</t>
        </is>
      </c>
      <c r="C183" s="24" t="inlineStr">
        <is>
          <t>¿Se fotografió el estado de la batería o el porcentaje?</t>
        </is>
      </c>
      <c r="D183" s="25" t="inlineStr">
        <is>
          <t>YN</t>
        </is>
      </c>
      <c r="E183" s="26">
        <f>IF(OR(A183="",B183=""),"",A183&amp;"|"&amp;B183)</f>
        <v/>
      </c>
      <c r="F183" s="26">
        <f>IF(OR(E183="",C183=""),"",E183&amp;"|"&amp;C183)</f>
        <v/>
      </c>
    </row>
    <row r="184">
      <c r="A184" s="23" t="inlineStr">
        <is>
          <t>Celular</t>
        </is>
      </c>
      <c r="B184" s="24" t="inlineStr">
        <is>
          <t>Fotografías de recepción</t>
        </is>
      </c>
      <c r="C184" s="24" t="inlineStr">
        <is>
          <t>¿Se fotografiaron los accesorios entregados?</t>
        </is>
      </c>
      <c r="D184" s="25" t="inlineStr">
        <is>
          <t>YN</t>
        </is>
      </c>
      <c r="E184" s="26">
        <f>IF(OR(A184="",B184=""),"",A184&amp;"|"&amp;B184)</f>
        <v/>
      </c>
      <c r="F184" s="26">
        <f>IF(OR(E184="",C184=""),"",E184&amp;"|"&amp;C184)</f>
        <v/>
      </c>
    </row>
    <row r="185">
      <c r="A185" s="23" t="inlineStr">
        <is>
          <t>Celular</t>
        </is>
      </c>
      <c r="B185" s="24" t="inlineStr">
        <is>
          <t>Pruebas funcionales de ingreso</t>
        </is>
      </c>
      <c r="C185" s="24" t="inlineStr">
        <is>
          <t>¿Funciona: pantalla táctil?</t>
        </is>
      </c>
      <c r="D185" s="25" t="inlineStr">
        <is>
          <t>FUN</t>
        </is>
      </c>
      <c r="E185" s="26">
        <f>IF(OR(A185="",B185=""),"",A185&amp;"|"&amp;B185)</f>
        <v/>
      </c>
      <c r="F185" s="26">
        <f>IF(OR(E185="",C185=""),"",E185&amp;"|"&amp;C185)</f>
        <v/>
      </c>
    </row>
    <row r="186">
      <c r="A186" s="23" t="inlineStr">
        <is>
          <t>Celular</t>
        </is>
      </c>
      <c r="B186" s="24" t="inlineStr">
        <is>
          <t>Pruebas funcionales de ingreso</t>
        </is>
      </c>
      <c r="C186" s="24" t="inlineStr">
        <is>
          <t>¿Funciona: botones (encendido / volumen)?</t>
        </is>
      </c>
      <c r="D186" s="25" t="inlineStr">
        <is>
          <t>FUN</t>
        </is>
      </c>
      <c r="E186" s="26">
        <f>IF(OR(A186="",B186=""),"",A186&amp;"|"&amp;B186)</f>
        <v/>
      </c>
      <c r="F186" s="26">
        <f>IF(OR(E186="",C186=""),"",E186&amp;"|"&amp;C186)</f>
        <v/>
      </c>
    </row>
    <row r="187">
      <c r="A187" s="23" t="inlineStr">
        <is>
          <t>Celular</t>
        </is>
      </c>
      <c r="B187" s="24" t="inlineStr">
        <is>
          <t>Pruebas funcionales de ingreso</t>
        </is>
      </c>
      <c r="C187" s="24" t="inlineStr">
        <is>
          <t>¿Funciona: bocina y micrófono?</t>
        </is>
      </c>
      <c r="D187" s="25" t="inlineStr">
        <is>
          <t>FUN</t>
        </is>
      </c>
      <c r="E187" s="26">
        <f>IF(OR(A187="",B187=""),"",A187&amp;"|"&amp;B187)</f>
        <v/>
      </c>
      <c r="F187" s="26">
        <f>IF(OR(E187="",C187=""),"",E187&amp;"|"&amp;C187)</f>
        <v/>
      </c>
    </row>
    <row r="188">
      <c r="A188" s="23" t="inlineStr">
        <is>
          <t>Celular</t>
        </is>
      </c>
      <c r="B188" s="24" t="inlineStr">
        <is>
          <t>Pruebas funcionales de ingreso</t>
        </is>
      </c>
      <c r="C188" s="24" t="inlineStr">
        <is>
          <t>¿Funciona: cámaras?</t>
        </is>
      </c>
      <c r="D188" s="25" t="inlineStr">
        <is>
          <t>FUN</t>
        </is>
      </c>
      <c r="E188" s="26">
        <f>IF(OR(A188="",B188=""),"",A188&amp;"|"&amp;B188)</f>
        <v/>
      </c>
      <c r="F188" s="26">
        <f>IF(OR(E188="",C188=""),"",E188&amp;"|"&amp;C188)</f>
        <v/>
      </c>
    </row>
    <row r="189">
      <c r="A189" s="23" t="inlineStr">
        <is>
          <t>Celular</t>
        </is>
      </c>
      <c r="B189" s="24" t="inlineStr">
        <is>
          <t>Pruebas funcionales de ingreso</t>
        </is>
      </c>
      <c r="C189" s="24" t="inlineStr">
        <is>
          <t>¿Funciona: Wi-Fi / Bluetooth?</t>
        </is>
      </c>
      <c r="D189" s="25" t="inlineStr">
        <is>
          <t>FUN</t>
        </is>
      </c>
      <c r="E189" s="26">
        <f>IF(OR(A189="",B189=""),"",A189&amp;"|"&amp;B189)</f>
        <v/>
      </c>
      <c r="F189" s="26">
        <f>IF(OR(E189="",C189=""),"",E189&amp;"|"&amp;C189)</f>
        <v/>
      </c>
    </row>
    <row r="190">
      <c r="A190" s="23" t="inlineStr">
        <is>
          <t>Celular</t>
        </is>
      </c>
      <c r="B190" s="24" t="inlineStr">
        <is>
          <t>Pruebas funcionales de ingreso</t>
        </is>
      </c>
      <c r="C190" s="24" t="inlineStr">
        <is>
          <t>¿Funciona: carga?</t>
        </is>
      </c>
      <c r="D190" s="25" t="inlineStr">
        <is>
          <t>FUN</t>
        </is>
      </c>
      <c r="E190" s="26">
        <f>IF(OR(A190="",B190=""),"",A190&amp;"|"&amp;B190)</f>
        <v/>
      </c>
      <c r="F190" s="26">
        <f>IF(OR(E190="",C190=""),"",E190&amp;"|"&amp;C190)</f>
        <v/>
      </c>
    </row>
    <row r="191">
      <c r="A191" s="23" t="inlineStr">
        <is>
          <t>Celular</t>
        </is>
      </c>
      <c r="B191" s="24" t="inlineStr">
        <is>
          <t>Pruebas funcionales de ingreso</t>
        </is>
      </c>
      <c r="C191" s="24" t="inlineStr">
        <is>
          <t>¿Funciona: huella / Face ID?</t>
        </is>
      </c>
      <c r="D191" s="25" t="inlineStr">
        <is>
          <t>FUN</t>
        </is>
      </c>
      <c r="E191" s="26">
        <f>IF(OR(A191="",B191=""),"",A191&amp;"|"&amp;B191)</f>
        <v/>
      </c>
      <c r="F191" s="26">
        <f>IF(OR(E191="",C191=""),"",E191&amp;"|"&amp;C191)</f>
        <v/>
      </c>
    </row>
    <row r="192">
      <c r="A192" s="23" t="inlineStr">
        <is>
          <t>Celular</t>
        </is>
      </c>
      <c r="B192" s="24" t="inlineStr">
        <is>
          <t>Pruebas funcionales de ingreso</t>
        </is>
      </c>
      <c r="C192" s="24" t="inlineStr">
        <is>
          <t>¿Funciona: SIM / señal?</t>
        </is>
      </c>
      <c r="D192" s="25" t="inlineStr">
        <is>
          <t>FUN</t>
        </is>
      </c>
      <c r="E192" s="26">
        <f>IF(OR(A192="",B192=""),"",A192&amp;"|"&amp;B192)</f>
        <v/>
      </c>
      <c r="F192" s="26">
        <f>IF(OR(E192="",C192=""),"",E192&amp;"|"&amp;C192)</f>
        <v/>
      </c>
    </row>
    <row r="193">
      <c r="A193" s="23" t="inlineStr">
        <is>
          <t>Celular</t>
        </is>
      </c>
      <c r="B193" s="24" t="inlineStr">
        <is>
          <t>Pruebas funcionales de ingreso</t>
        </is>
      </c>
      <c r="C193" s="24" t="inlineStr">
        <is>
          <t>¿Funciona: sensor de proximidad?</t>
        </is>
      </c>
      <c r="D193" s="25" t="inlineStr">
        <is>
          <t>FUN</t>
        </is>
      </c>
      <c r="E193" s="26">
        <f>IF(OR(A193="",B193=""),"",A193&amp;"|"&amp;B193)</f>
        <v/>
      </c>
      <c r="F193" s="26">
        <f>IF(OR(E193="",C193=""),"",E193&amp;"|"&amp;C193)</f>
        <v/>
      </c>
    </row>
    <row r="194">
      <c r="A194" s="23" t="inlineStr">
        <is>
          <t>Celular</t>
        </is>
      </c>
      <c r="B194" s="24" t="inlineStr">
        <is>
          <t>Pruebas funcionales de ingreso</t>
        </is>
      </c>
      <c r="C194" s="24" t="inlineStr">
        <is>
          <t>¿Funciona: giro de pantalla?</t>
        </is>
      </c>
      <c r="D194" s="25" t="inlineStr">
        <is>
          <t>FUN</t>
        </is>
      </c>
      <c r="E194" s="26">
        <f>IF(OR(A194="",B194=""),"",A194&amp;"|"&amp;B194)</f>
        <v/>
      </c>
      <c r="F194" s="26">
        <f>IF(OR(E194="",C194=""),"",E194&amp;"|"&amp;C194)</f>
        <v/>
      </c>
    </row>
    <row r="195">
      <c r="A195" s="23" t="inlineStr">
        <is>
          <t>Celular</t>
        </is>
      </c>
      <c r="B195" s="24" t="inlineStr">
        <is>
          <t>Pruebas funcionales de ingreso</t>
        </is>
      </c>
      <c r="C195" s="24" t="inlineStr">
        <is>
          <t>¿Funciona: linterna / flash?</t>
        </is>
      </c>
      <c r="D195" s="25" t="inlineStr">
        <is>
          <t>FUN</t>
        </is>
      </c>
      <c r="E195" s="26">
        <f>IF(OR(A195="",B195=""),"",A195&amp;"|"&amp;B195)</f>
        <v/>
      </c>
      <c r="F195" s="26">
        <f>IF(OR(E195="",C195=""),"",E195&amp;"|"&amp;C195)</f>
        <v/>
      </c>
    </row>
    <row r="196">
      <c r="A196" s="23" t="inlineStr">
        <is>
          <t>Celular</t>
        </is>
      </c>
      <c r="B196" s="24" t="inlineStr">
        <is>
          <t>Pruebas funcionales de ingreso</t>
        </is>
      </c>
      <c r="C196" s="24" t="inlineStr">
        <is>
          <t>¿Funciona: vibración?</t>
        </is>
      </c>
      <c r="D196" s="25" t="inlineStr">
        <is>
          <t>FUN</t>
        </is>
      </c>
      <c r="E196" s="26">
        <f>IF(OR(A196="",B196=""),"",A196&amp;"|"&amp;B196)</f>
        <v/>
      </c>
      <c r="F196" s="26">
        <f>IF(OR(E196="",C196=""),"",E196&amp;"|"&amp;C196)</f>
        <v/>
      </c>
    </row>
    <row r="197">
      <c r="A197" s="23" t="inlineStr">
        <is>
          <t>Celular</t>
        </is>
      </c>
      <c r="B197" s="24" t="inlineStr">
        <is>
          <t>Autorizaciones</t>
        </is>
      </c>
      <c r="C197" s="24" t="inlineStr">
        <is>
          <t>¿El cliente autoriza el contacto por WhatsApp para informar el diagnóstico?</t>
        </is>
      </c>
      <c r="D197" s="25" t="inlineStr">
        <is>
          <t>YN</t>
        </is>
      </c>
      <c r="E197" s="26">
        <f>IF(OR(A197="",B197=""),"",A197&amp;"|"&amp;B197)</f>
        <v/>
      </c>
      <c r="F197" s="26">
        <f>IF(OR(E197="",C197=""),"",E197&amp;"|"&amp;C197)</f>
        <v/>
      </c>
    </row>
    <row r="198">
      <c r="A198" s="23" t="inlineStr">
        <is>
          <t>Celular</t>
        </is>
      </c>
      <c r="B198" s="24" t="inlineStr">
        <is>
          <t>Autorizaciones</t>
        </is>
      </c>
      <c r="C198" s="24" t="inlineStr">
        <is>
          <t>¿El cliente autoriza el envío de fotos del equipo?</t>
        </is>
      </c>
      <c r="D198" s="25" t="inlineStr">
        <is>
          <t>YN</t>
        </is>
      </c>
      <c r="E198" s="26">
        <f>IF(OR(A198="",B198=""),"",A198&amp;"|"&amp;B198)</f>
        <v/>
      </c>
      <c r="F198" s="26">
        <f>IF(OR(E198="",C198=""),"",E198&amp;"|"&amp;C198)</f>
        <v/>
      </c>
    </row>
    <row r="199">
      <c r="A199" s="23" t="inlineStr">
        <is>
          <t>Celular</t>
        </is>
      </c>
      <c r="B199" s="24" t="inlineStr">
        <is>
          <t>Autorizaciones</t>
        </is>
      </c>
      <c r="C199" s="24" t="inlineStr">
        <is>
          <t>¿Se le informó al cliente si el diagnóstico tiene costo?</t>
        </is>
      </c>
      <c r="D199" s="25" t="inlineStr">
        <is>
          <t>YN</t>
        </is>
      </c>
      <c r="E199" s="26">
        <f>IF(OR(A199="",B199=""),"",A199&amp;"|"&amp;B199)</f>
        <v/>
      </c>
      <c r="F199" s="26">
        <f>IF(OR(E199="",C199=""),"",E199&amp;"|"&amp;C199)</f>
        <v/>
      </c>
    </row>
    <row r="200">
      <c r="A200" s="23" t="inlineStr">
        <is>
          <t>Celular</t>
        </is>
      </c>
      <c r="B200" s="24" t="inlineStr">
        <is>
          <t>Autorizaciones</t>
        </is>
      </c>
      <c r="C200" s="24" t="inlineStr">
        <is>
          <t>¿Se le entregó copia de la orden de recepción?</t>
        </is>
      </c>
      <c r="D200" s="25" t="inlineStr">
        <is>
          <t>YN</t>
        </is>
      </c>
      <c r="E200" s="26">
        <f>IF(OR(A200="",B200=""),"",A200&amp;"|"&amp;B200)</f>
        <v/>
      </c>
      <c r="F200" s="26">
        <f>IF(OR(E200="",C200=""),"",E200&amp;"|"&amp;C200)</f>
        <v/>
      </c>
    </row>
    <row r="201">
      <c r="A201" s="23" t="inlineStr">
        <is>
          <t>Celular</t>
        </is>
      </c>
      <c r="B201" s="24" t="inlineStr">
        <is>
          <t>Autorizaciones</t>
        </is>
      </c>
      <c r="C201" s="24" t="inlineStr">
        <is>
          <t>¿El cliente autoriza el diagnóstico técnico del equipo?</t>
        </is>
      </c>
      <c r="D201" s="25" t="inlineStr">
        <is>
          <t>YN</t>
        </is>
      </c>
      <c r="E201" s="26">
        <f>IF(OR(A201="",B201=""),"",A201&amp;"|"&amp;B201)</f>
        <v/>
      </c>
      <c r="F201" s="26">
        <f>IF(OR(E201="",C201=""),"",E201&amp;"|"&amp;C201)</f>
        <v/>
      </c>
    </row>
    <row r="202">
      <c r="A202" s="23" t="inlineStr">
        <is>
          <t>Celular</t>
        </is>
      </c>
      <c r="B202" s="24" t="inlineStr">
        <is>
          <t>Autorizaciones</t>
        </is>
      </c>
      <c r="C202" s="24" t="inlineStr">
        <is>
          <t>¿El cliente declara haber informado golpes, líquidos, reparaciones anteriores y fallas conocidas?</t>
        </is>
      </c>
      <c r="D202" s="25" t="inlineStr">
        <is>
          <t>YN</t>
        </is>
      </c>
      <c r="E202" s="26">
        <f>IF(OR(A202="",B202=""),"",A202&amp;"|"&amp;B202)</f>
        <v/>
      </c>
      <c r="F202" s="26">
        <f>IF(OR(E202="",C202=""),"",E202&amp;"|"&amp;C202)</f>
        <v/>
      </c>
    </row>
    <row r="203">
      <c r="A203" s="23" t="inlineStr">
        <is>
          <t>Celular</t>
        </is>
      </c>
      <c r="B203" s="24" t="inlineStr">
        <is>
          <t>Autorizaciones</t>
        </is>
      </c>
      <c r="C203" s="24" t="inlineStr">
        <is>
          <t>¿El cliente entiende que RCP no responde por información sin respaldo cuando se intervenga almacenamiento o sistema operativo?</t>
        </is>
      </c>
      <c r="D203" s="25" t="inlineStr">
        <is>
          <t>YN</t>
        </is>
      </c>
      <c r="E203" s="26">
        <f>IF(OR(A203="",B203=""),"",A203&amp;"|"&amp;B203)</f>
        <v/>
      </c>
      <c r="F203" s="26">
        <f>IF(OR(E203="",C203=""),"",E203&amp;"|"&amp;C203)</f>
        <v/>
      </c>
    </row>
    <row r="204">
      <c r="A204" s="23" t="inlineStr">
        <is>
          <t>Celular</t>
        </is>
      </c>
      <c r="B204" s="24" t="inlineStr">
        <is>
          <t>Autorizaciones</t>
        </is>
      </c>
      <c r="C204" s="24" t="inlineStr">
        <is>
          <t>¿El cliente autoriza las pruebas funcionales necesarias para comprobar la reparación?</t>
        </is>
      </c>
      <c r="D204" s="25" t="inlineStr">
        <is>
          <t>YN</t>
        </is>
      </c>
      <c r="E204" s="26">
        <f>IF(OR(A204="",B204=""),"",A204&amp;"|"&amp;B204)</f>
        <v/>
      </c>
      <c r="F204" s="26">
        <f>IF(OR(E204="",C204=""),"",E204&amp;"|"&amp;C204)</f>
        <v/>
      </c>
    </row>
    <row r="205">
      <c r="A205" s="23" t="inlineStr">
        <is>
          <t>Celular</t>
        </is>
      </c>
      <c r="B205" s="24" t="inlineStr">
        <is>
          <t>Autorizaciones</t>
        </is>
      </c>
      <c r="C205" s="24" t="inlineStr">
        <is>
          <t>¿Cómo se maneja la contraseña / PIN para las pruebas?</t>
        </is>
      </c>
      <c r="D205" s="25" t="inlineStr">
        <is>
          <t>PIN</t>
        </is>
      </c>
      <c r="E205" s="26">
        <f>IF(OR(A205="",B205=""),"",A205&amp;"|"&amp;B205)</f>
        <v/>
      </c>
      <c r="F205" s="26">
        <f>IF(OR(E205="",C205=""),"",E205&amp;"|"&amp;C205)</f>
        <v/>
      </c>
    </row>
    <row r="206">
      <c r="A206" s="23" t="inlineStr">
        <is>
          <t>Celular</t>
        </is>
      </c>
      <c r="B206" s="24" t="inlineStr">
        <is>
          <t>Autorizaciones</t>
        </is>
      </c>
      <c r="C206" s="24" t="inlineStr">
        <is>
          <t>¿El cliente firmó la orden de recepción?</t>
        </is>
      </c>
      <c r="D206" s="25" t="inlineStr">
        <is>
          <t>YN</t>
        </is>
      </c>
      <c r="E206" s="26">
        <f>IF(OR(A206="",B206=""),"",A206&amp;"|"&amp;B206)</f>
        <v/>
      </c>
      <c r="F206" s="26">
        <f>IF(OR(E206="",C206=""),"",E206&amp;"|"&amp;C206)</f>
        <v/>
      </c>
    </row>
    <row r="207">
      <c r="A207" s="23" t="inlineStr">
        <is>
          <t>Celular</t>
        </is>
      </c>
      <c r="B207" s="24" t="inlineStr">
        <is>
          <t>Autorizaciones</t>
        </is>
      </c>
      <c r="C207" s="24" t="inlineStr">
        <is>
          <t>Contraseña / PIN (escríbalo solo si el cliente lo proporciona)</t>
        </is>
      </c>
      <c r="D207" s="25" t="inlineStr">
        <is>
          <t>TXT</t>
        </is>
      </c>
      <c r="E207" s="26">
        <f>IF(OR(A207="",B207=""),"",A207&amp;"|"&amp;B207)</f>
        <v/>
      </c>
      <c r="F207" s="26">
        <f>IF(OR(E207="",C207=""),"",E207&amp;"|"&amp;C207)</f>
        <v/>
      </c>
    </row>
    <row r="208">
      <c r="A208" s="23" t="inlineStr">
        <is>
          <t>Reloj</t>
        </is>
      </c>
      <c r="B208" s="24" t="inlineStr">
        <is>
          <t>Datos generales</t>
        </is>
      </c>
      <c r="C208" s="24" t="inlineStr">
        <is>
          <t>¿Cuál es la falla principal que presenta el equipo?</t>
        </is>
      </c>
      <c r="D208" s="25" t="inlineStr">
        <is>
          <t>FALLAP</t>
        </is>
      </c>
      <c r="E208" s="26">
        <f>IF(OR(A208="",B208=""),"",A208&amp;"|"&amp;B208)</f>
        <v/>
      </c>
      <c r="F208" s="26">
        <f>IF(OR(E208="",C208=""),"",E208&amp;"|"&amp;C208)</f>
        <v/>
      </c>
    </row>
    <row r="209">
      <c r="A209" s="23" t="inlineStr">
        <is>
          <t>Reloj</t>
        </is>
      </c>
      <c r="B209" s="24" t="inlineStr">
        <is>
          <t>Datos generales</t>
        </is>
      </c>
      <c r="C209" s="24" t="inlineStr">
        <is>
          <t>¿Desde cuándo presenta la falla?</t>
        </is>
      </c>
      <c r="D209" s="25" t="inlineStr">
        <is>
          <t>DESDE</t>
        </is>
      </c>
      <c r="E209" s="26">
        <f>IF(OR(A209="",B209=""),"",A209&amp;"|"&amp;B209)</f>
        <v/>
      </c>
      <c r="F209" s="26">
        <f>IF(OR(E209="",C209=""),"",E209&amp;"|"&amp;C209)</f>
        <v/>
      </c>
    </row>
    <row r="210">
      <c r="A210" s="23" t="inlineStr">
        <is>
          <t>Reloj</t>
        </is>
      </c>
      <c r="B210" s="24" t="inlineStr">
        <is>
          <t>Datos generales</t>
        </is>
      </c>
      <c r="C210" s="24" t="inlineStr">
        <is>
          <t>¿La falla es permanente o sucede algunas veces?</t>
        </is>
      </c>
      <c r="D210" s="25" t="inlineStr">
        <is>
          <t>PERM</t>
        </is>
      </c>
      <c r="E210" s="26">
        <f>IF(OR(A210="",B210=""),"",A210&amp;"|"&amp;B210)</f>
        <v/>
      </c>
      <c r="F210" s="26">
        <f>IF(OR(E210="",C210=""),"",E210&amp;"|"&amp;C210)</f>
        <v/>
      </c>
    </row>
    <row r="211">
      <c r="A211" s="23" t="inlineStr">
        <is>
          <t>Reloj</t>
        </is>
      </c>
      <c r="B211" s="24" t="inlineStr">
        <is>
          <t>Datos generales</t>
        </is>
      </c>
      <c r="C211" s="24" t="inlineStr">
        <is>
          <t>¿Sufrió algún golpe o caída recientemente?</t>
        </is>
      </c>
      <c r="D211" s="25" t="inlineStr">
        <is>
          <t>YNS</t>
        </is>
      </c>
      <c r="E211" s="26">
        <f>IF(OR(A211="",B211=""),"",A211&amp;"|"&amp;B211)</f>
        <v/>
      </c>
      <c r="F211" s="26">
        <f>IF(OR(E211="",C211=""),"",E211&amp;"|"&amp;C211)</f>
        <v/>
      </c>
    </row>
    <row r="212">
      <c r="A212" s="23" t="inlineStr">
        <is>
          <t>Reloj</t>
        </is>
      </c>
      <c r="B212" s="24" t="inlineStr">
        <is>
          <t>Datos generales</t>
        </is>
      </c>
      <c r="C212" s="24" t="inlineStr">
        <is>
          <t>¿Ha tenido contacto con agua, humedad o algún líquido?</t>
        </is>
      </c>
      <c r="D212" s="25" t="inlineStr">
        <is>
          <t>YNS</t>
        </is>
      </c>
      <c r="E212" s="26">
        <f>IF(OR(A212="",B212=""),"",A212&amp;"|"&amp;B212)</f>
        <v/>
      </c>
      <c r="F212" s="26">
        <f>IF(OR(E212="",C212=""),"",E212&amp;"|"&amp;C212)</f>
        <v/>
      </c>
    </row>
    <row r="213">
      <c r="A213" s="23" t="inlineStr">
        <is>
          <t>Reloj</t>
        </is>
      </c>
      <c r="B213" s="24" t="inlineStr">
        <is>
          <t>Datos generales</t>
        </is>
      </c>
      <c r="C213" s="24" t="inlineStr">
        <is>
          <t>¿Ha sido abierto o reparado anteriormente?</t>
        </is>
      </c>
      <c r="D213" s="25" t="inlineStr">
        <is>
          <t>YNS</t>
        </is>
      </c>
      <c r="E213" s="26">
        <f>IF(OR(A213="",B213=""),"",A213&amp;"|"&amp;B213)</f>
        <v/>
      </c>
      <c r="F213" s="26">
        <f>IF(OR(E213="",C213=""),"",E213&amp;"|"&amp;C213)</f>
        <v/>
      </c>
    </row>
    <row r="214">
      <c r="A214" s="23" t="inlineStr">
        <is>
          <t>Reloj</t>
        </is>
      </c>
      <c r="B214" s="24" t="inlineStr">
        <is>
          <t>Datos generales</t>
        </is>
      </c>
      <c r="C214" s="24" t="inlineStr">
        <is>
          <t>¿Enciende actualmente?</t>
        </is>
      </c>
      <c r="D214" s="25" t="inlineStr">
        <is>
          <t>ENC</t>
        </is>
      </c>
      <c r="E214" s="26">
        <f>IF(OR(A214="",B214=""),"",A214&amp;"|"&amp;B214)</f>
        <v/>
      </c>
      <c r="F214" s="26">
        <f>IF(OR(E214="",C214=""),"",E214&amp;"|"&amp;C214)</f>
        <v/>
      </c>
    </row>
    <row r="215">
      <c r="A215" s="23" t="inlineStr">
        <is>
          <t>Reloj</t>
        </is>
      </c>
      <c r="B215" s="24" t="inlineStr">
        <is>
          <t>Datos generales</t>
        </is>
      </c>
      <c r="C215" s="24" t="inlineStr">
        <is>
          <t>¿El equipo se reinicia o se apaga solo?</t>
        </is>
      </c>
      <c r="D215" s="25" t="inlineStr">
        <is>
          <t>YNS</t>
        </is>
      </c>
      <c r="E215" s="26">
        <f>IF(OR(A215="",B215=""),"",A215&amp;"|"&amp;B215)</f>
        <v/>
      </c>
      <c r="F215" s="26">
        <f>IF(OR(E215="",C215=""),"",E215&amp;"|"&amp;C215)</f>
        <v/>
      </c>
    </row>
    <row r="216">
      <c r="A216" s="23" t="inlineStr">
        <is>
          <t>Reloj</t>
        </is>
      </c>
      <c r="B216" s="24" t="inlineStr">
        <is>
          <t>Datos generales</t>
        </is>
      </c>
      <c r="C216" s="24" t="inlineStr">
        <is>
          <t>¿Tiene información importante que no puede perder?</t>
        </is>
      </c>
      <c r="D216" s="25" t="inlineStr">
        <is>
          <t>YNS</t>
        </is>
      </c>
      <c r="E216" s="26">
        <f>IF(OR(A216="",B216=""),"",A216&amp;"|"&amp;B216)</f>
        <v/>
      </c>
      <c r="F216" s="26">
        <f>IF(OR(E216="",C216=""),"",E216&amp;"|"&amp;C216)</f>
        <v/>
      </c>
    </row>
    <row r="217">
      <c r="A217" s="23" t="inlineStr">
        <is>
          <t>Reloj</t>
        </is>
      </c>
      <c r="B217" s="24" t="inlineStr">
        <is>
          <t>Datos generales</t>
        </is>
      </c>
      <c r="C217" s="24" t="inlineStr">
        <is>
          <t>¿Tiene respaldo reciente de su información?</t>
        </is>
      </c>
      <c r="D217" s="25" t="inlineStr">
        <is>
          <t>YNS</t>
        </is>
      </c>
      <c r="E217" s="26">
        <f>IF(OR(A217="",B217=""),"",A217&amp;"|"&amp;B217)</f>
        <v/>
      </c>
      <c r="F217" s="26">
        <f>IF(OR(E217="",C217=""),"",E217&amp;"|"&amp;C217)</f>
        <v/>
      </c>
    </row>
    <row r="218">
      <c r="A218" s="23" t="inlineStr">
        <is>
          <t>Reloj</t>
        </is>
      </c>
      <c r="B218" s="24" t="inlineStr">
        <is>
          <t>Datos generales</t>
        </is>
      </c>
      <c r="C218" s="24" t="inlineStr">
        <is>
          <t>¿Hay alguna otra falla o condición que debamos conocer?</t>
        </is>
      </c>
      <c r="D218" s="25" t="inlineStr">
        <is>
          <t>OTRAF</t>
        </is>
      </c>
      <c r="E218" s="26">
        <f>IF(OR(A218="",B218=""),"",A218&amp;"|"&amp;B218)</f>
        <v/>
      </c>
      <c r="F218" s="26">
        <f>IF(OR(E218="",C218=""),"",E218&amp;"|"&amp;C218)</f>
        <v/>
      </c>
    </row>
    <row r="219">
      <c r="A219" s="23" t="inlineStr">
        <is>
          <t>Reloj</t>
        </is>
      </c>
      <c r="B219" s="24" t="inlineStr">
        <is>
          <t>Datos generales</t>
        </is>
      </c>
      <c r="C219" s="24" t="inlineStr">
        <is>
          <t>¿Es la primera vez que presenta esta falla?</t>
        </is>
      </c>
      <c r="D219" s="25" t="inlineStr">
        <is>
          <t>YNS</t>
        </is>
      </c>
      <c r="E219" s="26">
        <f>IF(OR(A219="",B219=""),"",A219&amp;"|"&amp;B219)</f>
        <v/>
      </c>
      <c r="F219" s="26">
        <f>IF(OR(E219="",C219=""),"",E219&amp;"|"&amp;C219)</f>
        <v/>
      </c>
    </row>
    <row r="220">
      <c r="A220" s="23" t="inlineStr">
        <is>
          <t>Reloj</t>
        </is>
      </c>
      <c r="B220" s="24" t="inlineStr">
        <is>
          <t>Datos generales</t>
        </is>
      </c>
      <c r="C220" s="24" t="inlineStr">
        <is>
          <t>¿Qué antigüedad tiene el equipo?</t>
        </is>
      </c>
      <c r="D220" s="25" t="inlineStr">
        <is>
          <t>ANTIG</t>
        </is>
      </c>
      <c r="E220" s="26">
        <f>IF(OR(A220="",B220=""),"",A220&amp;"|"&amp;B220)</f>
        <v/>
      </c>
      <c r="F220" s="26">
        <f>IF(OR(E220="",C220=""),"",E220&amp;"|"&amp;C220)</f>
        <v/>
      </c>
    </row>
    <row r="221">
      <c r="A221" s="23" t="inlineStr">
        <is>
          <t>Reloj</t>
        </is>
      </c>
      <c r="B221" s="24" t="inlineStr">
        <is>
          <t>Datos generales</t>
        </is>
      </c>
      <c r="C221" s="24" t="inlineStr">
        <is>
          <t>¿El equipo está en garantía?</t>
        </is>
      </c>
      <c r="D221" s="25" t="inlineStr">
        <is>
          <t>YNS</t>
        </is>
      </c>
      <c r="E221" s="26">
        <f>IF(OR(A221="",B221=""),"",A221&amp;"|"&amp;B221)</f>
        <v/>
      </c>
      <c r="F221" s="26">
        <f>IF(OR(E221="",C221=""),"",E221&amp;"|"&amp;C221)</f>
        <v/>
      </c>
    </row>
    <row r="222">
      <c r="A222" s="23" t="inlineStr">
        <is>
          <t>Reloj</t>
        </is>
      </c>
      <c r="B222" s="24" t="inlineStr">
        <is>
          <t>Datos generales</t>
        </is>
      </c>
      <c r="C222" s="24" t="inlineStr">
        <is>
          <t>¿Para qué usa principalmente el equipo?</t>
        </is>
      </c>
      <c r="D222" s="25" t="inlineStr">
        <is>
          <t>USO</t>
        </is>
      </c>
      <c r="E222" s="26">
        <f>IF(OR(A222="",B222=""),"",A222&amp;"|"&amp;B222)</f>
        <v/>
      </c>
      <c r="F222" s="26">
        <f>IF(OR(E222="",C222=""),"",E222&amp;"|"&amp;C222)</f>
        <v/>
      </c>
    </row>
    <row r="223">
      <c r="A223" s="23" t="inlineStr">
        <is>
          <t>Reloj</t>
        </is>
      </c>
      <c r="B223" s="24" t="inlineStr">
        <is>
          <t>Datos generales</t>
        </is>
      </c>
      <c r="C223" s="24" t="inlineStr">
        <is>
          <t>¿Qué tan urgente es tener el equipo de vuelta?</t>
        </is>
      </c>
      <c r="D223" s="25" t="inlineStr">
        <is>
          <t>URG</t>
        </is>
      </c>
      <c r="E223" s="26">
        <f>IF(OR(A223="",B223=""),"",A223&amp;"|"&amp;B223)</f>
        <v/>
      </c>
      <c r="F223" s="26">
        <f>IF(OR(E223="",C223=""),"",E223&amp;"|"&amp;C223)</f>
        <v/>
      </c>
    </row>
    <row r="224">
      <c r="A224" s="23" t="inlineStr">
        <is>
          <t>Reloj</t>
        </is>
      </c>
      <c r="B224" s="24" t="inlineStr">
        <is>
          <t>Datos generales</t>
        </is>
      </c>
      <c r="C224" s="24" t="inlineStr">
        <is>
          <t>¿Por qué medio prefiere que le avisemos?</t>
        </is>
      </c>
      <c r="D224" s="25" t="inlineStr">
        <is>
          <t>CONT</t>
        </is>
      </c>
      <c r="E224" s="26">
        <f>IF(OR(A224="",B224=""),"",A224&amp;"|"&amp;B224)</f>
        <v/>
      </c>
      <c r="F224" s="26">
        <f>IF(OR(E224="",C224=""),"",E224&amp;"|"&amp;C224)</f>
        <v/>
      </c>
    </row>
    <row r="225">
      <c r="A225" s="23" t="inlineStr">
        <is>
          <t>Reloj</t>
        </is>
      </c>
      <c r="B225" s="24" t="inlineStr">
        <is>
          <t>Datos generales</t>
        </is>
      </c>
      <c r="C225" s="24" t="inlineStr">
        <is>
          <t>¿Desea que se le informe el costo antes de reparar?</t>
        </is>
      </c>
      <c r="D225" s="25" t="inlineStr">
        <is>
          <t>YNS</t>
        </is>
      </c>
      <c r="E225" s="26">
        <f>IF(OR(A225="",B225=""),"",A225&amp;"|"&amp;B225)</f>
        <v/>
      </c>
      <c r="F225" s="26">
        <f>IF(OR(E225="",C225=""),"",E225&amp;"|"&amp;C225)</f>
        <v/>
      </c>
    </row>
    <row r="226">
      <c r="A226" s="23" t="inlineStr">
        <is>
          <t>Reloj</t>
        </is>
      </c>
      <c r="B226" s="24" t="inlineStr">
        <is>
          <t>Datos generales</t>
        </is>
      </c>
      <c r="C226" s="24" t="inlineStr">
        <is>
          <t>¿Acepta una reparación con repuesto no original si el original no está disponible?</t>
        </is>
      </c>
      <c r="D226" s="25" t="inlineStr">
        <is>
          <t>YNS</t>
        </is>
      </c>
      <c r="E226" s="26">
        <f>IF(OR(A226="",B226=""),"",A226&amp;"|"&amp;B226)</f>
        <v/>
      </c>
      <c r="F226" s="26">
        <f>IF(OR(E226="",C226=""),"",E226&amp;"|"&amp;C226)</f>
        <v/>
      </c>
    </row>
    <row r="227">
      <c r="A227" s="23" t="inlineStr">
        <is>
          <t>Reloj</t>
        </is>
      </c>
      <c r="B227" s="24" t="inlineStr">
        <is>
          <t>No enciende</t>
        </is>
      </c>
      <c r="C227" s="24" t="inlineStr">
        <is>
          <t>¿Cuándo fue la última vez que encendió normalmente?</t>
        </is>
      </c>
      <c r="D227" s="25" t="inlineStr">
        <is>
          <t>CUANDO</t>
        </is>
      </c>
      <c r="E227" s="26">
        <f>IF(OR(A227="",B227=""),"",A227&amp;"|"&amp;B227)</f>
        <v/>
      </c>
      <c r="F227" s="26">
        <f>IF(OR(E227="",C227=""),"",E227&amp;"|"&amp;C227)</f>
        <v/>
      </c>
    </row>
    <row r="228">
      <c r="A228" s="23" t="inlineStr">
        <is>
          <t>Reloj</t>
        </is>
      </c>
      <c r="B228" s="24" t="inlineStr">
        <is>
          <t>No enciende</t>
        </is>
      </c>
      <c r="C228" s="24" t="inlineStr">
        <is>
          <t>¿Se apagó mientras lo estaba utilizando?</t>
        </is>
      </c>
      <c r="D228" s="25" t="inlineStr">
        <is>
          <t>YNS</t>
        </is>
      </c>
      <c r="E228" s="26">
        <f>IF(OR(A228="",B228=""),"",A228&amp;"|"&amp;B228)</f>
        <v/>
      </c>
      <c r="F228" s="26">
        <f>IF(OR(E228="",C228=""),"",E228&amp;"|"&amp;C228)</f>
        <v/>
      </c>
    </row>
    <row r="229">
      <c r="A229" s="23" t="inlineStr">
        <is>
          <t>Reloj</t>
        </is>
      </c>
      <c r="B229" s="24" t="inlineStr">
        <is>
          <t>No enciende</t>
        </is>
      </c>
      <c r="C229" s="24" t="inlineStr">
        <is>
          <t>¿Ocurrió después de una caída, líquido o sobrecalentamiento?</t>
        </is>
      </c>
      <c r="D229" s="25" t="inlineStr">
        <is>
          <t>YNS</t>
        </is>
      </c>
      <c r="E229" s="26">
        <f>IF(OR(A229="",B229=""),"",A229&amp;"|"&amp;B229)</f>
        <v/>
      </c>
      <c r="F229" s="26">
        <f>IF(OR(E229="",C229=""),"",E229&amp;"|"&amp;C229)</f>
        <v/>
      </c>
    </row>
    <row r="230">
      <c r="A230" s="23" t="inlineStr">
        <is>
          <t>Reloj</t>
        </is>
      </c>
      <c r="B230" s="24" t="inlineStr">
        <is>
          <t>No enciende</t>
        </is>
      </c>
      <c r="C230" s="24" t="inlineStr">
        <is>
          <t>¿Muestra alguna luz, vibración, sonido o señal de vida?</t>
        </is>
      </c>
      <c r="D230" s="25" t="inlineStr">
        <is>
          <t>SENAL</t>
        </is>
      </c>
      <c r="E230" s="26">
        <f>IF(OR(A230="",B230=""),"",A230&amp;"|"&amp;B230)</f>
        <v/>
      </c>
      <c r="F230" s="26">
        <f>IF(OR(E230="",C230=""),"",E230&amp;"|"&amp;C230)</f>
        <v/>
      </c>
    </row>
    <row r="231">
      <c r="A231" s="23" t="inlineStr">
        <is>
          <t>Reloj</t>
        </is>
      </c>
      <c r="B231" s="24" t="inlineStr">
        <is>
          <t>No enciende</t>
        </is>
      </c>
      <c r="C231" s="24" t="inlineStr">
        <is>
          <t>¿Ha intentado cargarlo con otro cargador o cable?</t>
        </is>
      </c>
      <c r="D231" s="25" t="inlineStr">
        <is>
          <t>YNS</t>
        </is>
      </c>
      <c r="E231" s="26">
        <f>IF(OR(A231="",B231=""),"",A231&amp;"|"&amp;B231)</f>
        <v/>
      </c>
      <c r="F231" s="26">
        <f>IF(OR(E231="",C231=""),"",E231&amp;"|"&amp;C231)</f>
        <v/>
      </c>
    </row>
    <row r="232">
      <c r="A232" s="23" t="inlineStr">
        <is>
          <t>Reloj</t>
        </is>
      </c>
      <c r="B232" s="24" t="inlineStr">
        <is>
          <t>No enciende</t>
        </is>
      </c>
      <c r="C232" s="24" t="inlineStr">
        <is>
          <t>¿Reacciona al colocarlo en su base de carga?</t>
        </is>
      </c>
      <c r="D232" s="25" t="inlineStr">
        <is>
          <t>YNS</t>
        </is>
      </c>
      <c r="E232" s="26">
        <f>IF(OR(A232="",B232=""),"",A232&amp;"|"&amp;B232)</f>
        <v/>
      </c>
      <c r="F232" s="26">
        <f>IF(OR(E232="",C232=""),"",E232&amp;"|"&amp;C232)</f>
        <v/>
      </c>
    </row>
    <row r="233">
      <c r="A233" s="23" t="inlineStr">
        <is>
          <t>Reloj</t>
        </is>
      </c>
      <c r="B233" s="24" t="inlineStr">
        <is>
          <t>No enciende</t>
        </is>
      </c>
      <c r="C233" s="24" t="inlineStr">
        <is>
          <t>¿Alguien intentó repararlo después de que dejó de encender?</t>
        </is>
      </c>
      <c r="D233" s="25" t="inlineStr">
        <is>
          <t>YNS</t>
        </is>
      </c>
      <c r="E233" s="26">
        <f>IF(OR(A233="",B233=""),"",A233&amp;"|"&amp;B233)</f>
        <v/>
      </c>
      <c r="F233" s="26">
        <f>IF(OR(E233="",C233=""),"",E233&amp;"|"&amp;C233)</f>
        <v/>
      </c>
    </row>
    <row r="234">
      <c r="A234" s="23" t="inlineStr">
        <is>
          <t>Reloj</t>
        </is>
      </c>
      <c r="B234" s="24" t="inlineStr">
        <is>
          <t>No enciende</t>
        </is>
      </c>
      <c r="C234" s="24" t="inlineStr">
        <is>
          <t>¿Se calentó mucho antes de dejar de encender?</t>
        </is>
      </c>
      <c r="D234" s="25" t="inlineStr">
        <is>
          <t>YNS</t>
        </is>
      </c>
      <c r="E234" s="26">
        <f>IF(OR(A234="",B234=""),"",A234&amp;"|"&amp;B234)</f>
        <v/>
      </c>
      <c r="F234" s="26">
        <f>IF(OR(E234="",C234=""),"",E234&amp;"|"&amp;C234)</f>
        <v/>
      </c>
    </row>
    <row r="235">
      <c r="A235" s="23" t="inlineStr">
        <is>
          <t>Reloj</t>
        </is>
      </c>
      <c r="B235" s="24" t="inlineStr">
        <is>
          <t>No enciende</t>
        </is>
      </c>
      <c r="C235" s="24" t="inlineStr">
        <is>
          <t>¿Huele a quemado?</t>
        </is>
      </c>
      <c r="D235" s="25" t="inlineStr">
        <is>
          <t>YNS</t>
        </is>
      </c>
      <c r="E235" s="26">
        <f>IF(OR(A235="",B235=""),"",A235&amp;"|"&amp;B235)</f>
        <v/>
      </c>
      <c r="F235" s="26">
        <f>IF(OR(E235="",C235=""),"",E235&amp;"|"&amp;C235)</f>
        <v/>
      </c>
    </row>
    <row r="236">
      <c r="A236" s="23" t="inlineStr">
        <is>
          <t>Reloj</t>
        </is>
      </c>
      <c r="B236" s="24" t="inlineStr">
        <is>
          <t>No enciende</t>
        </is>
      </c>
      <c r="C236" s="24" t="inlineStr">
        <is>
          <t>¿Se enciende la luz de carga del cargador o del equipo?</t>
        </is>
      </c>
      <c r="D236" s="25" t="inlineStr">
        <is>
          <t>YNS</t>
        </is>
      </c>
      <c r="E236" s="26">
        <f>IF(OR(A236="",B236=""),"",A236&amp;"|"&amp;B236)</f>
        <v/>
      </c>
      <c r="F236" s="26">
        <f>IF(OR(E236="",C236=""),"",E236&amp;"|"&amp;C236)</f>
        <v/>
      </c>
    </row>
    <row r="237">
      <c r="A237" s="23" t="inlineStr">
        <is>
          <t>Reloj</t>
        </is>
      </c>
      <c r="B237" s="24" t="inlineStr">
        <is>
          <t>Batería / No carga</t>
        </is>
      </c>
      <c r="C237" s="24" t="inlineStr">
        <is>
          <t>¿Carga de manera intermitente?</t>
        </is>
      </c>
      <c r="D237" s="25" t="inlineStr">
        <is>
          <t>YNS</t>
        </is>
      </c>
      <c r="E237" s="26">
        <f>IF(OR(A237="",B237=""),"",A237&amp;"|"&amp;B237)</f>
        <v/>
      </c>
      <c r="F237" s="26">
        <f>IF(OR(E237="",C237=""),"",E237&amp;"|"&amp;C237)</f>
        <v/>
      </c>
    </row>
    <row r="238">
      <c r="A238" s="23" t="inlineStr">
        <is>
          <t>Reloj</t>
        </is>
      </c>
      <c r="B238" s="24" t="inlineStr">
        <is>
          <t>Batería / No carga</t>
        </is>
      </c>
      <c r="C238" s="24" t="inlineStr">
        <is>
          <t>¿Se descarga rápidamente?</t>
        </is>
      </c>
      <c r="D238" s="25" t="inlineStr">
        <is>
          <t>YNS</t>
        </is>
      </c>
      <c r="E238" s="26">
        <f>IF(OR(A238="",B238=""),"",A238&amp;"|"&amp;B238)</f>
        <v/>
      </c>
      <c r="F238" s="26">
        <f>IF(OR(E238="",C238=""),"",E238&amp;"|"&amp;C238)</f>
        <v/>
      </c>
    </row>
    <row r="239">
      <c r="A239" s="23" t="inlineStr">
        <is>
          <t>Reloj</t>
        </is>
      </c>
      <c r="B239" s="24" t="inlineStr">
        <is>
          <t>Batería / No carga</t>
        </is>
      </c>
      <c r="C239" s="24" t="inlineStr">
        <is>
          <t>¿Se apaga aunque indique que todavía tiene batería?</t>
        </is>
      </c>
      <c r="D239" s="25" t="inlineStr">
        <is>
          <t>YNS</t>
        </is>
      </c>
      <c r="E239" s="26">
        <f>IF(OR(A239="",B239=""),"",A239&amp;"|"&amp;B239)</f>
        <v/>
      </c>
      <c r="F239" s="26">
        <f>IF(OR(E239="",C239=""),"",E239&amp;"|"&amp;C239)</f>
        <v/>
      </c>
    </row>
    <row r="240">
      <c r="A240" s="23" t="inlineStr">
        <is>
          <t>Reloj</t>
        </is>
      </c>
      <c r="B240" s="24" t="inlineStr">
        <is>
          <t>Batería / No carga</t>
        </is>
      </c>
      <c r="C240" s="24" t="inlineStr">
        <is>
          <t>¿La batería está inflada o ha deformado el equipo?</t>
        </is>
      </c>
      <c r="D240" s="25" t="inlineStr">
        <is>
          <t>YNS</t>
        </is>
      </c>
      <c r="E240" s="26">
        <f>IF(OR(A240="",B240=""),"",A240&amp;"|"&amp;B240)</f>
        <v/>
      </c>
      <c r="F240" s="26">
        <f>IF(OR(E240="",C240=""),"",E240&amp;"|"&amp;C240)</f>
        <v/>
      </c>
    </row>
    <row r="241">
      <c r="A241" s="23" t="inlineStr">
        <is>
          <t>Reloj</t>
        </is>
      </c>
      <c r="B241" s="24" t="inlineStr">
        <is>
          <t>Batería / No carga</t>
        </is>
      </c>
      <c r="C241" s="24" t="inlineStr">
        <is>
          <t>¿Utiliza cargador original?</t>
        </is>
      </c>
      <c r="D241" s="25" t="inlineStr">
        <is>
          <t>YNS</t>
        </is>
      </c>
      <c r="E241" s="26">
        <f>IF(OR(A241="",B241=""),"",A241&amp;"|"&amp;B241)</f>
        <v/>
      </c>
      <c r="F241" s="26">
        <f>IF(OR(E241="",C241=""),"",E241&amp;"|"&amp;C241)</f>
        <v/>
      </c>
    </row>
    <row r="242">
      <c r="A242" s="23" t="inlineStr">
        <is>
          <t>Reloj</t>
        </is>
      </c>
      <c r="B242" s="24" t="inlineStr">
        <is>
          <t>Batería / No carga</t>
        </is>
      </c>
      <c r="C242" s="24" t="inlineStr">
        <is>
          <t>¿Ha probado otro cargador?</t>
        </is>
      </c>
      <c r="D242" s="25" t="inlineStr">
        <is>
          <t>YNS</t>
        </is>
      </c>
      <c r="E242" s="26">
        <f>IF(OR(A242="",B242=""),"",A242&amp;"|"&amp;B242)</f>
        <v/>
      </c>
      <c r="F242" s="26">
        <f>IF(OR(E242="",C242=""),"",E242&amp;"|"&amp;C242)</f>
        <v/>
      </c>
    </row>
    <row r="243">
      <c r="A243" s="23" t="inlineStr">
        <is>
          <t>Reloj</t>
        </is>
      </c>
      <c r="B243" s="24" t="inlineStr">
        <is>
          <t>Batería / No carga</t>
        </is>
      </c>
      <c r="C243" s="24" t="inlineStr">
        <is>
          <t>¿La base de carga está limpia y sin daños?</t>
        </is>
      </c>
      <c r="D243" s="25" t="inlineStr">
        <is>
          <t>YNS</t>
        </is>
      </c>
      <c r="E243" s="26">
        <f>IF(OR(A243="",B243=""),"",A243&amp;"|"&amp;B243)</f>
        <v/>
      </c>
      <c r="F243" s="26">
        <f>IF(OR(E243="",C243=""),"",E243&amp;"|"&amp;C243)</f>
        <v/>
      </c>
    </row>
    <row r="244">
      <c r="A244" s="23" t="inlineStr">
        <is>
          <t>Reloj</t>
        </is>
      </c>
      <c r="B244" s="24" t="inlineStr">
        <is>
          <t>Batería / No carga</t>
        </is>
      </c>
      <c r="C244" s="24" t="inlineStr">
        <is>
          <t>¿Cuánto dura la batería aproximadamente?</t>
        </is>
      </c>
      <c r="D244" s="25" t="inlineStr">
        <is>
          <t>AUTON</t>
        </is>
      </c>
      <c r="E244" s="26">
        <f>IF(OR(A244="",B244=""),"",A244&amp;"|"&amp;B244)</f>
        <v/>
      </c>
      <c r="F244" s="26">
        <f>IF(OR(E244="",C244=""),"",E244&amp;"|"&amp;C244)</f>
        <v/>
      </c>
    </row>
    <row r="245">
      <c r="A245" s="23" t="inlineStr">
        <is>
          <t>Reloj</t>
        </is>
      </c>
      <c r="B245" s="24" t="inlineStr">
        <is>
          <t>Batería / No carga</t>
        </is>
      </c>
      <c r="C245" s="24" t="inlineStr">
        <is>
          <t>¿La batería ha sido cambiada antes?</t>
        </is>
      </c>
      <c r="D245" s="25" t="inlineStr">
        <is>
          <t>YNS</t>
        </is>
      </c>
      <c r="E245" s="26">
        <f>IF(OR(A245="",B245=""),"",A245&amp;"|"&amp;B245)</f>
        <v/>
      </c>
      <c r="F245" s="26">
        <f>IF(OR(E245="",C245=""),"",E245&amp;"|"&amp;C245)</f>
        <v/>
      </c>
    </row>
    <row r="246">
      <c r="A246" s="23" t="inlineStr">
        <is>
          <t>Reloj</t>
        </is>
      </c>
      <c r="B246" s="24" t="inlineStr">
        <is>
          <t>Batería / No carga</t>
        </is>
      </c>
      <c r="C246" s="24" t="inlineStr">
        <is>
          <t>¿Cuánto tiempo tiene la batería actual?</t>
        </is>
      </c>
      <c r="D246" s="25" t="inlineStr">
        <is>
          <t>BATED</t>
        </is>
      </c>
      <c r="E246" s="26">
        <f>IF(OR(A246="",B246=""),"",A246&amp;"|"&amp;B246)</f>
        <v/>
      </c>
      <c r="F246" s="26">
        <f>IF(OR(E246="",C246=""),"",E246&amp;"|"&amp;C246)</f>
        <v/>
      </c>
    </row>
    <row r="247">
      <c r="A247" s="23" t="inlineStr">
        <is>
          <t>Reloj</t>
        </is>
      </c>
      <c r="B247" s="24" t="inlineStr">
        <is>
          <t>Batería / No carga</t>
        </is>
      </c>
      <c r="C247" s="24" t="inlineStr">
        <is>
          <t>¿Dura menos de un día con uso normal?</t>
        </is>
      </c>
      <c r="D247" s="25" t="inlineStr">
        <is>
          <t>YNS</t>
        </is>
      </c>
      <c r="E247" s="26">
        <f>IF(OR(A247="",B247=""),"",A247&amp;"|"&amp;B247)</f>
        <v/>
      </c>
      <c r="F247" s="26">
        <f>IF(OR(E247="",C247=""),"",E247&amp;"|"&amp;C247)</f>
        <v/>
      </c>
    </row>
    <row r="248">
      <c r="A248" s="23" t="inlineStr">
        <is>
          <t>Reloj</t>
        </is>
      </c>
      <c r="B248" s="24" t="inlineStr">
        <is>
          <t>Contacto con líquido</t>
        </is>
      </c>
      <c r="C248" s="24" t="inlineStr">
        <is>
          <t>¿Qué tipo de líquido fue?</t>
        </is>
      </c>
      <c r="D248" s="25" t="inlineStr">
        <is>
          <t>LIQ</t>
        </is>
      </c>
      <c r="E248" s="26">
        <f>IF(OR(A248="",B248=""),"",A248&amp;"|"&amp;B248)</f>
        <v/>
      </c>
      <c r="F248" s="26">
        <f>IF(OR(E248="",C248=""),"",E248&amp;"|"&amp;C248)</f>
        <v/>
      </c>
    </row>
    <row r="249">
      <c r="A249" s="23" t="inlineStr">
        <is>
          <t>Reloj</t>
        </is>
      </c>
      <c r="B249" s="24" t="inlineStr">
        <is>
          <t>Contacto con líquido</t>
        </is>
      </c>
      <c r="C249" s="24" t="inlineStr">
        <is>
          <t>¿Cuándo ocurrió?</t>
        </is>
      </c>
      <c r="D249" s="25" t="inlineStr">
        <is>
          <t>CUANDO</t>
        </is>
      </c>
      <c r="E249" s="26">
        <f>IF(OR(A249="",B249=""),"",A249&amp;"|"&amp;B249)</f>
        <v/>
      </c>
      <c r="F249" s="26">
        <f>IF(OR(E249="",C249=""),"",E249&amp;"|"&amp;C249)</f>
        <v/>
      </c>
    </row>
    <row r="250">
      <c r="A250" s="23" t="inlineStr">
        <is>
          <t>Reloj</t>
        </is>
      </c>
      <c r="B250" s="24" t="inlineStr">
        <is>
          <t>Contacto con líquido</t>
        </is>
      </c>
      <c r="C250" s="24" t="inlineStr">
        <is>
          <t>¿Continuó utilizando el equipo?</t>
        </is>
      </c>
      <c r="D250" s="25" t="inlineStr">
        <is>
          <t>YNS</t>
        </is>
      </c>
      <c r="E250" s="26">
        <f>IF(OR(A250="",B250=""),"",A250&amp;"|"&amp;B250)</f>
        <v/>
      </c>
      <c r="F250" s="26">
        <f>IF(OR(E250="",C250=""),"",E250&amp;"|"&amp;C250)</f>
        <v/>
      </c>
    </row>
    <row r="251">
      <c r="A251" s="23" t="inlineStr">
        <is>
          <t>Reloj</t>
        </is>
      </c>
      <c r="B251" s="24" t="inlineStr">
        <is>
          <t>Contacto con líquido</t>
        </is>
      </c>
      <c r="C251" s="24" t="inlineStr">
        <is>
          <t>¿Intentó encenderlo?</t>
        </is>
      </c>
      <c r="D251" s="25" t="inlineStr">
        <is>
          <t>YNS</t>
        </is>
      </c>
      <c r="E251" s="26">
        <f>IF(OR(A251="",B251=""),"",A251&amp;"|"&amp;B251)</f>
        <v/>
      </c>
      <c r="F251" s="26">
        <f>IF(OR(E251="",C251=""),"",E251&amp;"|"&amp;C251)</f>
        <v/>
      </c>
    </row>
    <row r="252">
      <c r="A252" s="23" t="inlineStr">
        <is>
          <t>Reloj</t>
        </is>
      </c>
      <c r="B252" s="24" t="inlineStr">
        <is>
          <t>Contacto con líquido</t>
        </is>
      </c>
      <c r="C252" s="24" t="inlineStr">
        <is>
          <t>¿Lo conectó al cargador después de mojarse?</t>
        </is>
      </c>
      <c r="D252" s="25" t="inlineStr">
        <is>
          <t>YNS</t>
        </is>
      </c>
      <c r="E252" s="26">
        <f>IF(OR(A252="",B252=""),"",A252&amp;"|"&amp;B252)</f>
        <v/>
      </c>
      <c r="F252" s="26">
        <f>IF(OR(E252="",C252=""),"",E252&amp;"|"&amp;C252)</f>
        <v/>
      </c>
    </row>
    <row r="253">
      <c r="A253" s="23" t="inlineStr">
        <is>
          <t>Reloj</t>
        </is>
      </c>
      <c r="B253" s="24" t="inlineStr">
        <is>
          <t>Contacto con líquido</t>
        </is>
      </c>
      <c r="C253" s="24" t="inlineStr">
        <is>
          <t>¿Fue abierto posteriormente?</t>
        </is>
      </c>
      <c r="D253" s="25" t="inlineStr">
        <is>
          <t>YNS</t>
        </is>
      </c>
      <c r="E253" s="26">
        <f>IF(OR(A253="",B253=""),"",A253&amp;"|"&amp;B253)</f>
        <v/>
      </c>
      <c r="F253" s="26">
        <f>IF(OR(E253="",C253=""),"",E253&amp;"|"&amp;C253)</f>
        <v/>
      </c>
    </row>
    <row r="254">
      <c r="A254" s="23" t="inlineStr">
        <is>
          <t>Reloj</t>
        </is>
      </c>
      <c r="B254" s="24" t="inlineStr">
        <is>
          <t>Contacto con líquido</t>
        </is>
      </c>
      <c r="C254" s="24" t="inlineStr">
        <is>
          <t>¿Recibió limpieza o reparación previa?</t>
        </is>
      </c>
      <c r="D254" s="25" t="inlineStr">
        <is>
          <t>YNS</t>
        </is>
      </c>
      <c r="E254" s="26">
        <f>IF(OR(A254="",B254=""),"",A254&amp;"|"&amp;B254)</f>
        <v/>
      </c>
      <c r="F254" s="26">
        <f>IF(OR(E254="",C254=""),"",E254&amp;"|"&amp;C254)</f>
        <v/>
      </c>
    </row>
    <row r="255">
      <c r="A255" s="23" t="inlineStr">
        <is>
          <t>Reloj</t>
        </is>
      </c>
      <c r="B255" s="24" t="inlineStr">
        <is>
          <t>Contacto con líquido</t>
        </is>
      </c>
      <c r="C255" s="24" t="inlineStr">
        <is>
          <t>¿Usó arroz, secador u otro método casero?</t>
        </is>
      </c>
      <c r="D255" s="25" t="inlineStr">
        <is>
          <t>YNS</t>
        </is>
      </c>
      <c r="E255" s="26">
        <f>IF(OR(A255="",B255=""),"",A255&amp;"|"&amp;B255)</f>
        <v/>
      </c>
      <c r="F255" s="26">
        <f>IF(OR(E255="",C255=""),"",E255&amp;"|"&amp;C255)</f>
        <v/>
      </c>
    </row>
    <row r="256">
      <c r="A256" s="23" t="inlineStr">
        <is>
          <t>Reloj</t>
        </is>
      </c>
      <c r="B256" s="24" t="inlineStr">
        <is>
          <t>Contacto con líquido</t>
        </is>
      </c>
      <c r="C256" s="24" t="inlineStr">
        <is>
          <t>¿Tiene certificación de resistencia al agua (IP67/IP68)?</t>
        </is>
      </c>
      <c r="D256" s="25" t="inlineStr">
        <is>
          <t>YNS</t>
        </is>
      </c>
      <c r="E256" s="26">
        <f>IF(OR(A256="",B256=""),"",A256&amp;"|"&amp;B256)</f>
        <v/>
      </c>
      <c r="F256" s="26">
        <f>IF(OR(E256="",C256=""),"",E256&amp;"|"&amp;C256)</f>
        <v/>
      </c>
    </row>
    <row r="257">
      <c r="A257" s="23" t="inlineStr">
        <is>
          <t>Reloj</t>
        </is>
      </c>
      <c r="B257" s="24" t="inlineStr">
        <is>
          <t>Contacto con líquido</t>
        </is>
      </c>
      <c r="C257" s="24" t="inlineStr">
        <is>
          <t>¿Qué cantidad de líquido fue?</t>
        </is>
      </c>
      <c r="D257" s="25" t="inlineStr">
        <is>
          <t>CANT</t>
        </is>
      </c>
      <c r="E257" s="26">
        <f>IF(OR(A257="",B257=""),"",A257&amp;"|"&amp;B257)</f>
        <v/>
      </c>
      <c r="F257" s="26">
        <f>IF(OR(E257="",C257=""),"",E257&amp;"|"&amp;C257)</f>
        <v/>
      </c>
    </row>
    <row r="258">
      <c r="A258" s="23" t="inlineStr">
        <is>
          <t>Reloj</t>
        </is>
      </c>
      <c r="B258" s="24" t="inlineStr">
        <is>
          <t>Contacto con líquido</t>
        </is>
      </c>
      <c r="C258" s="24" t="inlineStr">
        <is>
          <t>¿El líquido tenía azúcar (gaseosa, jugo, café con azúcar)?</t>
        </is>
      </c>
      <c r="D258" s="25" t="inlineStr">
        <is>
          <t>YNS</t>
        </is>
      </c>
      <c r="E258" s="26">
        <f>IF(OR(A258="",B258=""),"",A258&amp;"|"&amp;B258)</f>
        <v/>
      </c>
      <c r="F258" s="26">
        <f>IF(OR(E258="",C258=""),"",E258&amp;"|"&amp;C258)</f>
        <v/>
      </c>
    </row>
    <row r="259">
      <c r="A259" s="23" t="inlineStr">
        <is>
          <t>Reloj</t>
        </is>
      </c>
      <c r="B259" s="24" t="inlineStr">
        <is>
          <t>Contacto con líquido</t>
        </is>
      </c>
      <c r="C259" s="24" t="inlineStr">
        <is>
          <t>¿Entró líquido por el puerto de carga?</t>
        </is>
      </c>
      <c r="D259" s="25" t="inlineStr">
        <is>
          <t>YNS</t>
        </is>
      </c>
      <c r="E259" s="26">
        <f>IF(OR(A259="",B259=""),"",A259&amp;"|"&amp;B259)</f>
        <v/>
      </c>
      <c r="F259" s="26">
        <f>IF(OR(E259="",C259=""),"",E259&amp;"|"&amp;C259)</f>
        <v/>
      </c>
    </row>
    <row r="260">
      <c r="A260" s="23" t="inlineStr">
        <is>
          <t>Reloj</t>
        </is>
      </c>
      <c r="B260" s="24" t="inlineStr">
        <is>
          <t>Contacto con líquido</t>
        </is>
      </c>
      <c r="C260" s="24" t="inlineStr">
        <is>
          <t>¿Quedó sumergido completamente?</t>
        </is>
      </c>
      <c r="D260" s="25" t="inlineStr">
        <is>
          <t>YNS</t>
        </is>
      </c>
      <c r="E260" s="26">
        <f>IF(OR(A260="",B260=""),"",A260&amp;"|"&amp;B260)</f>
        <v/>
      </c>
      <c r="F260" s="26">
        <f>IF(OR(E260="",C260=""),"",E260&amp;"|"&amp;C260)</f>
        <v/>
      </c>
    </row>
    <row r="261">
      <c r="A261" s="23" t="inlineStr">
        <is>
          <t>Reloj</t>
        </is>
      </c>
      <c r="B261" s="24" t="inlineStr">
        <is>
          <t>Golpe / Caída</t>
        </is>
      </c>
      <c r="C261" s="24" t="inlineStr">
        <is>
          <t>¿Cuándo ocurrió?</t>
        </is>
      </c>
      <c r="D261" s="25" t="inlineStr">
        <is>
          <t>CUANDO</t>
        </is>
      </c>
      <c r="E261" s="26">
        <f>IF(OR(A261="",B261=""),"",A261&amp;"|"&amp;B261)</f>
        <v/>
      </c>
      <c r="F261" s="26">
        <f>IF(OR(E261="",C261=""),"",E261&amp;"|"&amp;C261)</f>
        <v/>
      </c>
    </row>
    <row r="262">
      <c r="A262" s="23" t="inlineStr">
        <is>
          <t>Reloj</t>
        </is>
      </c>
      <c r="B262" s="24" t="inlineStr">
        <is>
          <t>Golpe / Caída</t>
        </is>
      </c>
      <c r="C262" s="24" t="inlineStr">
        <is>
          <t>¿Continuó funcionando después del golpe?</t>
        </is>
      </c>
      <c r="D262" s="25" t="inlineStr">
        <is>
          <t>YNS</t>
        </is>
      </c>
      <c r="E262" s="26">
        <f>IF(OR(A262="",B262=""),"",A262&amp;"|"&amp;B262)</f>
        <v/>
      </c>
      <c r="F262" s="26">
        <f>IF(OR(E262="",C262=""),"",E262&amp;"|"&amp;C262)</f>
        <v/>
      </c>
    </row>
    <row r="263">
      <c r="A263" s="23" t="inlineStr">
        <is>
          <t>Reloj</t>
        </is>
      </c>
      <c r="B263" s="24" t="inlineStr">
        <is>
          <t>Golpe / Caída</t>
        </is>
      </c>
      <c r="C263" s="24" t="inlineStr">
        <is>
          <t>¿La falla apareció inmediatamente?</t>
        </is>
      </c>
      <c r="D263" s="25" t="inlineStr">
        <is>
          <t>YNS</t>
        </is>
      </c>
      <c r="E263" s="26">
        <f>IF(OR(A263="",B263=""),"",A263&amp;"|"&amp;B263)</f>
        <v/>
      </c>
      <c r="F263" s="26">
        <f>IF(OR(E263="",C263=""),"",E263&amp;"|"&amp;C263)</f>
        <v/>
      </c>
    </row>
    <row r="264">
      <c r="A264" s="23" t="inlineStr">
        <is>
          <t>Reloj</t>
        </is>
      </c>
      <c r="B264" s="24" t="inlineStr">
        <is>
          <t>Golpe / Caída</t>
        </is>
      </c>
      <c r="C264" s="24" t="inlineStr">
        <is>
          <t>¿Se dañó la pantalla o el táctil?</t>
        </is>
      </c>
      <c r="D264" s="25" t="inlineStr">
        <is>
          <t>YNS</t>
        </is>
      </c>
      <c r="E264" s="26">
        <f>IF(OR(A264="",B264=""),"",A264&amp;"|"&amp;B264)</f>
        <v/>
      </c>
      <c r="F264" s="26">
        <f>IF(OR(E264="",C264=""),"",E264&amp;"|"&amp;C264)</f>
        <v/>
      </c>
    </row>
    <row r="265">
      <c r="A265" s="23" t="inlineStr">
        <is>
          <t>Reloj</t>
        </is>
      </c>
      <c r="B265" s="24" t="inlineStr">
        <is>
          <t>Golpe / Caída</t>
        </is>
      </c>
      <c r="C265" s="24" t="inlineStr">
        <is>
          <t>¿Presentó problemas de imagen?</t>
        </is>
      </c>
      <c r="D265" s="25" t="inlineStr">
        <is>
          <t>YNS</t>
        </is>
      </c>
      <c r="E265" s="26">
        <f>IF(OR(A265="",B265=""),"",A265&amp;"|"&amp;B265)</f>
        <v/>
      </c>
      <c r="F265" s="26">
        <f>IF(OR(E265="",C265=""),"",E265&amp;"|"&amp;C265)</f>
        <v/>
      </c>
    </row>
    <row r="266">
      <c r="A266" s="23" t="inlineStr">
        <is>
          <t>Reloj</t>
        </is>
      </c>
      <c r="B266" s="24" t="inlineStr">
        <is>
          <t>Golpe / Caída</t>
        </is>
      </c>
      <c r="C266" s="24" t="inlineStr">
        <is>
          <t>¿Se deformó la carcasa o el chasis?</t>
        </is>
      </c>
      <c r="D266" s="25" t="inlineStr">
        <is>
          <t>YNS</t>
        </is>
      </c>
      <c r="E266" s="26">
        <f>IF(OR(A266="",B266=""),"",A266&amp;"|"&amp;B266)</f>
        <v/>
      </c>
      <c r="F266" s="26">
        <f>IF(OR(E266="",C266=""),"",E266&amp;"|"&amp;C266)</f>
        <v/>
      </c>
    </row>
    <row r="267">
      <c r="A267" s="23" t="inlineStr">
        <is>
          <t>Reloj</t>
        </is>
      </c>
      <c r="B267" s="24" t="inlineStr">
        <is>
          <t>Golpe / Caída</t>
        </is>
      </c>
      <c r="C267" s="24" t="inlineStr">
        <is>
          <t>¿Dejó de encender?</t>
        </is>
      </c>
      <c r="D267" s="25" t="inlineStr">
        <is>
          <t>YNS</t>
        </is>
      </c>
      <c r="E267" s="26">
        <f>IF(OR(A267="",B267=""),"",A267&amp;"|"&amp;B267)</f>
        <v/>
      </c>
      <c r="F267" s="26">
        <f>IF(OR(E267="",C267=""),"",E267&amp;"|"&amp;C267)</f>
        <v/>
      </c>
    </row>
    <row r="268">
      <c r="A268" s="23" t="inlineStr">
        <is>
          <t>Reloj</t>
        </is>
      </c>
      <c r="B268" s="24" t="inlineStr">
        <is>
          <t>Golpe / Caída</t>
        </is>
      </c>
      <c r="C268" s="24" t="inlineStr">
        <is>
          <t>¿En qué zona recibió el impacto?</t>
        </is>
      </c>
      <c r="D268" s="25" t="inlineStr">
        <is>
          <t>ZONAI</t>
        </is>
      </c>
      <c r="E268" s="26">
        <f>IF(OR(A268="",B268=""),"",A268&amp;"|"&amp;B268)</f>
        <v/>
      </c>
      <c r="F268" s="26">
        <f>IF(OR(E268="",C268=""),"",E268&amp;"|"&amp;C268)</f>
        <v/>
      </c>
    </row>
    <row r="269">
      <c r="A269" s="23" t="inlineStr">
        <is>
          <t>Reloj</t>
        </is>
      </c>
      <c r="B269" s="24" t="inlineStr">
        <is>
          <t>Golpe / Caída</t>
        </is>
      </c>
      <c r="C269" s="24" t="inlineStr">
        <is>
          <t>¿Cuántas veces ha caído?</t>
        </is>
      </c>
      <c r="D269" s="25" t="inlineStr">
        <is>
          <t>CAID</t>
        </is>
      </c>
      <c r="E269" s="26">
        <f>IF(OR(A269="",B269=""),"",A269&amp;"|"&amp;B269)</f>
        <v/>
      </c>
      <c r="F269" s="26">
        <f>IF(OR(E269="",C269=""),"",E269&amp;"|"&amp;C269)</f>
        <v/>
      </c>
    </row>
    <row r="270">
      <c r="A270" s="23" t="inlineStr">
        <is>
          <t>Reloj</t>
        </is>
      </c>
      <c r="B270" s="24" t="inlineStr">
        <is>
          <t>Golpe / Caída</t>
        </is>
      </c>
      <c r="C270" s="24" t="inlineStr">
        <is>
          <t>¿Cayó sobre una superficie dura (piso, cemento)?</t>
        </is>
      </c>
      <c r="D270" s="25" t="inlineStr">
        <is>
          <t>YNS</t>
        </is>
      </c>
      <c r="E270" s="26">
        <f>IF(OR(A270="",B270=""),"",A270&amp;"|"&amp;B270)</f>
        <v/>
      </c>
      <c r="F270" s="26">
        <f>IF(OR(E270="",C270=""),"",E270&amp;"|"&amp;C270)</f>
        <v/>
      </c>
    </row>
    <row r="271">
      <c r="A271" s="23" t="inlineStr">
        <is>
          <t>Reloj</t>
        </is>
      </c>
      <c r="B271" s="24" t="inlineStr">
        <is>
          <t>Golpe / Caída</t>
        </is>
      </c>
      <c r="C271" s="24" t="inlineStr">
        <is>
          <t>¿Estaba en uso o encendido al caer?</t>
        </is>
      </c>
      <c r="D271" s="25" t="inlineStr">
        <is>
          <t>YNS</t>
        </is>
      </c>
      <c r="E271" s="26">
        <f>IF(OR(A271="",B271=""),"",A271&amp;"|"&amp;B271)</f>
        <v/>
      </c>
      <c r="F271" s="26">
        <f>IF(OR(E271="",C271=""),"",E271&amp;"|"&amp;C271)</f>
        <v/>
      </c>
    </row>
    <row r="272">
      <c r="A272" s="23" t="inlineStr">
        <is>
          <t>Reloj</t>
        </is>
      </c>
      <c r="B272" s="24" t="inlineStr">
        <is>
          <t>Pantalla / Imagen</t>
        </is>
      </c>
      <c r="C272" s="24" t="inlineStr">
        <is>
          <t>¿Pantalla quebrada?</t>
        </is>
      </c>
      <c r="D272" s="25" t="inlineStr">
        <is>
          <t>YNS</t>
        </is>
      </c>
      <c r="E272" s="26">
        <f>IF(OR(A272="",B272=""),"",A272&amp;"|"&amp;B272)</f>
        <v/>
      </c>
      <c r="F272" s="26">
        <f>IF(OR(E272="",C272=""),"",E272&amp;"|"&amp;C272)</f>
        <v/>
      </c>
    </row>
    <row r="273">
      <c r="A273" s="23" t="inlineStr">
        <is>
          <t>Reloj</t>
        </is>
      </c>
      <c r="B273" s="24" t="inlineStr">
        <is>
          <t>Pantalla / Imagen</t>
        </is>
      </c>
      <c r="C273" s="24" t="inlineStr">
        <is>
          <t>¿Sin imagen?</t>
        </is>
      </c>
      <c r="D273" s="25" t="inlineStr">
        <is>
          <t>YNS</t>
        </is>
      </c>
      <c r="E273" s="26">
        <f>IF(OR(A273="",B273=""),"",A273&amp;"|"&amp;B273)</f>
        <v/>
      </c>
      <c r="F273" s="26">
        <f>IF(OR(E273="",C273=""),"",E273&amp;"|"&amp;C273)</f>
        <v/>
      </c>
    </row>
    <row r="274">
      <c r="A274" s="23" t="inlineStr">
        <is>
          <t>Reloj</t>
        </is>
      </c>
      <c r="B274" s="24" t="inlineStr">
        <is>
          <t>Pantalla / Imagen</t>
        </is>
      </c>
      <c r="C274" s="24" t="inlineStr">
        <is>
          <t>¿Imagen intermitente?</t>
        </is>
      </c>
      <c r="D274" s="25" t="inlineStr">
        <is>
          <t>YNS</t>
        </is>
      </c>
      <c r="E274" s="26">
        <f>IF(OR(A274="",B274=""),"",A274&amp;"|"&amp;B274)</f>
        <v/>
      </c>
      <c r="F274" s="26">
        <f>IF(OR(E274="",C274=""),"",E274&amp;"|"&amp;C274)</f>
        <v/>
      </c>
    </row>
    <row r="275">
      <c r="A275" s="23" t="inlineStr">
        <is>
          <t>Reloj</t>
        </is>
      </c>
      <c r="B275" s="24" t="inlineStr">
        <is>
          <t>Pantalla / Imagen</t>
        </is>
      </c>
      <c r="C275" s="24" t="inlineStr">
        <is>
          <t>¿Líneas en la imagen?</t>
        </is>
      </c>
      <c r="D275" s="25" t="inlineStr">
        <is>
          <t>YNS</t>
        </is>
      </c>
      <c r="E275" s="26">
        <f>IF(OR(A275="",B275=""),"",A275&amp;"|"&amp;B275)</f>
        <v/>
      </c>
      <c r="F275" s="26">
        <f>IF(OR(E275="",C275=""),"",E275&amp;"|"&amp;C275)</f>
        <v/>
      </c>
    </row>
    <row r="276">
      <c r="A276" s="23" t="inlineStr">
        <is>
          <t>Reloj</t>
        </is>
      </c>
      <c r="B276" s="24" t="inlineStr">
        <is>
          <t>Pantalla / Imagen</t>
        </is>
      </c>
      <c r="C276" s="24" t="inlineStr">
        <is>
          <t>¿Manchas?</t>
        </is>
      </c>
      <c r="D276" s="25" t="inlineStr">
        <is>
          <t>YNS</t>
        </is>
      </c>
      <c r="E276" s="26">
        <f>IF(OR(A276="",B276=""),"",A276&amp;"|"&amp;B276)</f>
        <v/>
      </c>
      <c r="F276" s="26">
        <f>IF(OR(E276="",C276=""),"",E276&amp;"|"&amp;C276)</f>
        <v/>
      </c>
    </row>
    <row r="277">
      <c r="A277" s="23" t="inlineStr">
        <is>
          <t>Reloj</t>
        </is>
      </c>
      <c r="B277" s="24" t="inlineStr">
        <is>
          <t>Pantalla / Imagen</t>
        </is>
      </c>
      <c r="C277" s="24" t="inlineStr">
        <is>
          <t>¿Parpadeo?</t>
        </is>
      </c>
      <c r="D277" s="25" t="inlineStr">
        <is>
          <t>YNS</t>
        </is>
      </c>
      <c r="E277" s="26">
        <f>IF(OR(A277="",B277=""),"",A277&amp;"|"&amp;B277)</f>
        <v/>
      </c>
      <c r="F277" s="26">
        <f>IF(OR(E277="",C277=""),"",E277&amp;"|"&amp;C277)</f>
        <v/>
      </c>
    </row>
    <row r="278">
      <c r="A278" s="23" t="inlineStr">
        <is>
          <t>Reloj</t>
        </is>
      </c>
      <c r="B278" s="24" t="inlineStr">
        <is>
          <t>Pantalla / Imagen</t>
        </is>
      </c>
      <c r="C278" s="24" t="inlineStr">
        <is>
          <t>¿Sombra?</t>
        </is>
      </c>
      <c r="D278" s="25" t="inlineStr">
        <is>
          <t>YNS</t>
        </is>
      </c>
      <c r="E278" s="26">
        <f>IF(OR(A278="",B278=""),"",A278&amp;"|"&amp;B278)</f>
        <v/>
      </c>
      <c r="F278" s="26">
        <f>IF(OR(E278="",C278=""),"",E278&amp;"|"&amp;C278)</f>
        <v/>
      </c>
    </row>
    <row r="279">
      <c r="A279" s="23" t="inlineStr">
        <is>
          <t>Reloj</t>
        </is>
      </c>
      <c r="B279" s="24" t="inlineStr">
        <is>
          <t>Pantalla / Imagen</t>
        </is>
      </c>
      <c r="C279" s="24" t="inlineStr">
        <is>
          <t>¿Imagen distorsionada?</t>
        </is>
      </c>
      <c r="D279" s="25" t="inlineStr">
        <is>
          <t>YNS</t>
        </is>
      </c>
      <c r="E279" s="26">
        <f>IF(OR(A279="",B279=""),"",A279&amp;"|"&amp;B279)</f>
        <v/>
      </c>
      <c r="F279" s="26">
        <f>IF(OR(E279="",C279=""),"",E279&amp;"|"&amp;C279)</f>
        <v/>
      </c>
    </row>
    <row r="280">
      <c r="A280" s="23" t="inlineStr">
        <is>
          <t>Reloj</t>
        </is>
      </c>
      <c r="B280" s="24" t="inlineStr">
        <is>
          <t>Pantalla / Imagen</t>
        </is>
      </c>
      <c r="C280" s="24" t="inlineStr">
        <is>
          <t>¿El touch no funciona?</t>
        </is>
      </c>
      <c r="D280" s="25" t="inlineStr">
        <is>
          <t>YNS</t>
        </is>
      </c>
      <c r="E280" s="26">
        <f>IF(OR(A280="",B280=""),"",A280&amp;"|"&amp;B280)</f>
        <v/>
      </c>
      <c r="F280" s="26">
        <f>IF(OR(E280="",C280=""),"",E280&amp;"|"&amp;C280)</f>
        <v/>
      </c>
    </row>
    <row r="281">
      <c r="A281" s="23" t="inlineStr">
        <is>
          <t>Reloj</t>
        </is>
      </c>
      <c r="B281" s="24" t="inlineStr">
        <is>
          <t>Pantalla / Imagen</t>
        </is>
      </c>
      <c r="C281" s="24" t="inlineStr">
        <is>
          <t>¿Ocurrió después de un golpe o caída?</t>
        </is>
      </c>
      <c r="D281" s="25" t="inlineStr">
        <is>
          <t>YNS</t>
        </is>
      </c>
      <c r="E281" s="26">
        <f>IF(OR(A281="",B281=""),"",A281&amp;"|"&amp;B281)</f>
        <v/>
      </c>
      <c r="F281" s="26">
        <f>IF(OR(E281="",C281=""),"",E281&amp;"|"&amp;C281)</f>
        <v/>
      </c>
    </row>
    <row r="282">
      <c r="A282" s="23" t="inlineStr">
        <is>
          <t>Reloj</t>
        </is>
      </c>
      <c r="B282" s="24" t="inlineStr">
        <is>
          <t>Pantalla / Imagen</t>
        </is>
      </c>
      <c r="C282" s="24" t="inlineStr">
        <is>
          <t>¿La pantalla se ve muy oscura o con poco brillo?</t>
        </is>
      </c>
      <c r="D282" s="25" t="inlineStr">
        <is>
          <t>YNS</t>
        </is>
      </c>
      <c r="E282" s="26">
        <f>IF(OR(A282="",B282=""),"",A282&amp;"|"&amp;B282)</f>
        <v/>
      </c>
      <c r="F282" s="26">
        <f>IF(OR(E282="",C282=""),"",E282&amp;"|"&amp;C282)</f>
        <v/>
      </c>
    </row>
    <row r="283">
      <c r="A283" s="23" t="inlineStr">
        <is>
          <t>Reloj</t>
        </is>
      </c>
      <c r="B283" s="24" t="inlineStr">
        <is>
          <t>Pantalla / Imagen</t>
        </is>
      </c>
      <c r="C283" s="24" t="inlineStr">
        <is>
          <t>¿Hay una zona de la pantalla donde el táctil no responde?</t>
        </is>
      </c>
      <c r="D283" s="25" t="inlineStr">
        <is>
          <t>YNS</t>
        </is>
      </c>
      <c r="E283" s="26">
        <f>IF(OR(A283="",B283=""),"",A283&amp;"|"&amp;B283)</f>
        <v/>
      </c>
      <c r="F283" s="26">
        <f>IF(OR(E283="",C283=""),"",E283&amp;"|"&amp;C283)</f>
        <v/>
      </c>
    </row>
    <row r="284">
      <c r="A284" s="23" t="inlineStr">
        <is>
          <t>Reloj</t>
        </is>
      </c>
      <c r="B284" s="24" t="inlineStr">
        <is>
          <t>Lentitud / Sistema</t>
        </is>
      </c>
      <c r="C284" s="24" t="inlineStr">
        <is>
          <t>¿Desde cuándo comenzó la lentitud o el problema?</t>
        </is>
      </c>
      <c r="D284" s="25" t="inlineStr">
        <is>
          <t>DESDE</t>
        </is>
      </c>
      <c r="E284" s="26">
        <f>IF(OR(A284="",B284=""),"",A284&amp;"|"&amp;B284)</f>
        <v/>
      </c>
      <c r="F284" s="26">
        <f>IF(OR(E284="",C284=""),"",E284&amp;"|"&amp;C284)</f>
        <v/>
      </c>
    </row>
    <row r="285">
      <c r="A285" s="23" t="inlineStr">
        <is>
          <t>Reloj</t>
        </is>
      </c>
      <c r="B285" s="24" t="inlineStr">
        <is>
          <t>Lentitud / Sistema</t>
        </is>
      </c>
      <c r="C285" s="24" t="inlineStr">
        <is>
          <t>¿Se congela?</t>
        </is>
      </c>
      <c r="D285" s="25" t="inlineStr">
        <is>
          <t>YNS</t>
        </is>
      </c>
      <c r="E285" s="26">
        <f>IF(OR(A285="",B285=""),"",A285&amp;"|"&amp;B285)</f>
        <v/>
      </c>
      <c r="F285" s="26">
        <f>IF(OR(E285="",C285=""),"",E285&amp;"|"&amp;C285)</f>
        <v/>
      </c>
    </row>
    <row r="286">
      <c r="A286" s="23" t="inlineStr">
        <is>
          <t>Reloj</t>
        </is>
      </c>
      <c r="B286" s="24" t="inlineStr">
        <is>
          <t>Lentitud / Sistema</t>
        </is>
      </c>
      <c r="C286" s="24" t="inlineStr">
        <is>
          <t>¿Se reinicia solo?</t>
        </is>
      </c>
      <c r="D286" s="25" t="inlineStr">
        <is>
          <t>YNS</t>
        </is>
      </c>
      <c r="E286" s="26">
        <f>IF(OR(A286="",B286=""),"",A286&amp;"|"&amp;B286)</f>
        <v/>
      </c>
      <c r="F286" s="26">
        <f>IF(OR(E286="",C286=""),"",E286&amp;"|"&amp;C286)</f>
        <v/>
      </c>
    </row>
    <row r="287">
      <c r="A287" s="23" t="inlineStr">
        <is>
          <t>Reloj</t>
        </is>
      </c>
      <c r="B287" s="24" t="inlineStr">
        <is>
          <t>Lentitud / Sistema</t>
        </is>
      </c>
      <c r="C287" s="24" t="inlineStr">
        <is>
          <t>¿Qué programa, app o juego falla?</t>
        </is>
      </c>
      <c r="D287" s="25" t="inlineStr">
        <is>
          <t>PROG</t>
        </is>
      </c>
      <c r="E287" s="26">
        <f>IF(OR(A287="",B287=""),"",A287&amp;"|"&amp;B287)</f>
        <v/>
      </c>
      <c r="F287" s="26">
        <f>IF(OR(E287="",C287=""),"",E287&amp;"|"&amp;C287)</f>
        <v/>
      </c>
    </row>
    <row r="288">
      <c r="A288" s="23" t="inlineStr">
        <is>
          <t>Reloj</t>
        </is>
      </c>
      <c r="B288" s="24" t="inlineStr">
        <is>
          <t>Lentitud / Sistema</t>
        </is>
      </c>
      <c r="C288" s="24" t="inlineStr">
        <is>
          <t>¿Se realizó recientemente alguna actualización?</t>
        </is>
      </c>
      <c r="D288" s="25" t="inlineStr">
        <is>
          <t>YNS</t>
        </is>
      </c>
      <c r="E288" s="26">
        <f>IF(OR(A288="",B288=""),"",A288&amp;"|"&amp;B288)</f>
        <v/>
      </c>
      <c r="F288" s="26">
        <f>IF(OR(E288="",C288=""),"",E288&amp;"|"&amp;C288)</f>
        <v/>
      </c>
    </row>
    <row r="289">
      <c r="A289" s="23" t="inlineStr">
        <is>
          <t>Reloj</t>
        </is>
      </c>
      <c r="B289" s="24" t="inlineStr">
        <is>
          <t>Lentitud / Sistema</t>
        </is>
      </c>
      <c r="C289" s="24" t="inlineStr">
        <is>
          <t>¿La pantalla responde con retraso?</t>
        </is>
      </c>
      <c r="D289" s="25" t="inlineStr">
        <is>
          <t>YNS</t>
        </is>
      </c>
      <c r="E289" s="26">
        <f>IF(OR(A289="",B289=""),"",A289&amp;"|"&amp;B289)</f>
        <v/>
      </c>
      <c r="F289" s="26">
        <f>IF(OR(E289="",C289=""),"",E289&amp;"|"&amp;C289)</f>
        <v/>
      </c>
    </row>
    <row r="290">
      <c r="A290" s="23" t="inlineStr">
        <is>
          <t>Reloj</t>
        </is>
      </c>
      <c r="B290" s="24" t="inlineStr">
        <is>
          <t>Cuenta / Bloqueo</t>
        </is>
      </c>
      <c r="C290" s="24" t="inlineStr">
        <is>
          <t>¿Recuerda usuario y contraseña de su cuenta (Apple ID, Google, PSN, Xbox, Nintendo, Microsoft)?</t>
        </is>
      </c>
      <c r="D290" s="25" t="inlineStr">
        <is>
          <t>YNS</t>
        </is>
      </c>
      <c r="E290" s="26">
        <f>IF(OR(A290="",B290=""),"",A290&amp;"|"&amp;B290)</f>
        <v/>
      </c>
      <c r="F290" s="26">
        <f>IF(OR(E290="",C290=""),"",E290&amp;"|"&amp;C290)</f>
        <v/>
      </c>
    </row>
    <row r="291">
      <c r="A291" s="23" t="inlineStr">
        <is>
          <t>Reloj</t>
        </is>
      </c>
      <c r="B291" s="24" t="inlineStr">
        <is>
          <t>Cuenta / Bloqueo</t>
        </is>
      </c>
      <c r="C291" s="24" t="inlineStr">
        <is>
          <t>¿El equipo tiene bloqueo por contraseña, PIN o patrón?</t>
        </is>
      </c>
      <c r="D291" s="25" t="inlineStr">
        <is>
          <t>YNS</t>
        </is>
      </c>
      <c r="E291" s="26">
        <f>IF(OR(A291="",B291=""),"",A291&amp;"|"&amp;B291)</f>
        <v/>
      </c>
      <c r="F291" s="26">
        <f>IF(OR(E291="",C291=""),"",E291&amp;"|"&amp;C291)</f>
        <v/>
      </c>
    </row>
    <row r="292">
      <c r="A292" s="23" t="inlineStr">
        <is>
          <t>Reloj</t>
        </is>
      </c>
      <c r="B292" s="24" t="inlineStr">
        <is>
          <t>Cuenta / Bloqueo</t>
        </is>
      </c>
      <c r="C292" s="24" t="inlineStr">
        <is>
          <t>¿Tiene activado «Buscar mi dispositivo» o bloqueo de activación?</t>
        </is>
      </c>
      <c r="D292" s="25" t="inlineStr">
        <is>
          <t>YNS</t>
        </is>
      </c>
      <c r="E292" s="26">
        <f>IF(OR(A292="",B292=""),"",A292&amp;"|"&amp;B292)</f>
        <v/>
      </c>
      <c r="F292" s="26">
        <f>IF(OR(E292="",C292=""),"",E292&amp;"|"&amp;C292)</f>
        <v/>
      </c>
    </row>
    <row r="293">
      <c r="A293" s="23" t="inlineStr">
        <is>
          <t>Reloj</t>
        </is>
      </c>
      <c r="B293" s="24" t="inlineStr">
        <is>
          <t>Cuenta / Bloqueo</t>
        </is>
      </c>
      <c r="C293" s="24" t="inlineStr">
        <is>
          <t>¿Olvidó la contraseña o el PIN de desbloqueo?</t>
        </is>
      </c>
      <c r="D293" s="25" t="inlineStr">
        <is>
          <t>YNS</t>
        </is>
      </c>
      <c r="E293" s="26">
        <f>IF(OR(A293="",B293=""),"",A293&amp;"|"&amp;B293)</f>
        <v/>
      </c>
      <c r="F293" s="26">
        <f>IF(OR(E293="",C293=""),"",E293&amp;"|"&amp;C293)</f>
        <v/>
      </c>
    </row>
    <row r="294">
      <c r="A294" s="23" t="inlineStr">
        <is>
          <t>Reloj</t>
        </is>
      </c>
      <c r="B294" s="24" t="inlineStr">
        <is>
          <t>Audio / Cámara / Micrófono</t>
        </is>
      </c>
      <c r="C294" s="24" t="inlineStr">
        <is>
          <t>¿La bocina no suena o suena distorsionada?</t>
        </is>
      </c>
      <c r="D294" s="25" t="inlineStr">
        <is>
          <t>YNS</t>
        </is>
      </c>
      <c r="E294" s="26">
        <f>IF(OR(A294="",B294=""),"",A294&amp;"|"&amp;B294)</f>
        <v/>
      </c>
      <c r="F294" s="26">
        <f>IF(OR(E294="",C294=""),"",E294&amp;"|"&amp;C294)</f>
        <v/>
      </c>
    </row>
    <row r="295">
      <c r="A295" s="23" t="inlineStr">
        <is>
          <t>Reloj</t>
        </is>
      </c>
      <c r="B295" s="24" t="inlineStr">
        <is>
          <t>Audio / Cámara / Micrófono</t>
        </is>
      </c>
      <c r="C295" s="24" t="inlineStr">
        <is>
          <t>¿El micrófono no se escucha?</t>
        </is>
      </c>
      <c r="D295" s="25" t="inlineStr">
        <is>
          <t>YNS</t>
        </is>
      </c>
      <c r="E295" s="26">
        <f>IF(OR(A295="",B295=""),"",A295&amp;"|"&amp;B295)</f>
        <v/>
      </c>
      <c r="F295" s="26">
        <f>IF(OR(E295="",C295=""),"",E295&amp;"|"&amp;C295)</f>
        <v/>
      </c>
    </row>
    <row r="296">
      <c r="A296" s="23" t="inlineStr">
        <is>
          <t>Reloj</t>
        </is>
      </c>
      <c r="B296" s="24" t="inlineStr">
        <is>
          <t>Audio / Cámara / Micrófono</t>
        </is>
      </c>
      <c r="C296" s="24" t="inlineStr">
        <is>
          <t>¿La vibración no funciona?</t>
        </is>
      </c>
      <c r="D296" s="25" t="inlineStr">
        <is>
          <t>YNS</t>
        </is>
      </c>
      <c r="E296" s="26">
        <f>IF(OR(A296="",B296=""),"",A296&amp;"|"&amp;B296)</f>
        <v/>
      </c>
      <c r="F296" s="26">
        <f>IF(OR(E296="",C296=""),"",E296&amp;"|"&amp;C296)</f>
        <v/>
      </c>
    </row>
    <row r="297">
      <c r="A297" s="23" t="inlineStr">
        <is>
          <t>Reloj</t>
        </is>
      </c>
      <c r="B297" s="24" t="inlineStr">
        <is>
          <t>Audio / Cámara / Micrófono</t>
        </is>
      </c>
      <c r="C297" s="24" t="inlineStr">
        <is>
          <t>¿El altavoz suena muy bajo?</t>
        </is>
      </c>
      <c r="D297" s="25" t="inlineStr">
        <is>
          <t>YNS</t>
        </is>
      </c>
      <c r="E297" s="26">
        <f>IF(OR(A297="",B297=""),"",A297&amp;"|"&amp;B297)</f>
        <v/>
      </c>
      <c r="F297" s="26">
        <f>IF(OR(E297="",C297=""),"",E297&amp;"|"&amp;C297)</f>
        <v/>
      </c>
    </row>
    <row r="298">
      <c r="A298" s="23" t="inlineStr">
        <is>
          <t>Reloj</t>
        </is>
      </c>
      <c r="B298" s="24" t="inlineStr">
        <is>
          <t>Red / Señal / Conectividad</t>
        </is>
      </c>
      <c r="C298" s="24" t="inlineStr">
        <is>
          <t>¿El Bluetooth no funciona?</t>
        </is>
      </c>
      <c r="D298" s="25" t="inlineStr">
        <is>
          <t>YNS</t>
        </is>
      </c>
      <c r="E298" s="26">
        <f>IF(OR(A298="",B298=""),"",A298&amp;"|"&amp;B298)</f>
        <v/>
      </c>
      <c r="F298" s="26">
        <f>IF(OR(E298="",C298=""),"",E298&amp;"|"&amp;C298)</f>
        <v/>
      </c>
    </row>
    <row r="299">
      <c r="A299" s="23" t="inlineStr">
        <is>
          <t>Reloj</t>
        </is>
      </c>
      <c r="B299" s="24" t="inlineStr">
        <is>
          <t>Red / Señal / Conectividad</t>
        </is>
      </c>
      <c r="C299" s="24" t="inlineStr">
        <is>
          <t>¿El GPS falla?</t>
        </is>
      </c>
      <c r="D299" s="25" t="inlineStr">
        <is>
          <t>YNS</t>
        </is>
      </c>
      <c r="E299" s="26">
        <f>IF(OR(A299="",B299=""),"",A299&amp;"|"&amp;B299)</f>
        <v/>
      </c>
      <c r="F299" s="26">
        <f>IF(OR(E299="",C299=""),"",E299&amp;"|"&amp;C299)</f>
        <v/>
      </c>
    </row>
    <row r="300">
      <c r="A300" s="23" t="inlineStr">
        <is>
          <t>Reloj</t>
        </is>
      </c>
      <c r="B300" s="24" t="inlineStr">
        <is>
          <t>Red / Señal / Conectividad</t>
        </is>
      </c>
      <c r="C300" s="24" t="inlineStr">
        <is>
          <t>¿No sincroniza con el teléfono?</t>
        </is>
      </c>
      <c r="D300" s="25" t="inlineStr">
        <is>
          <t>YNS</t>
        </is>
      </c>
      <c r="E300" s="26">
        <f>IF(OR(A300="",B300=""),"",A300&amp;"|"&amp;B300)</f>
        <v/>
      </c>
      <c r="F300" s="26">
        <f>IF(OR(E300="",C300=""),"",E300&amp;"|"&amp;C300)</f>
        <v/>
      </c>
    </row>
    <row r="301">
      <c r="A301" s="23" t="inlineStr">
        <is>
          <t>Reloj</t>
        </is>
      </c>
      <c r="B301" s="24" t="inlineStr">
        <is>
          <t>Red / Señal / Conectividad</t>
        </is>
      </c>
      <c r="C301" s="24" t="inlineStr">
        <is>
          <t>¿Con qué teléfono está vinculado?</t>
        </is>
      </c>
      <c r="D301" s="25" t="inlineStr">
        <is>
          <t>TEL</t>
        </is>
      </c>
      <c r="E301" s="26">
        <f>IF(OR(A301="",B301=""),"",A301&amp;"|"&amp;B301)</f>
        <v/>
      </c>
      <c r="F301" s="26">
        <f>IF(OR(E301="",C301=""),"",E301&amp;"|"&amp;C301)</f>
        <v/>
      </c>
    </row>
    <row r="302">
      <c r="A302" s="23" t="inlineStr">
        <is>
          <t>Reloj</t>
        </is>
      </c>
      <c r="B302" s="24" t="inlineStr">
        <is>
          <t>Red / Señal / Conectividad</t>
        </is>
      </c>
      <c r="C302" s="24" t="inlineStr">
        <is>
          <t>¿No le llegan las notificaciones?</t>
        </is>
      </c>
      <c r="D302" s="25" t="inlineStr">
        <is>
          <t>YNS</t>
        </is>
      </c>
      <c r="E302" s="26">
        <f>IF(OR(A302="",B302=""),"",A302&amp;"|"&amp;B302)</f>
        <v/>
      </c>
      <c r="F302" s="26">
        <f>IF(OR(E302="",C302=""),"",E302&amp;"|"&amp;C302)</f>
        <v/>
      </c>
    </row>
    <row r="303">
      <c r="A303" s="23" t="inlineStr">
        <is>
          <t>Reloj</t>
        </is>
      </c>
      <c r="B303" s="24" t="inlineStr">
        <is>
          <t>Red / Señal / Conectividad</t>
        </is>
      </c>
      <c r="C303" s="24" t="inlineStr">
        <is>
          <t>¿El Bluetooth se desconecta con frecuencia?</t>
        </is>
      </c>
      <c r="D303" s="25" t="inlineStr">
        <is>
          <t>YNS</t>
        </is>
      </c>
      <c r="E303" s="26">
        <f>IF(OR(A303="",B303=""),"",A303&amp;"|"&amp;B303)</f>
        <v/>
      </c>
      <c r="F303" s="26">
        <f>IF(OR(E303="",C303=""),"",E303&amp;"|"&amp;C303)</f>
        <v/>
      </c>
    </row>
    <row r="304">
      <c r="A304" s="23" t="inlineStr">
        <is>
          <t>Reloj</t>
        </is>
      </c>
      <c r="B304" s="24" t="inlineStr">
        <is>
          <t>Red / Señal / Conectividad</t>
        </is>
      </c>
      <c r="C304" s="24" t="inlineStr">
        <is>
          <t>¿Fallan las llamadas desde el reloj (eSIM)?</t>
        </is>
      </c>
      <c r="D304" s="25" t="inlineStr">
        <is>
          <t>YNS</t>
        </is>
      </c>
      <c r="E304" s="26">
        <f>IF(OR(A304="",B304=""),"",A304&amp;"|"&amp;B304)</f>
        <v/>
      </c>
      <c r="F304" s="26">
        <f>IF(OR(E304="",C304=""),"",E304&amp;"|"&amp;C304)</f>
        <v/>
      </c>
    </row>
    <row r="305">
      <c r="A305" s="23" t="inlineStr">
        <is>
          <t>Reloj</t>
        </is>
      </c>
      <c r="B305" s="24" t="inlineStr">
        <is>
          <t>Sensores / Botones / Correa</t>
        </is>
      </c>
      <c r="C305" s="24" t="inlineStr">
        <is>
          <t>¿El sensor de ritmo cardíaco u oxígeno falla?</t>
        </is>
      </c>
      <c r="D305" s="25" t="inlineStr">
        <is>
          <t>YNS</t>
        </is>
      </c>
      <c r="E305" s="26">
        <f>IF(OR(A305="",B305=""),"",A305&amp;"|"&amp;B305)</f>
        <v/>
      </c>
      <c r="F305" s="26">
        <f>IF(OR(E305="",C305=""),"",E305&amp;"|"&amp;C305)</f>
        <v/>
      </c>
    </row>
    <row r="306">
      <c r="A306" s="23" t="inlineStr">
        <is>
          <t>Reloj</t>
        </is>
      </c>
      <c r="B306" s="24" t="inlineStr">
        <is>
          <t>Sensores / Botones / Correa</t>
        </is>
      </c>
      <c r="C306" s="24" t="inlineStr">
        <is>
          <t>¿Los botones o la corona no responden?</t>
        </is>
      </c>
      <c r="D306" s="25" t="inlineStr">
        <is>
          <t>YNS</t>
        </is>
      </c>
      <c r="E306" s="26">
        <f>IF(OR(A306="",B306=""),"",A306&amp;"|"&amp;B306)</f>
        <v/>
      </c>
      <c r="F306" s="26">
        <f>IF(OR(E306="",C306=""),"",E306&amp;"|"&amp;C306)</f>
        <v/>
      </c>
    </row>
    <row r="307">
      <c r="A307" s="23" t="inlineStr">
        <is>
          <t>Reloj</t>
        </is>
      </c>
      <c r="B307" s="24" t="inlineStr">
        <is>
          <t>Sensores / Botones / Correa</t>
        </is>
      </c>
      <c r="C307" s="24" t="inlineStr">
        <is>
          <t>¿La correa o hebilla está dañada?</t>
        </is>
      </c>
      <c r="D307" s="25" t="inlineStr">
        <is>
          <t>YNS</t>
        </is>
      </c>
      <c r="E307" s="26">
        <f>IF(OR(A307="",B307=""),"",A307&amp;"|"&amp;B307)</f>
        <v/>
      </c>
      <c r="F307" s="26">
        <f>IF(OR(E307="",C307=""),"",E307&amp;"|"&amp;C307)</f>
        <v/>
      </c>
    </row>
    <row r="308">
      <c r="A308" s="23" t="inlineStr">
        <is>
          <t>Reloj</t>
        </is>
      </c>
      <c r="B308" s="24" t="inlineStr">
        <is>
          <t>Sensores / Botones / Correa</t>
        </is>
      </c>
      <c r="C308" s="24" t="inlineStr">
        <is>
          <t>¿Se desvincula solo del teléfono?</t>
        </is>
      </c>
      <c r="D308" s="25" t="inlineStr">
        <is>
          <t>YNS</t>
        </is>
      </c>
      <c r="E308" s="26">
        <f>IF(OR(A308="",B308=""),"",A308&amp;"|"&amp;B308)</f>
        <v/>
      </c>
      <c r="F308" s="26">
        <f>IF(OR(E308="",C308=""),"",E308&amp;"|"&amp;C308)</f>
        <v/>
      </c>
    </row>
    <row r="309">
      <c r="A309" s="23" t="inlineStr">
        <is>
          <t>Reloj</t>
        </is>
      </c>
      <c r="B309" s="24" t="inlineStr">
        <is>
          <t>Sensores / Botones / Correa</t>
        </is>
      </c>
      <c r="C309" s="24" t="inlineStr">
        <is>
          <t>¿Ya se le hizo restablecimiento de fábrica?</t>
        </is>
      </c>
      <c r="D309" s="25" t="inlineStr">
        <is>
          <t>YNS</t>
        </is>
      </c>
      <c r="E309" s="26">
        <f>IF(OR(A309="",B309=""),"",A309&amp;"|"&amp;B309)</f>
        <v/>
      </c>
      <c r="F309" s="26">
        <f>IF(OR(E309="",C309=""),"",E309&amp;"|"&amp;C309)</f>
        <v/>
      </c>
    </row>
    <row r="310">
      <c r="A310" s="23" t="inlineStr">
        <is>
          <t>Reloj</t>
        </is>
      </c>
      <c r="B310" s="24" t="inlineStr">
        <is>
          <t>Sensores / Botones / Correa</t>
        </is>
      </c>
      <c r="C310" s="24" t="inlineStr">
        <is>
          <t>¿Mide mal los pasos o la frecuencia cardíaca?</t>
        </is>
      </c>
      <c r="D310" s="25" t="inlineStr">
        <is>
          <t>YNS</t>
        </is>
      </c>
      <c r="E310" s="26">
        <f>IF(OR(A310="",B310=""),"",A310&amp;"|"&amp;B310)</f>
        <v/>
      </c>
      <c r="F310" s="26">
        <f>IF(OR(E310="",C310=""),"",E310&amp;"|"&amp;C310)</f>
        <v/>
      </c>
    </row>
    <row r="311">
      <c r="A311" s="23" t="inlineStr">
        <is>
          <t>Reloj</t>
        </is>
      </c>
      <c r="B311" s="24" t="inlineStr">
        <is>
          <t>Sensores / Botones / Correa</t>
        </is>
      </c>
      <c r="C311" s="24" t="inlineStr">
        <is>
          <t>¿El micrófono o altavoz del reloj falla?</t>
        </is>
      </c>
      <c r="D311" s="25" t="inlineStr">
        <is>
          <t>YNS</t>
        </is>
      </c>
      <c r="E311" s="26">
        <f>IF(OR(A311="",B311=""),"",A311&amp;"|"&amp;B311)</f>
        <v/>
      </c>
      <c r="F311" s="26">
        <f>IF(OR(E311="",C311=""),"",E311&amp;"|"&amp;C311)</f>
        <v/>
      </c>
    </row>
    <row r="312">
      <c r="A312" s="23" t="inlineStr">
        <is>
          <t>Reloj</t>
        </is>
      </c>
      <c r="B312" s="24" t="inlineStr">
        <is>
          <t>Sensores / Botones / Correa</t>
        </is>
      </c>
      <c r="C312" s="24" t="inlineStr">
        <is>
          <t>¿Falla la pantalla siempre encendida?</t>
        </is>
      </c>
      <c r="D312" s="25" t="inlineStr">
        <is>
          <t>YNS</t>
        </is>
      </c>
      <c r="E312" s="26">
        <f>IF(OR(A312="",B312=""),"",A312&amp;"|"&amp;B312)</f>
        <v/>
      </c>
      <c r="F312" s="26">
        <f>IF(OR(E312="",C312=""),"",E312&amp;"|"&amp;C312)</f>
        <v/>
      </c>
    </row>
    <row r="313">
      <c r="A313" s="23" t="inlineStr">
        <is>
          <t>Reloj</t>
        </is>
      </c>
      <c r="B313" s="24" t="inlineStr">
        <is>
          <t>Sensores / Botones / Correa</t>
        </is>
      </c>
      <c r="C313" s="24" t="inlineStr">
        <is>
          <t>¿Se mojó mientras nadaba o se duchaba?</t>
        </is>
      </c>
      <c r="D313" s="25" t="inlineStr">
        <is>
          <t>YNS</t>
        </is>
      </c>
      <c r="E313" s="26">
        <f>IF(OR(A313="",B313=""),"",A313&amp;"|"&amp;B313)</f>
        <v/>
      </c>
      <c r="F313" s="26">
        <f>IF(OR(E313="",C313=""),"",E313&amp;"|"&amp;C313)</f>
        <v/>
      </c>
    </row>
    <row r="314">
      <c r="A314" s="23" t="inlineStr">
        <is>
          <t>Reloj</t>
        </is>
      </c>
      <c r="B314" s="24" t="inlineStr">
        <is>
          <t>Otra falla</t>
        </is>
      </c>
      <c r="C314" s="24" t="inlineStr">
        <is>
          <t>¿Cuál es la otra falla o condición?</t>
        </is>
      </c>
      <c r="D314" s="25" t="inlineStr">
        <is>
          <t>OTRAF</t>
        </is>
      </c>
      <c r="E314" s="26">
        <f>IF(OR(A314="",B314=""),"",A314&amp;"|"&amp;B314)</f>
        <v/>
      </c>
      <c r="F314" s="26">
        <f>IF(OR(E314="",C314=""),"",E314&amp;"|"&amp;C314)</f>
        <v/>
      </c>
    </row>
    <row r="315">
      <c r="A315" s="23" t="inlineStr">
        <is>
          <t>Reloj</t>
        </is>
      </c>
      <c r="B315" s="24" t="inlineStr">
        <is>
          <t>Otra falla</t>
        </is>
      </c>
      <c r="C315" s="24" t="inlineStr">
        <is>
          <t>¿Qué solución ya intentó el cliente?</t>
        </is>
      </c>
      <c r="D315" s="25" t="inlineStr">
        <is>
          <t>SOL</t>
        </is>
      </c>
      <c r="E315" s="26">
        <f>IF(OR(A315="",B315=""),"",A315&amp;"|"&amp;B315)</f>
        <v/>
      </c>
      <c r="F315" s="26">
        <f>IF(OR(E315="",C315=""),"",E315&amp;"|"&amp;C315)</f>
        <v/>
      </c>
    </row>
    <row r="316">
      <c r="A316" s="23" t="inlineStr">
        <is>
          <t>Reloj</t>
        </is>
      </c>
      <c r="B316" s="24" t="inlineStr">
        <is>
          <t>Botones / Puertos</t>
        </is>
      </c>
      <c r="C316" s="24" t="inlineStr">
        <is>
          <t>¿El botón de encendido no responde bien?</t>
        </is>
      </c>
      <c r="D316" s="25" t="inlineStr">
        <is>
          <t>YNS</t>
        </is>
      </c>
      <c r="E316" s="26">
        <f>IF(OR(A316="",B316=""),"",A316&amp;"|"&amp;B316)</f>
        <v/>
      </c>
      <c r="F316" s="26">
        <f>IF(OR(E316="",C316=""),"",E316&amp;"|"&amp;C316)</f>
        <v/>
      </c>
    </row>
    <row r="317">
      <c r="A317" s="23" t="inlineStr">
        <is>
          <t>Reloj</t>
        </is>
      </c>
      <c r="B317" s="24" t="inlineStr">
        <is>
          <t>Botones / Puertos</t>
        </is>
      </c>
      <c r="C317" s="24" t="inlineStr">
        <is>
          <t>¿Los botones de volumen fallan?</t>
        </is>
      </c>
      <c r="D317" s="25" t="inlineStr">
        <is>
          <t>YNS</t>
        </is>
      </c>
      <c r="E317" s="26">
        <f>IF(OR(A317="",B317=""),"",A317&amp;"|"&amp;B317)</f>
        <v/>
      </c>
      <c r="F317" s="26">
        <f>IF(OR(E317="",C317=""),"",E317&amp;"|"&amp;C317)</f>
        <v/>
      </c>
    </row>
    <row r="318">
      <c r="A318" s="23" t="inlineStr">
        <is>
          <t>Reloj</t>
        </is>
      </c>
      <c r="B318" s="24" t="inlineStr">
        <is>
          <t>Botones / Puertos</t>
        </is>
      </c>
      <c r="C318" s="24" t="inlineStr">
        <is>
          <t>¿El puerto de carga no detecta el cable?</t>
        </is>
      </c>
      <c r="D318" s="25" t="inlineStr">
        <is>
          <t>YNS</t>
        </is>
      </c>
      <c r="E318" s="26">
        <f>IF(OR(A318="",B318=""),"",A318&amp;"|"&amp;B318)</f>
        <v/>
      </c>
      <c r="F318" s="26">
        <f>IF(OR(E318="",C318=""),"",E318&amp;"|"&amp;C318)</f>
        <v/>
      </c>
    </row>
    <row r="319">
      <c r="A319" s="23" t="inlineStr">
        <is>
          <t>Reloj</t>
        </is>
      </c>
      <c r="B319" s="24" t="inlineStr">
        <is>
          <t>Software / Actualización</t>
        </is>
      </c>
      <c r="C319" s="24" t="inlineStr">
        <is>
          <t>¿Falló durante una actualización?</t>
        </is>
      </c>
      <c r="D319" s="25" t="inlineStr">
        <is>
          <t>YNS</t>
        </is>
      </c>
      <c r="E319" s="26">
        <f>IF(OR(A319="",B319=""),"",A319&amp;"|"&amp;B319)</f>
        <v/>
      </c>
      <c r="F319" s="26">
        <f>IF(OR(E319="",C319=""),"",E319&amp;"|"&amp;C319)</f>
        <v/>
      </c>
    </row>
    <row r="320">
      <c r="A320" s="23" t="inlineStr">
        <is>
          <t>Reloj</t>
        </is>
      </c>
      <c r="B320" s="24" t="inlineStr">
        <is>
          <t>Software / Actualización</t>
        </is>
      </c>
      <c r="C320" s="24" t="inlineStr">
        <is>
          <t>¿Se queda cargando o en el logo después de actualizar?</t>
        </is>
      </c>
      <c r="D320" s="25" t="inlineStr">
        <is>
          <t>YNS</t>
        </is>
      </c>
      <c r="E320" s="26">
        <f>IF(OR(A320="",B320=""),"",A320&amp;"|"&amp;B320)</f>
        <v/>
      </c>
      <c r="F320" s="26">
        <f>IF(OR(E320="",C320=""),"",E320&amp;"|"&amp;C320)</f>
        <v/>
      </c>
    </row>
    <row r="321">
      <c r="A321" s="23" t="inlineStr">
        <is>
          <t>Reloj</t>
        </is>
      </c>
      <c r="B321" s="24" t="inlineStr">
        <is>
          <t>Software / Actualización</t>
        </is>
      </c>
      <c r="C321" s="24" t="inlineStr">
        <is>
          <t>¿Necesita restaurarse o formatearse?</t>
        </is>
      </c>
      <c r="D321" s="25" t="inlineStr">
        <is>
          <t>YNS</t>
        </is>
      </c>
      <c r="E321" s="26">
        <f>IF(OR(A321="",B321=""),"",A321&amp;"|"&amp;B321)</f>
        <v/>
      </c>
      <c r="F321" s="26">
        <f>IF(OR(E321="",C321=""),"",E321&amp;"|"&amp;C321)</f>
        <v/>
      </c>
    </row>
    <row r="322">
      <c r="A322" s="23" t="inlineStr">
        <is>
          <t>Reloj</t>
        </is>
      </c>
      <c r="B322" s="24" t="inlineStr">
        <is>
          <t>Software / Actualización</t>
        </is>
      </c>
      <c r="C322" s="24" t="inlineStr">
        <is>
          <t>¿Tiene una versión muy antigua del sistema?</t>
        </is>
      </c>
      <c r="D322" s="25" t="inlineStr">
        <is>
          <t>YNS</t>
        </is>
      </c>
      <c r="E322" s="26">
        <f>IF(OR(A322="",B322=""),"",A322&amp;"|"&amp;B322)</f>
        <v/>
      </c>
      <c r="F322" s="26">
        <f>IF(OR(E322="",C322=""),"",E322&amp;"|"&amp;C322)</f>
        <v/>
      </c>
    </row>
    <row r="323">
      <c r="A323" s="23" t="inlineStr">
        <is>
          <t>Reloj</t>
        </is>
      </c>
      <c r="B323" s="24" t="inlineStr">
        <is>
          <t>Estado físico</t>
        </is>
      </c>
      <c r="C323" s="24" t="inlineStr">
        <is>
          <t>Estado de la pantalla</t>
        </is>
      </c>
      <c r="D323" s="25" t="inlineStr">
        <is>
          <t>E_PANT</t>
        </is>
      </c>
      <c r="E323" s="26">
        <f>IF(OR(A323="",B323=""),"",A323&amp;"|"&amp;B323)</f>
        <v/>
      </c>
      <c r="F323" s="26">
        <f>IF(OR(E323="",C323=""),"",E323&amp;"|"&amp;C323)</f>
        <v/>
      </c>
    </row>
    <row r="324">
      <c r="A324" s="23" t="inlineStr">
        <is>
          <t>Reloj</t>
        </is>
      </c>
      <c r="B324" s="24" t="inlineStr">
        <is>
          <t>Estado físico</t>
        </is>
      </c>
      <c r="C324" s="24" t="inlineStr">
        <is>
          <t>Estado de la carcasa / chasis</t>
        </is>
      </c>
      <c r="D324" s="25" t="inlineStr">
        <is>
          <t>E_CARC</t>
        </is>
      </c>
      <c r="E324" s="26">
        <f>IF(OR(A324="",B324=""),"",A324&amp;"|"&amp;B324)</f>
        <v/>
      </c>
      <c r="F324" s="26">
        <f>IF(OR(E324="",C324=""),"",E324&amp;"|"&amp;C324)</f>
        <v/>
      </c>
    </row>
    <row r="325">
      <c r="A325" s="23" t="inlineStr">
        <is>
          <t>Reloj</t>
        </is>
      </c>
      <c r="B325" s="24" t="inlineStr">
        <is>
          <t>Estado físico</t>
        </is>
      </c>
      <c r="C325" s="24" t="inlineStr">
        <is>
          <t>¿Faltan tornillos?</t>
        </is>
      </c>
      <c r="D325" s="25" t="inlineStr">
        <is>
          <t>YN</t>
        </is>
      </c>
      <c r="E325" s="26">
        <f>IF(OR(A325="",B325=""),"",A325&amp;"|"&amp;B325)</f>
        <v/>
      </c>
      <c r="F325" s="26">
        <f>IF(OR(E325="",C325=""),"",E325&amp;"|"&amp;C325)</f>
        <v/>
      </c>
    </row>
    <row r="326">
      <c r="A326" s="23" t="inlineStr">
        <is>
          <t>Reloj</t>
        </is>
      </c>
      <c r="B326" s="24" t="inlineStr">
        <is>
          <t>Estado físico</t>
        </is>
      </c>
      <c r="C326" s="24" t="inlineStr">
        <is>
          <t>¿Hay botones o puertos dañados?</t>
        </is>
      </c>
      <c r="D326" s="25" t="inlineStr">
        <is>
          <t>YN</t>
        </is>
      </c>
      <c r="E326" s="26">
        <f>IF(OR(A326="",B326=""),"",A326&amp;"|"&amp;B326)</f>
        <v/>
      </c>
      <c r="F326" s="26">
        <f>IF(OR(E326="",C326=""),"",E326&amp;"|"&amp;C326)</f>
        <v/>
      </c>
    </row>
    <row r="327">
      <c r="A327" s="23" t="inlineStr">
        <is>
          <t>Reloj</t>
        </is>
      </c>
      <c r="B327" s="24" t="inlineStr">
        <is>
          <t>Estado físico</t>
        </is>
      </c>
      <c r="C327" s="24" t="inlineStr">
        <is>
          <t>¿La correa o hebilla está dañada?</t>
        </is>
      </c>
      <c r="D327" s="25" t="inlineStr">
        <is>
          <t>YN</t>
        </is>
      </c>
      <c r="E327" s="26">
        <f>IF(OR(A327="",B327=""),"",A327&amp;"|"&amp;B327)</f>
        <v/>
      </c>
      <c r="F327" s="26">
        <f>IF(OR(E327="",C327=""),"",E327&amp;"|"&amp;C327)</f>
        <v/>
      </c>
    </row>
    <row r="328">
      <c r="A328" s="23" t="inlineStr">
        <is>
          <t>Reloj</t>
        </is>
      </c>
      <c r="B328" s="24" t="inlineStr">
        <is>
          <t>Estado físico</t>
        </is>
      </c>
      <c r="C328" s="24" t="inlineStr">
        <is>
          <t>¿Hay señales de apertura previa?</t>
        </is>
      </c>
      <c r="D328" s="25" t="inlineStr">
        <is>
          <t>YN</t>
        </is>
      </c>
      <c r="E328" s="26">
        <f>IF(OR(A328="",B328=""),"",A328&amp;"|"&amp;B328)</f>
        <v/>
      </c>
      <c r="F328" s="26">
        <f>IF(OR(E328="",C328=""),"",E328&amp;"|"&amp;C328)</f>
        <v/>
      </c>
    </row>
    <row r="329">
      <c r="A329" s="23" t="inlineStr">
        <is>
          <t>Reloj</t>
        </is>
      </c>
      <c r="B329" s="24" t="inlineStr">
        <is>
          <t>Estado físico</t>
        </is>
      </c>
      <c r="C329" s="24" t="inlineStr">
        <is>
          <t>¿Hay señales visibles de humedad?</t>
        </is>
      </c>
      <c r="D329" s="25" t="inlineStr">
        <is>
          <t>YN</t>
        </is>
      </c>
      <c r="E329" s="26">
        <f>IF(OR(A329="",B329=""),"",A329&amp;"|"&amp;B329)</f>
        <v/>
      </c>
      <c r="F329" s="26">
        <f>IF(OR(E329="",C329=""),"",E329&amp;"|"&amp;C329)</f>
        <v/>
      </c>
    </row>
    <row r="330">
      <c r="A330" s="23" t="inlineStr">
        <is>
          <t>Reloj</t>
        </is>
      </c>
      <c r="B330" s="24" t="inlineStr">
        <is>
          <t>Estado físico</t>
        </is>
      </c>
      <c r="C330" s="24" t="inlineStr">
        <is>
          <t>¿La batería está inflada?</t>
        </is>
      </c>
      <c r="D330" s="25" t="inlineStr">
        <is>
          <t>YN</t>
        </is>
      </c>
      <c r="E330" s="26">
        <f>IF(OR(A330="",B330=""),"",A330&amp;"|"&amp;B330)</f>
        <v/>
      </c>
      <c r="F330" s="26">
        <f>IF(OR(E330="",C330=""),"",E330&amp;"|"&amp;C330)</f>
        <v/>
      </c>
    </row>
    <row r="331">
      <c r="A331" s="23" t="inlineStr">
        <is>
          <t>Reloj</t>
        </is>
      </c>
      <c r="B331" s="24" t="inlineStr">
        <is>
          <t>Estado físico</t>
        </is>
      </c>
      <c r="C331" s="24" t="inlineStr">
        <is>
          <t>¿Qué otro daño visible tiene?</t>
        </is>
      </c>
      <c r="D331" s="25" t="inlineStr">
        <is>
          <t>DANO</t>
        </is>
      </c>
      <c r="E331" s="26">
        <f>IF(OR(A331="",B331=""),"",A331&amp;"|"&amp;B331)</f>
        <v/>
      </c>
      <c r="F331" s="26">
        <f>IF(OR(E331="",C331=""),"",E331&amp;"|"&amp;C331)</f>
        <v/>
      </c>
    </row>
    <row r="332">
      <c r="A332" s="23" t="inlineStr">
        <is>
          <t>Reloj</t>
        </is>
      </c>
      <c r="B332" s="24" t="inlineStr">
        <is>
          <t>Estado físico</t>
        </is>
      </c>
      <c r="C332" s="24" t="inlineStr">
        <is>
          <t>¿Tiene protector o vidrio templado en la pantalla?</t>
        </is>
      </c>
      <c r="D332" s="25" t="inlineStr">
        <is>
          <t>YN</t>
        </is>
      </c>
      <c r="E332" s="26">
        <f>IF(OR(A332="",B332=""),"",A332&amp;"|"&amp;B332)</f>
        <v/>
      </c>
      <c r="F332" s="26">
        <f>IF(OR(E332="",C332=""),"",E332&amp;"|"&amp;C332)</f>
        <v/>
      </c>
    </row>
    <row r="333">
      <c r="A333" s="23" t="inlineStr">
        <is>
          <t>Reloj</t>
        </is>
      </c>
      <c r="B333" s="24" t="inlineStr">
        <is>
          <t>Estado físico</t>
        </is>
      </c>
      <c r="C333" s="24" t="inlineStr">
        <is>
          <t>¿Los sellos de garantía están intactos?</t>
        </is>
      </c>
      <c r="D333" s="25" t="inlineStr">
        <is>
          <t>YN</t>
        </is>
      </c>
      <c r="E333" s="26">
        <f>IF(OR(A333="",B333=""),"",A333&amp;"|"&amp;B333)</f>
        <v/>
      </c>
      <c r="F333" s="26">
        <f>IF(OR(E333="",C333=""),"",E333&amp;"|"&amp;C333)</f>
        <v/>
      </c>
    </row>
    <row r="334">
      <c r="A334" s="23" t="inlineStr">
        <is>
          <t>Reloj</t>
        </is>
      </c>
      <c r="B334" s="24" t="inlineStr">
        <is>
          <t>Estado físico</t>
        </is>
      </c>
      <c r="C334" s="24" t="inlineStr">
        <is>
          <t>¿Hay señales de corrosión en puertos o en la bandeja SIM?</t>
        </is>
      </c>
      <c r="D334" s="25" t="inlineStr">
        <is>
          <t>YN</t>
        </is>
      </c>
      <c r="E334" s="26">
        <f>IF(OR(A334="",B334=""),"",A334&amp;"|"&amp;B334)</f>
        <v/>
      </c>
      <c r="F334" s="26">
        <f>IF(OR(E334="",C334=""),"",E334&amp;"|"&amp;C334)</f>
        <v/>
      </c>
    </row>
    <row r="335">
      <c r="A335" s="23" t="inlineStr">
        <is>
          <t>Reloj</t>
        </is>
      </c>
      <c r="B335" s="24" t="inlineStr">
        <is>
          <t>Estado al ingresar</t>
        </is>
      </c>
      <c r="C335" s="24" t="inlineStr">
        <is>
          <t>¿Enciende?</t>
        </is>
      </c>
      <c r="D335" s="25" t="inlineStr">
        <is>
          <t>YNC</t>
        </is>
      </c>
      <c r="E335" s="26">
        <f>IF(OR(A335="",B335=""),"",A335&amp;"|"&amp;B335)</f>
        <v/>
      </c>
      <c r="F335" s="26">
        <f>IF(OR(E335="",C335=""),"",E335&amp;"|"&amp;C335)</f>
        <v/>
      </c>
    </row>
    <row r="336">
      <c r="A336" s="23" t="inlineStr">
        <is>
          <t>Reloj</t>
        </is>
      </c>
      <c r="B336" s="24" t="inlineStr">
        <is>
          <t>Estado al ingresar</t>
        </is>
      </c>
      <c r="C336" s="24" t="inlineStr">
        <is>
          <t>¿Muestra la hora y responde?</t>
        </is>
      </c>
      <c r="D336" s="25" t="inlineStr">
        <is>
          <t>YNC</t>
        </is>
      </c>
      <c r="E336" s="26">
        <f>IF(OR(A336="",B336=""),"",A336&amp;"|"&amp;B336)</f>
        <v/>
      </c>
      <c r="F336" s="26">
        <f>IF(OR(E336="",C336=""),"",E336&amp;"|"&amp;C336)</f>
        <v/>
      </c>
    </row>
    <row r="337">
      <c r="A337" s="23" t="inlineStr">
        <is>
          <t>Reloj</t>
        </is>
      </c>
      <c r="B337" s="24" t="inlineStr">
        <is>
          <t>Estado al ingresar</t>
        </is>
      </c>
      <c r="C337" s="24" t="inlineStr">
        <is>
          <t>¿Carga al conectarlo?</t>
        </is>
      </c>
      <c r="D337" s="25" t="inlineStr">
        <is>
          <t>YNC</t>
        </is>
      </c>
      <c r="E337" s="26">
        <f>IF(OR(A337="",B337=""),"",A337&amp;"|"&amp;B337)</f>
        <v/>
      </c>
      <c r="F337" s="26">
        <f>IF(OR(E337="",C337=""),"",E337&amp;"|"&amp;C337)</f>
        <v/>
      </c>
    </row>
    <row r="338">
      <c r="A338" s="23" t="inlineStr">
        <is>
          <t>Reloj</t>
        </is>
      </c>
      <c r="B338" s="24" t="inlineStr">
        <is>
          <t>Estado al ingresar</t>
        </is>
      </c>
      <c r="C338" s="24" t="inlineStr">
        <is>
          <t>¿Reconoce el cargador o la fuente de poder?</t>
        </is>
      </c>
      <c r="D338" s="25" t="inlineStr">
        <is>
          <t>YNC</t>
        </is>
      </c>
      <c r="E338" s="26">
        <f>IF(OR(A338="",B338=""),"",A338&amp;"|"&amp;B338)</f>
        <v/>
      </c>
      <c r="F338" s="26">
        <f>IF(OR(E338="",C338=""),"",E338&amp;"|"&amp;C338)</f>
        <v/>
      </c>
    </row>
    <row r="339">
      <c r="A339" s="23" t="inlineStr">
        <is>
          <t>Reloj</t>
        </is>
      </c>
      <c r="B339" s="24" t="inlineStr">
        <is>
          <t>Estado al ingresar</t>
        </is>
      </c>
      <c r="C339" s="24" t="inlineStr">
        <is>
          <t>¿Qué nivel de batería tenía al ingresar?</t>
        </is>
      </c>
      <c r="D339" s="25" t="inlineStr">
        <is>
          <t>BATNIV</t>
        </is>
      </c>
      <c r="E339" s="26">
        <f>IF(OR(A339="",B339=""),"",A339&amp;"|"&amp;B339)</f>
        <v/>
      </c>
      <c r="F339" s="26">
        <f>IF(OR(E339="",C339=""),"",E339&amp;"|"&amp;C339)</f>
        <v/>
      </c>
    </row>
    <row r="340">
      <c r="A340" s="23" t="inlineStr">
        <is>
          <t>Reloj</t>
        </is>
      </c>
      <c r="B340" s="24" t="inlineStr">
        <is>
          <t>Accesorios entregados</t>
        </is>
      </c>
      <c r="C340" s="24" t="inlineStr">
        <is>
          <t>¿Entregó cargador magnético?</t>
        </is>
      </c>
      <c r="D340" s="25" t="inlineStr">
        <is>
          <t>YN</t>
        </is>
      </c>
      <c r="E340" s="26">
        <f>IF(OR(A340="",B340=""),"",A340&amp;"|"&amp;B340)</f>
        <v/>
      </c>
      <c r="F340" s="26">
        <f>IF(OR(E340="",C340=""),"",E340&amp;"|"&amp;C340)</f>
        <v/>
      </c>
    </row>
    <row r="341">
      <c r="A341" s="23" t="inlineStr">
        <is>
          <t>Reloj</t>
        </is>
      </c>
      <c r="B341" s="24" t="inlineStr">
        <is>
          <t>Accesorios entregados</t>
        </is>
      </c>
      <c r="C341" s="24" t="inlineStr">
        <is>
          <t>¿Entregó correa adicional?</t>
        </is>
      </c>
      <c r="D341" s="25" t="inlineStr">
        <is>
          <t>YN</t>
        </is>
      </c>
      <c r="E341" s="26">
        <f>IF(OR(A341="",B341=""),"",A341&amp;"|"&amp;B341)</f>
        <v/>
      </c>
      <c r="F341" s="26">
        <f>IF(OR(E341="",C341=""),"",E341&amp;"|"&amp;C341)</f>
        <v/>
      </c>
    </row>
    <row r="342">
      <c r="A342" s="23" t="inlineStr">
        <is>
          <t>Reloj</t>
        </is>
      </c>
      <c r="B342" s="24" t="inlineStr">
        <is>
          <t>Accesorios entregados</t>
        </is>
      </c>
      <c r="C342" s="24" t="inlineStr">
        <is>
          <t>¿Entregó otro accesorio?</t>
        </is>
      </c>
      <c r="D342" s="25" t="inlineStr">
        <is>
          <t>YN</t>
        </is>
      </c>
      <c r="E342" s="26">
        <f>IF(OR(A342="",B342=""),"",A342&amp;"|"&amp;B342)</f>
        <v/>
      </c>
      <c r="F342" s="26">
        <f>IF(OR(E342="",C342=""),"",E342&amp;"|"&amp;C342)</f>
        <v/>
      </c>
    </row>
    <row r="343">
      <c r="A343" s="23" t="inlineStr">
        <is>
          <t>Reloj</t>
        </is>
      </c>
      <c r="B343" s="24" t="inlineStr">
        <is>
          <t>Accesorios entregados</t>
        </is>
      </c>
      <c r="C343" s="24" t="inlineStr">
        <is>
          <t>¿Entregó la caja original?</t>
        </is>
      </c>
      <c r="D343" s="25" t="inlineStr">
        <is>
          <t>YN</t>
        </is>
      </c>
      <c r="E343" s="26">
        <f>IF(OR(A343="",B343=""),"",A343&amp;"|"&amp;B343)</f>
        <v/>
      </c>
      <c r="F343" s="26">
        <f>IF(OR(E343="",C343=""),"",E343&amp;"|"&amp;C343)</f>
        <v/>
      </c>
    </row>
    <row r="344">
      <c r="A344" s="23" t="inlineStr">
        <is>
          <t>Reloj</t>
        </is>
      </c>
      <c r="B344" s="24" t="inlineStr">
        <is>
          <t>Accesorios entregados</t>
        </is>
      </c>
      <c r="C344" s="24" t="inlineStr">
        <is>
          <t>¿Entregó factura o comprobante de compra?</t>
        </is>
      </c>
      <c r="D344" s="25" t="inlineStr">
        <is>
          <t>YN</t>
        </is>
      </c>
      <c r="E344" s="26">
        <f>IF(OR(A344="",B344=""),"",A344&amp;"|"&amp;B344)</f>
        <v/>
      </c>
      <c r="F344" s="26">
        <f>IF(OR(E344="",C344=""),"",E344&amp;"|"&amp;C344)</f>
        <v/>
      </c>
    </row>
    <row r="345">
      <c r="A345" s="23" t="inlineStr">
        <is>
          <t>Reloj</t>
        </is>
      </c>
      <c r="B345" s="24" t="inlineStr">
        <is>
          <t>Accesorios entregados</t>
        </is>
      </c>
      <c r="C345" s="24" t="inlineStr">
        <is>
          <t>¿Entregó la tarjeta de garantía?</t>
        </is>
      </c>
      <c r="D345" s="25" t="inlineStr">
        <is>
          <t>YN</t>
        </is>
      </c>
      <c r="E345" s="26">
        <f>IF(OR(A345="",B345=""),"",A345&amp;"|"&amp;B345)</f>
        <v/>
      </c>
      <c r="F345" s="26">
        <f>IF(OR(E345="",C345=""),"",E345&amp;"|"&amp;C345)</f>
        <v/>
      </c>
    </row>
    <row r="346">
      <c r="A346" s="23" t="inlineStr">
        <is>
          <t>Reloj</t>
        </is>
      </c>
      <c r="B346" s="24" t="inlineStr">
        <is>
          <t>Fotografías de recepción</t>
        </is>
      </c>
      <c r="C346" s="24" t="inlineStr">
        <is>
          <t>¿Se tomó la foto frontal?</t>
        </is>
      </c>
      <c r="D346" s="25" t="inlineStr">
        <is>
          <t>YN</t>
        </is>
      </c>
      <c r="E346" s="26">
        <f>IF(OR(A346="",B346=""),"",A346&amp;"|"&amp;B346)</f>
        <v/>
      </c>
      <c r="F346" s="26">
        <f>IF(OR(E346="",C346=""),"",E346&amp;"|"&amp;C346)</f>
        <v/>
      </c>
    </row>
    <row r="347">
      <c r="A347" s="23" t="inlineStr">
        <is>
          <t>Reloj</t>
        </is>
      </c>
      <c r="B347" s="24" t="inlineStr">
        <is>
          <t>Fotografías de recepción</t>
        </is>
      </c>
      <c r="C347" s="24" t="inlineStr">
        <is>
          <t>¿Se tomó la foto posterior?</t>
        </is>
      </c>
      <c r="D347" s="25" t="inlineStr">
        <is>
          <t>YN</t>
        </is>
      </c>
      <c r="E347" s="26">
        <f>IF(OR(A347="",B347=""),"",A347&amp;"|"&amp;B347)</f>
        <v/>
      </c>
      <c r="F347" s="26">
        <f>IF(OR(E347="",C347=""),"",E347&amp;"|"&amp;C347)</f>
        <v/>
      </c>
    </row>
    <row r="348">
      <c r="A348" s="23" t="inlineStr">
        <is>
          <t>Reloj</t>
        </is>
      </c>
      <c r="B348" s="24" t="inlineStr">
        <is>
          <t>Fotografías de recepción</t>
        </is>
      </c>
      <c r="C348" s="24" t="inlineStr">
        <is>
          <t>¿Se tomaron las fotos laterales?</t>
        </is>
      </c>
      <c r="D348" s="25" t="inlineStr">
        <is>
          <t>YN</t>
        </is>
      </c>
      <c r="E348" s="26">
        <f>IF(OR(A348="",B348=""),"",A348&amp;"|"&amp;B348)</f>
        <v/>
      </c>
      <c r="F348" s="26">
        <f>IF(OR(E348="",C348=""),"",E348&amp;"|"&amp;C348)</f>
        <v/>
      </c>
    </row>
    <row r="349">
      <c r="A349" s="23" t="inlineStr">
        <is>
          <t>Reloj</t>
        </is>
      </c>
      <c r="B349" s="24" t="inlineStr">
        <is>
          <t>Fotografías de recepción</t>
        </is>
      </c>
      <c r="C349" s="24" t="inlineStr">
        <is>
          <t>¿Se tomó la foto de la pantalla?</t>
        </is>
      </c>
      <c r="D349" s="25" t="inlineStr">
        <is>
          <t>YN</t>
        </is>
      </c>
      <c r="E349" s="26">
        <f>IF(OR(A349="",B349=""),"",A349&amp;"|"&amp;B349)</f>
        <v/>
      </c>
      <c r="F349" s="26">
        <f>IF(OR(E349="",C349=""),"",E349&amp;"|"&amp;C349)</f>
        <v/>
      </c>
    </row>
    <row r="350">
      <c r="A350" s="23" t="inlineStr">
        <is>
          <t>Reloj</t>
        </is>
      </c>
      <c r="B350" s="24" t="inlineStr">
        <is>
          <t>Fotografías de recepción</t>
        </is>
      </c>
      <c r="C350" s="24" t="inlineStr">
        <is>
          <t>¿Se tomó la foto del serial / IMEI?</t>
        </is>
      </c>
      <c r="D350" s="25" t="inlineStr">
        <is>
          <t>YN</t>
        </is>
      </c>
      <c r="E350" s="26">
        <f>IF(OR(A350="",B350=""),"",A350&amp;"|"&amp;B350)</f>
        <v/>
      </c>
      <c r="F350" s="26">
        <f>IF(OR(E350="",C350=""),"",E350&amp;"|"&amp;C350)</f>
        <v/>
      </c>
    </row>
    <row r="351">
      <c r="A351" s="23" t="inlineStr">
        <is>
          <t>Reloj</t>
        </is>
      </c>
      <c r="B351" s="24" t="inlineStr">
        <is>
          <t>Fotografías de recepción</t>
        </is>
      </c>
      <c r="C351" s="24" t="inlineStr">
        <is>
          <t>¿Se tomó la foto de los daños existentes?</t>
        </is>
      </c>
      <c r="D351" s="25" t="inlineStr">
        <is>
          <t>YN</t>
        </is>
      </c>
      <c r="E351" s="26">
        <f>IF(OR(A351="",B351=""),"",A351&amp;"|"&amp;B351)</f>
        <v/>
      </c>
      <c r="F351" s="26">
        <f>IF(OR(E351="",C351=""),"",E351&amp;"|"&amp;C351)</f>
        <v/>
      </c>
    </row>
    <row r="352">
      <c r="A352" s="23" t="inlineStr">
        <is>
          <t>Reloj</t>
        </is>
      </c>
      <c r="B352" s="24" t="inlineStr">
        <is>
          <t>Fotografías de recepción</t>
        </is>
      </c>
      <c r="C352" s="24" t="inlineStr">
        <is>
          <t>¿Se tomó un video del equipo al ingresar?</t>
        </is>
      </c>
      <c r="D352" s="25" t="inlineStr">
        <is>
          <t>YN</t>
        </is>
      </c>
      <c r="E352" s="26">
        <f>IF(OR(A352="",B352=""),"",A352&amp;"|"&amp;B352)</f>
        <v/>
      </c>
      <c r="F352" s="26">
        <f>IF(OR(E352="",C352=""),"",E352&amp;"|"&amp;C352)</f>
        <v/>
      </c>
    </row>
    <row r="353">
      <c r="A353" s="23" t="inlineStr">
        <is>
          <t>Reloj</t>
        </is>
      </c>
      <c r="B353" s="24" t="inlineStr">
        <is>
          <t>Fotografías de recepción</t>
        </is>
      </c>
      <c r="C353" s="24" t="inlineStr">
        <is>
          <t>¿Se fotografió el estado de la batería o el porcentaje?</t>
        </is>
      </c>
      <c r="D353" s="25" t="inlineStr">
        <is>
          <t>YN</t>
        </is>
      </c>
      <c r="E353" s="26">
        <f>IF(OR(A353="",B353=""),"",A353&amp;"|"&amp;B353)</f>
        <v/>
      </c>
      <c r="F353" s="26">
        <f>IF(OR(E353="",C353=""),"",E353&amp;"|"&amp;C353)</f>
        <v/>
      </c>
    </row>
    <row r="354">
      <c r="A354" s="23" t="inlineStr">
        <is>
          <t>Reloj</t>
        </is>
      </c>
      <c r="B354" s="24" t="inlineStr">
        <is>
          <t>Fotografías de recepción</t>
        </is>
      </c>
      <c r="C354" s="24" t="inlineStr">
        <is>
          <t>¿Se fotografiaron los accesorios entregados?</t>
        </is>
      </c>
      <c r="D354" s="25" t="inlineStr">
        <is>
          <t>YN</t>
        </is>
      </c>
      <c r="E354" s="26">
        <f>IF(OR(A354="",B354=""),"",A354&amp;"|"&amp;B354)</f>
        <v/>
      </c>
      <c r="F354" s="26">
        <f>IF(OR(E354="",C354=""),"",E354&amp;"|"&amp;C354)</f>
        <v/>
      </c>
    </row>
    <row r="355">
      <c r="A355" s="23" t="inlineStr">
        <is>
          <t>Reloj</t>
        </is>
      </c>
      <c r="B355" s="24" t="inlineStr">
        <is>
          <t>Pruebas funcionales de ingreso</t>
        </is>
      </c>
      <c r="C355" s="24" t="inlineStr">
        <is>
          <t>¿Funciona: pantalla táctil?</t>
        </is>
      </c>
      <c r="D355" s="25" t="inlineStr">
        <is>
          <t>FUN</t>
        </is>
      </c>
      <c r="E355" s="26">
        <f>IF(OR(A355="",B355=""),"",A355&amp;"|"&amp;B355)</f>
        <v/>
      </c>
      <c r="F355" s="26">
        <f>IF(OR(E355="",C355=""),"",E355&amp;"|"&amp;C355)</f>
        <v/>
      </c>
    </row>
    <row r="356">
      <c r="A356" s="23" t="inlineStr">
        <is>
          <t>Reloj</t>
        </is>
      </c>
      <c r="B356" s="24" t="inlineStr">
        <is>
          <t>Pruebas funcionales de ingreso</t>
        </is>
      </c>
      <c r="C356" s="24" t="inlineStr">
        <is>
          <t>¿Funciona: botones / corona?</t>
        </is>
      </c>
      <c r="D356" s="25" t="inlineStr">
        <is>
          <t>FUN</t>
        </is>
      </c>
      <c r="E356" s="26">
        <f>IF(OR(A356="",B356=""),"",A356&amp;"|"&amp;B356)</f>
        <v/>
      </c>
      <c r="F356" s="26">
        <f>IF(OR(E356="",C356=""),"",E356&amp;"|"&amp;C356)</f>
        <v/>
      </c>
    </row>
    <row r="357">
      <c r="A357" s="23" t="inlineStr">
        <is>
          <t>Reloj</t>
        </is>
      </c>
      <c r="B357" s="24" t="inlineStr">
        <is>
          <t>Pruebas funcionales de ingreso</t>
        </is>
      </c>
      <c r="C357" s="24" t="inlineStr">
        <is>
          <t>¿Funciona: sensor cardíaco?</t>
        </is>
      </c>
      <c r="D357" s="25" t="inlineStr">
        <is>
          <t>FUN</t>
        </is>
      </c>
      <c r="E357" s="26">
        <f>IF(OR(A357="",B357=""),"",A357&amp;"|"&amp;B357)</f>
        <v/>
      </c>
      <c r="F357" s="26">
        <f>IF(OR(E357="",C357=""),"",E357&amp;"|"&amp;C357)</f>
        <v/>
      </c>
    </row>
    <row r="358">
      <c r="A358" s="23" t="inlineStr">
        <is>
          <t>Reloj</t>
        </is>
      </c>
      <c r="B358" s="24" t="inlineStr">
        <is>
          <t>Pruebas funcionales de ingreso</t>
        </is>
      </c>
      <c r="C358" s="24" t="inlineStr">
        <is>
          <t>¿Funciona: carga?</t>
        </is>
      </c>
      <c r="D358" s="25" t="inlineStr">
        <is>
          <t>FUN</t>
        </is>
      </c>
      <c r="E358" s="26">
        <f>IF(OR(A358="",B358=""),"",A358&amp;"|"&amp;B358)</f>
        <v/>
      </c>
      <c r="F358" s="26">
        <f>IF(OR(E358="",C358=""),"",E358&amp;"|"&amp;C358)</f>
        <v/>
      </c>
    </row>
    <row r="359">
      <c r="A359" s="23" t="inlineStr">
        <is>
          <t>Reloj</t>
        </is>
      </c>
      <c r="B359" s="24" t="inlineStr">
        <is>
          <t>Pruebas funcionales de ingreso</t>
        </is>
      </c>
      <c r="C359" s="24" t="inlineStr">
        <is>
          <t>¿Funciona: vinculación con el teléfono?</t>
        </is>
      </c>
      <c r="D359" s="25" t="inlineStr">
        <is>
          <t>FUN</t>
        </is>
      </c>
      <c r="E359" s="26">
        <f>IF(OR(A359="",B359=""),"",A359&amp;"|"&amp;B359)</f>
        <v/>
      </c>
      <c r="F359" s="26">
        <f>IF(OR(E359="",C359=""),"",E359&amp;"|"&amp;C359)</f>
        <v/>
      </c>
    </row>
    <row r="360">
      <c r="A360" s="23" t="inlineStr">
        <is>
          <t>Reloj</t>
        </is>
      </c>
      <c r="B360" s="24" t="inlineStr">
        <is>
          <t>Pruebas funcionales de ingreso</t>
        </is>
      </c>
      <c r="C360" s="24" t="inlineStr">
        <is>
          <t>¿Funciona: vibración?</t>
        </is>
      </c>
      <c r="D360" s="25" t="inlineStr">
        <is>
          <t>FUN</t>
        </is>
      </c>
      <c r="E360" s="26">
        <f>IF(OR(A360="",B360=""),"",A360&amp;"|"&amp;B360)</f>
        <v/>
      </c>
      <c r="F360" s="26">
        <f>IF(OR(E360="",C360=""),"",E360&amp;"|"&amp;C360)</f>
        <v/>
      </c>
    </row>
    <row r="361">
      <c r="A361" s="23" t="inlineStr">
        <is>
          <t>Reloj</t>
        </is>
      </c>
      <c r="B361" s="24" t="inlineStr">
        <is>
          <t>Pruebas funcionales de ingreso</t>
        </is>
      </c>
      <c r="C361" s="24" t="inlineStr">
        <is>
          <t>¿Funciona: pantalla siempre activa?</t>
        </is>
      </c>
      <c r="D361" s="25" t="inlineStr">
        <is>
          <t>FUN</t>
        </is>
      </c>
      <c r="E361" s="26">
        <f>IF(OR(A361="",B361=""),"",A361&amp;"|"&amp;B361)</f>
        <v/>
      </c>
      <c r="F361" s="26">
        <f>IF(OR(E361="",C361=""),"",E361&amp;"|"&amp;C361)</f>
        <v/>
      </c>
    </row>
    <row r="362">
      <c r="A362" s="23" t="inlineStr">
        <is>
          <t>Reloj</t>
        </is>
      </c>
      <c r="B362" s="24" t="inlineStr">
        <is>
          <t>Pruebas funcionales de ingreso</t>
        </is>
      </c>
      <c r="C362" s="24" t="inlineStr">
        <is>
          <t>¿Funciona: micrófono del reloj?</t>
        </is>
      </c>
      <c r="D362" s="25" t="inlineStr">
        <is>
          <t>FUN</t>
        </is>
      </c>
      <c r="E362" s="26">
        <f>IF(OR(A362="",B362=""),"",A362&amp;"|"&amp;B362)</f>
        <v/>
      </c>
      <c r="F362" s="26">
        <f>IF(OR(E362="",C362=""),"",E362&amp;"|"&amp;C362)</f>
        <v/>
      </c>
    </row>
    <row r="363">
      <c r="A363" s="23" t="inlineStr">
        <is>
          <t>Reloj</t>
        </is>
      </c>
      <c r="B363" s="24" t="inlineStr">
        <is>
          <t>Autorizaciones</t>
        </is>
      </c>
      <c r="C363" s="24" t="inlineStr">
        <is>
          <t>¿El cliente autoriza el contacto por WhatsApp para informar el diagnóstico?</t>
        </is>
      </c>
      <c r="D363" s="25" t="inlineStr">
        <is>
          <t>YN</t>
        </is>
      </c>
      <c r="E363" s="26">
        <f>IF(OR(A363="",B363=""),"",A363&amp;"|"&amp;B363)</f>
        <v/>
      </c>
      <c r="F363" s="26">
        <f>IF(OR(E363="",C363=""),"",E363&amp;"|"&amp;C363)</f>
        <v/>
      </c>
    </row>
    <row r="364">
      <c r="A364" s="23" t="inlineStr">
        <is>
          <t>Reloj</t>
        </is>
      </c>
      <c r="B364" s="24" t="inlineStr">
        <is>
          <t>Autorizaciones</t>
        </is>
      </c>
      <c r="C364" s="24" t="inlineStr">
        <is>
          <t>¿El cliente autoriza el envío de fotos del equipo?</t>
        </is>
      </c>
      <c r="D364" s="25" t="inlineStr">
        <is>
          <t>YN</t>
        </is>
      </c>
      <c r="E364" s="26">
        <f>IF(OR(A364="",B364=""),"",A364&amp;"|"&amp;B364)</f>
        <v/>
      </c>
      <c r="F364" s="26">
        <f>IF(OR(E364="",C364=""),"",E364&amp;"|"&amp;C364)</f>
        <v/>
      </c>
    </row>
    <row r="365">
      <c r="A365" s="23" t="inlineStr">
        <is>
          <t>Reloj</t>
        </is>
      </c>
      <c r="B365" s="24" t="inlineStr">
        <is>
          <t>Autorizaciones</t>
        </is>
      </c>
      <c r="C365" s="24" t="inlineStr">
        <is>
          <t>¿Se le informó al cliente si el diagnóstico tiene costo?</t>
        </is>
      </c>
      <c r="D365" s="25" t="inlineStr">
        <is>
          <t>YN</t>
        </is>
      </c>
      <c r="E365" s="26">
        <f>IF(OR(A365="",B365=""),"",A365&amp;"|"&amp;B365)</f>
        <v/>
      </c>
      <c r="F365" s="26">
        <f>IF(OR(E365="",C365=""),"",E365&amp;"|"&amp;C365)</f>
        <v/>
      </c>
    </row>
    <row r="366">
      <c r="A366" s="23" t="inlineStr">
        <is>
          <t>Reloj</t>
        </is>
      </c>
      <c r="B366" s="24" t="inlineStr">
        <is>
          <t>Autorizaciones</t>
        </is>
      </c>
      <c r="C366" s="24" t="inlineStr">
        <is>
          <t>¿Se le entregó copia de la orden de recepción?</t>
        </is>
      </c>
      <c r="D366" s="25" t="inlineStr">
        <is>
          <t>YN</t>
        </is>
      </c>
      <c r="E366" s="26">
        <f>IF(OR(A366="",B366=""),"",A366&amp;"|"&amp;B366)</f>
        <v/>
      </c>
      <c r="F366" s="26">
        <f>IF(OR(E366="",C366=""),"",E366&amp;"|"&amp;C366)</f>
        <v/>
      </c>
    </row>
    <row r="367">
      <c r="A367" s="23" t="inlineStr">
        <is>
          <t>Reloj</t>
        </is>
      </c>
      <c r="B367" s="24" t="inlineStr">
        <is>
          <t>Autorizaciones</t>
        </is>
      </c>
      <c r="C367" s="24" t="inlineStr">
        <is>
          <t>¿El cliente autoriza el diagnóstico técnico del equipo?</t>
        </is>
      </c>
      <c r="D367" s="25" t="inlineStr">
        <is>
          <t>YN</t>
        </is>
      </c>
      <c r="E367" s="26">
        <f>IF(OR(A367="",B367=""),"",A367&amp;"|"&amp;B367)</f>
        <v/>
      </c>
      <c r="F367" s="26">
        <f>IF(OR(E367="",C367=""),"",E367&amp;"|"&amp;C367)</f>
        <v/>
      </c>
    </row>
    <row r="368">
      <c r="A368" s="23" t="inlineStr">
        <is>
          <t>Reloj</t>
        </is>
      </c>
      <c r="B368" s="24" t="inlineStr">
        <is>
          <t>Autorizaciones</t>
        </is>
      </c>
      <c r="C368" s="24" t="inlineStr">
        <is>
          <t>¿El cliente declara haber informado golpes, líquidos, reparaciones anteriores y fallas conocidas?</t>
        </is>
      </c>
      <c r="D368" s="25" t="inlineStr">
        <is>
          <t>YN</t>
        </is>
      </c>
      <c r="E368" s="26">
        <f>IF(OR(A368="",B368=""),"",A368&amp;"|"&amp;B368)</f>
        <v/>
      </c>
      <c r="F368" s="26">
        <f>IF(OR(E368="",C368=""),"",E368&amp;"|"&amp;C368)</f>
        <v/>
      </c>
    </row>
    <row r="369">
      <c r="A369" s="23" t="inlineStr">
        <is>
          <t>Reloj</t>
        </is>
      </c>
      <c r="B369" s="24" t="inlineStr">
        <is>
          <t>Autorizaciones</t>
        </is>
      </c>
      <c r="C369" s="24" t="inlineStr">
        <is>
          <t>¿El cliente entiende que RCP no responde por información sin respaldo cuando se intervenga almacenamiento o sistema operativo?</t>
        </is>
      </c>
      <c r="D369" s="25" t="inlineStr">
        <is>
          <t>YN</t>
        </is>
      </c>
      <c r="E369" s="26">
        <f>IF(OR(A369="",B369=""),"",A369&amp;"|"&amp;B369)</f>
        <v/>
      </c>
      <c r="F369" s="26">
        <f>IF(OR(E369="",C369=""),"",E369&amp;"|"&amp;C369)</f>
        <v/>
      </c>
    </row>
    <row r="370">
      <c r="A370" s="23" t="inlineStr">
        <is>
          <t>Reloj</t>
        </is>
      </c>
      <c r="B370" s="24" t="inlineStr">
        <is>
          <t>Autorizaciones</t>
        </is>
      </c>
      <c r="C370" s="24" t="inlineStr">
        <is>
          <t>¿El cliente autoriza las pruebas funcionales necesarias para comprobar la reparación?</t>
        </is>
      </c>
      <c r="D370" s="25" t="inlineStr">
        <is>
          <t>YN</t>
        </is>
      </c>
      <c r="E370" s="26">
        <f>IF(OR(A370="",B370=""),"",A370&amp;"|"&amp;B370)</f>
        <v/>
      </c>
      <c r="F370" s="26">
        <f>IF(OR(E370="",C370=""),"",E370&amp;"|"&amp;C370)</f>
        <v/>
      </c>
    </row>
    <row r="371">
      <c r="A371" s="23" t="inlineStr">
        <is>
          <t>Reloj</t>
        </is>
      </c>
      <c r="B371" s="24" t="inlineStr">
        <is>
          <t>Autorizaciones</t>
        </is>
      </c>
      <c r="C371" s="24" t="inlineStr">
        <is>
          <t>¿Cómo se maneja la contraseña / PIN para las pruebas?</t>
        </is>
      </c>
      <c r="D371" s="25" t="inlineStr">
        <is>
          <t>PIN</t>
        </is>
      </c>
      <c r="E371" s="26">
        <f>IF(OR(A371="",B371=""),"",A371&amp;"|"&amp;B371)</f>
        <v/>
      </c>
      <c r="F371" s="26">
        <f>IF(OR(E371="",C371=""),"",E371&amp;"|"&amp;C371)</f>
        <v/>
      </c>
    </row>
    <row r="372">
      <c r="A372" s="23" t="inlineStr">
        <is>
          <t>Reloj</t>
        </is>
      </c>
      <c r="B372" s="24" t="inlineStr">
        <is>
          <t>Autorizaciones</t>
        </is>
      </c>
      <c r="C372" s="24" t="inlineStr">
        <is>
          <t>¿El cliente firmó la orden de recepción?</t>
        </is>
      </c>
      <c r="D372" s="25" t="inlineStr">
        <is>
          <t>YN</t>
        </is>
      </c>
      <c r="E372" s="26">
        <f>IF(OR(A372="",B372=""),"",A372&amp;"|"&amp;B372)</f>
        <v/>
      </c>
      <c r="F372" s="26">
        <f>IF(OR(E372="",C372=""),"",E372&amp;"|"&amp;C372)</f>
        <v/>
      </c>
    </row>
    <row r="373">
      <c r="A373" s="23" t="inlineStr">
        <is>
          <t>Reloj</t>
        </is>
      </c>
      <c r="B373" s="24" t="inlineStr">
        <is>
          <t>Autorizaciones</t>
        </is>
      </c>
      <c r="C373" s="24" t="inlineStr">
        <is>
          <t>Contraseña / PIN (escríbalo solo si el cliente lo proporciona)</t>
        </is>
      </c>
      <c r="D373" s="25" t="inlineStr">
        <is>
          <t>TXT</t>
        </is>
      </c>
      <c r="E373" s="26">
        <f>IF(OR(A373="",B373=""),"",A373&amp;"|"&amp;B373)</f>
        <v/>
      </c>
      <c r="F373" s="26">
        <f>IF(OR(E373="",C373=""),"",E373&amp;"|"&amp;C373)</f>
        <v/>
      </c>
    </row>
    <row r="374">
      <c r="A374" s="23" t="inlineStr">
        <is>
          <t>Computadora</t>
        </is>
      </c>
      <c r="B374" s="24" t="inlineStr">
        <is>
          <t>Datos generales</t>
        </is>
      </c>
      <c r="C374" s="24" t="inlineStr">
        <is>
          <t>¿Cuál es la falla principal que presenta el equipo?</t>
        </is>
      </c>
      <c r="D374" s="25" t="inlineStr">
        <is>
          <t>FALLAP</t>
        </is>
      </c>
      <c r="E374" s="26">
        <f>IF(OR(A374="",B374=""),"",A374&amp;"|"&amp;B374)</f>
        <v/>
      </c>
      <c r="F374" s="26">
        <f>IF(OR(E374="",C374=""),"",E374&amp;"|"&amp;C374)</f>
        <v/>
      </c>
    </row>
    <row r="375">
      <c r="A375" s="23" t="inlineStr">
        <is>
          <t>Computadora</t>
        </is>
      </c>
      <c r="B375" s="24" t="inlineStr">
        <is>
          <t>Datos generales</t>
        </is>
      </c>
      <c r="C375" s="24" t="inlineStr">
        <is>
          <t>¿Desde cuándo presenta la falla?</t>
        </is>
      </c>
      <c r="D375" s="25" t="inlineStr">
        <is>
          <t>DESDE</t>
        </is>
      </c>
      <c r="E375" s="26">
        <f>IF(OR(A375="",B375=""),"",A375&amp;"|"&amp;B375)</f>
        <v/>
      </c>
      <c r="F375" s="26">
        <f>IF(OR(E375="",C375=""),"",E375&amp;"|"&amp;C375)</f>
        <v/>
      </c>
    </row>
    <row r="376">
      <c r="A376" s="23" t="inlineStr">
        <is>
          <t>Computadora</t>
        </is>
      </c>
      <c r="B376" s="24" t="inlineStr">
        <is>
          <t>Datos generales</t>
        </is>
      </c>
      <c r="C376" s="24" t="inlineStr">
        <is>
          <t>¿La falla es permanente o sucede algunas veces?</t>
        </is>
      </c>
      <c r="D376" s="25" t="inlineStr">
        <is>
          <t>PERM</t>
        </is>
      </c>
      <c r="E376" s="26">
        <f>IF(OR(A376="",B376=""),"",A376&amp;"|"&amp;B376)</f>
        <v/>
      </c>
      <c r="F376" s="26">
        <f>IF(OR(E376="",C376=""),"",E376&amp;"|"&amp;C376)</f>
        <v/>
      </c>
    </row>
    <row r="377">
      <c r="A377" s="23" t="inlineStr">
        <is>
          <t>Computadora</t>
        </is>
      </c>
      <c r="B377" s="24" t="inlineStr">
        <is>
          <t>Datos generales</t>
        </is>
      </c>
      <c r="C377" s="24" t="inlineStr">
        <is>
          <t>¿Sufrió algún golpe o caída recientemente?</t>
        </is>
      </c>
      <c r="D377" s="25" t="inlineStr">
        <is>
          <t>YNS</t>
        </is>
      </c>
      <c r="E377" s="26">
        <f>IF(OR(A377="",B377=""),"",A377&amp;"|"&amp;B377)</f>
        <v/>
      </c>
      <c r="F377" s="26">
        <f>IF(OR(E377="",C377=""),"",E377&amp;"|"&amp;C377)</f>
        <v/>
      </c>
    </row>
    <row r="378">
      <c r="A378" s="23" t="inlineStr">
        <is>
          <t>Computadora</t>
        </is>
      </c>
      <c r="B378" s="24" t="inlineStr">
        <is>
          <t>Datos generales</t>
        </is>
      </c>
      <c r="C378" s="24" t="inlineStr">
        <is>
          <t>¿Ha tenido contacto con agua, humedad o algún líquido?</t>
        </is>
      </c>
      <c r="D378" s="25" t="inlineStr">
        <is>
          <t>YNS</t>
        </is>
      </c>
      <c r="E378" s="26">
        <f>IF(OR(A378="",B378=""),"",A378&amp;"|"&amp;B378)</f>
        <v/>
      </c>
      <c r="F378" s="26">
        <f>IF(OR(E378="",C378=""),"",E378&amp;"|"&amp;C378)</f>
        <v/>
      </c>
    </row>
    <row r="379">
      <c r="A379" s="23" t="inlineStr">
        <is>
          <t>Computadora</t>
        </is>
      </c>
      <c r="B379" s="24" t="inlineStr">
        <is>
          <t>Datos generales</t>
        </is>
      </c>
      <c r="C379" s="24" t="inlineStr">
        <is>
          <t>¿Ha sido abierto o reparado anteriormente?</t>
        </is>
      </c>
      <c r="D379" s="25" t="inlineStr">
        <is>
          <t>YNS</t>
        </is>
      </c>
      <c r="E379" s="26">
        <f>IF(OR(A379="",B379=""),"",A379&amp;"|"&amp;B379)</f>
        <v/>
      </c>
      <c r="F379" s="26">
        <f>IF(OR(E379="",C379=""),"",E379&amp;"|"&amp;C379)</f>
        <v/>
      </c>
    </row>
    <row r="380">
      <c r="A380" s="23" t="inlineStr">
        <is>
          <t>Computadora</t>
        </is>
      </c>
      <c r="B380" s="24" t="inlineStr">
        <is>
          <t>Datos generales</t>
        </is>
      </c>
      <c r="C380" s="24" t="inlineStr">
        <is>
          <t>¿Enciende actualmente?</t>
        </is>
      </c>
      <c r="D380" s="25" t="inlineStr">
        <is>
          <t>ENC</t>
        </is>
      </c>
      <c r="E380" s="26">
        <f>IF(OR(A380="",B380=""),"",A380&amp;"|"&amp;B380)</f>
        <v/>
      </c>
      <c r="F380" s="26">
        <f>IF(OR(E380="",C380=""),"",E380&amp;"|"&amp;C380)</f>
        <v/>
      </c>
    </row>
    <row r="381">
      <c r="A381" s="23" t="inlineStr">
        <is>
          <t>Computadora</t>
        </is>
      </c>
      <c r="B381" s="24" t="inlineStr">
        <is>
          <t>Datos generales</t>
        </is>
      </c>
      <c r="C381" s="24" t="inlineStr">
        <is>
          <t>¿El equipo se reinicia o se apaga solo?</t>
        </is>
      </c>
      <c r="D381" s="25" t="inlineStr">
        <is>
          <t>YNS</t>
        </is>
      </c>
      <c r="E381" s="26">
        <f>IF(OR(A381="",B381=""),"",A381&amp;"|"&amp;B381)</f>
        <v/>
      </c>
      <c r="F381" s="26">
        <f>IF(OR(E381="",C381=""),"",E381&amp;"|"&amp;C381)</f>
        <v/>
      </c>
    </row>
    <row r="382">
      <c r="A382" s="23" t="inlineStr">
        <is>
          <t>Computadora</t>
        </is>
      </c>
      <c r="B382" s="24" t="inlineStr">
        <is>
          <t>Datos generales</t>
        </is>
      </c>
      <c r="C382" s="24" t="inlineStr">
        <is>
          <t>¿Tiene información importante que no puede perder?</t>
        </is>
      </c>
      <c r="D382" s="25" t="inlineStr">
        <is>
          <t>YNS</t>
        </is>
      </c>
      <c r="E382" s="26">
        <f>IF(OR(A382="",B382=""),"",A382&amp;"|"&amp;B382)</f>
        <v/>
      </c>
      <c r="F382" s="26">
        <f>IF(OR(E382="",C382=""),"",E382&amp;"|"&amp;C382)</f>
        <v/>
      </c>
    </row>
    <row r="383">
      <c r="A383" s="23" t="inlineStr">
        <is>
          <t>Computadora</t>
        </is>
      </c>
      <c r="B383" s="24" t="inlineStr">
        <is>
          <t>Datos generales</t>
        </is>
      </c>
      <c r="C383" s="24" t="inlineStr">
        <is>
          <t>¿Tiene respaldo reciente de su información?</t>
        </is>
      </c>
      <c r="D383" s="25" t="inlineStr">
        <is>
          <t>YNS</t>
        </is>
      </c>
      <c r="E383" s="26">
        <f>IF(OR(A383="",B383=""),"",A383&amp;"|"&amp;B383)</f>
        <v/>
      </c>
      <c r="F383" s="26">
        <f>IF(OR(E383="",C383=""),"",E383&amp;"|"&amp;C383)</f>
        <v/>
      </c>
    </row>
    <row r="384">
      <c r="A384" s="23" t="inlineStr">
        <is>
          <t>Computadora</t>
        </is>
      </c>
      <c r="B384" s="24" t="inlineStr">
        <is>
          <t>Datos generales</t>
        </is>
      </c>
      <c r="C384" s="24" t="inlineStr">
        <is>
          <t>¿Hay alguna otra falla o condición que debamos conocer?</t>
        </is>
      </c>
      <c r="D384" s="25" t="inlineStr">
        <is>
          <t>OTRAF</t>
        </is>
      </c>
      <c r="E384" s="26">
        <f>IF(OR(A384="",B384=""),"",A384&amp;"|"&amp;B384)</f>
        <v/>
      </c>
      <c r="F384" s="26">
        <f>IF(OR(E384="",C384=""),"",E384&amp;"|"&amp;C384)</f>
        <v/>
      </c>
    </row>
    <row r="385">
      <c r="A385" s="23" t="inlineStr">
        <is>
          <t>Computadora</t>
        </is>
      </c>
      <c r="B385" s="24" t="inlineStr">
        <is>
          <t>Datos generales</t>
        </is>
      </c>
      <c r="C385" s="24" t="inlineStr">
        <is>
          <t>¿Es la primera vez que presenta esta falla?</t>
        </is>
      </c>
      <c r="D385" s="25" t="inlineStr">
        <is>
          <t>YNS</t>
        </is>
      </c>
      <c r="E385" s="26">
        <f>IF(OR(A385="",B385=""),"",A385&amp;"|"&amp;B385)</f>
        <v/>
      </c>
      <c r="F385" s="26">
        <f>IF(OR(E385="",C385=""),"",E385&amp;"|"&amp;C385)</f>
        <v/>
      </c>
    </row>
    <row r="386">
      <c r="A386" s="23" t="inlineStr">
        <is>
          <t>Computadora</t>
        </is>
      </c>
      <c r="B386" s="24" t="inlineStr">
        <is>
          <t>Datos generales</t>
        </is>
      </c>
      <c r="C386" s="24" t="inlineStr">
        <is>
          <t>¿Qué antigüedad tiene el equipo?</t>
        </is>
      </c>
      <c r="D386" s="25" t="inlineStr">
        <is>
          <t>ANTIG</t>
        </is>
      </c>
      <c r="E386" s="26">
        <f>IF(OR(A386="",B386=""),"",A386&amp;"|"&amp;B386)</f>
        <v/>
      </c>
      <c r="F386" s="26">
        <f>IF(OR(E386="",C386=""),"",E386&amp;"|"&amp;C386)</f>
        <v/>
      </c>
    </row>
    <row r="387">
      <c r="A387" s="23" t="inlineStr">
        <is>
          <t>Computadora</t>
        </is>
      </c>
      <c r="B387" s="24" t="inlineStr">
        <is>
          <t>Datos generales</t>
        </is>
      </c>
      <c r="C387" s="24" t="inlineStr">
        <is>
          <t>¿El equipo está en garantía?</t>
        </is>
      </c>
      <c r="D387" s="25" t="inlineStr">
        <is>
          <t>YNS</t>
        </is>
      </c>
      <c r="E387" s="26">
        <f>IF(OR(A387="",B387=""),"",A387&amp;"|"&amp;B387)</f>
        <v/>
      </c>
      <c r="F387" s="26">
        <f>IF(OR(E387="",C387=""),"",E387&amp;"|"&amp;C387)</f>
        <v/>
      </c>
    </row>
    <row r="388">
      <c r="A388" s="23" t="inlineStr">
        <is>
          <t>Computadora</t>
        </is>
      </c>
      <c r="B388" s="24" t="inlineStr">
        <is>
          <t>Datos generales</t>
        </is>
      </c>
      <c r="C388" s="24" t="inlineStr">
        <is>
          <t>¿Para qué usa principalmente el equipo?</t>
        </is>
      </c>
      <c r="D388" s="25" t="inlineStr">
        <is>
          <t>USO</t>
        </is>
      </c>
      <c r="E388" s="26">
        <f>IF(OR(A388="",B388=""),"",A388&amp;"|"&amp;B388)</f>
        <v/>
      </c>
      <c r="F388" s="26">
        <f>IF(OR(E388="",C388=""),"",E388&amp;"|"&amp;C388)</f>
        <v/>
      </c>
    </row>
    <row r="389">
      <c r="A389" s="23" t="inlineStr">
        <is>
          <t>Computadora</t>
        </is>
      </c>
      <c r="B389" s="24" t="inlineStr">
        <is>
          <t>Datos generales</t>
        </is>
      </c>
      <c r="C389" s="24" t="inlineStr">
        <is>
          <t>¿Qué tan urgente es tener el equipo de vuelta?</t>
        </is>
      </c>
      <c r="D389" s="25" t="inlineStr">
        <is>
          <t>URG</t>
        </is>
      </c>
      <c r="E389" s="26">
        <f>IF(OR(A389="",B389=""),"",A389&amp;"|"&amp;B389)</f>
        <v/>
      </c>
      <c r="F389" s="26">
        <f>IF(OR(E389="",C389=""),"",E389&amp;"|"&amp;C389)</f>
        <v/>
      </c>
    </row>
    <row r="390">
      <c r="A390" s="23" t="inlineStr">
        <is>
          <t>Computadora</t>
        </is>
      </c>
      <c r="B390" s="24" t="inlineStr">
        <is>
          <t>Datos generales</t>
        </is>
      </c>
      <c r="C390" s="24" t="inlineStr">
        <is>
          <t>¿Por qué medio prefiere que le avisemos?</t>
        </is>
      </c>
      <c r="D390" s="25" t="inlineStr">
        <is>
          <t>CONT</t>
        </is>
      </c>
      <c r="E390" s="26">
        <f>IF(OR(A390="",B390=""),"",A390&amp;"|"&amp;B390)</f>
        <v/>
      </c>
      <c r="F390" s="26">
        <f>IF(OR(E390="",C390=""),"",E390&amp;"|"&amp;C390)</f>
        <v/>
      </c>
    </row>
    <row r="391">
      <c r="A391" s="23" t="inlineStr">
        <is>
          <t>Computadora</t>
        </is>
      </c>
      <c r="B391" s="24" t="inlineStr">
        <is>
          <t>Datos generales</t>
        </is>
      </c>
      <c r="C391" s="24" t="inlineStr">
        <is>
          <t>¿Desea que se le informe el costo antes de reparar?</t>
        </is>
      </c>
      <c r="D391" s="25" t="inlineStr">
        <is>
          <t>YNS</t>
        </is>
      </c>
      <c r="E391" s="26">
        <f>IF(OR(A391="",B391=""),"",A391&amp;"|"&amp;B391)</f>
        <v/>
      </c>
      <c r="F391" s="26">
        <f>IF(OR(E391="",C391=""),"",E391&amp;"|"&amp;C391)</f>
        <v/>
      </c>
    </row>
    <row r="392">
      <c r="A392" s="23" t="inlineStr">
        <is>
          <t>Computadora</t>
        </is>
      </c>
      <c r="B392" s="24" t="inlineStr">
        <is>
          <t>Datos generales</t>
        </is>
      </c>
      <c r="C392" s="24" t="inlineStr">
        <is>
          <t>¿Acepta una reparación con repuesto no original si el original no está disponible?</t>
        </is>
      </c>
      <c r="D392" s="25" t="inlineStr">
        <is>
          <t>YNS</t>
        </is>
      </c>
      <c r="E392" s="26">
        <f>IF(OR(A392="",B392=""),"",A392&amp;"|"&amp;B392)</f>
        <v/>
      </c>
      <c r="F392" s="26">
        <f>IF(OR(E392="",C392=""),"",E392&amp;"|"&amp;C392)</f>
        <v/>
      </c>
    </row>
    <row r="393">
      <c r="A393" s="23" t="inlineStr">
        <is>
          <t>Computadora</t>
        </is>
      </c>
      <c r="B393" s="24" t="inlineStr">
        <is>
          <t>No enciende</t>
        </is>
      </c>
      <c r="C393" s="24" t="inlineStr">
        <is>
          <t>¿Cuándo fue la última vez que encendió normalmente?</t>
        </is>
      </c>
      <c r="D393" s="25" t="inlineStr">
        <is>
          <t>CUANDO</t>
        </is>
      </c>
      <c r="E393" s="26">
        <f>IF(OR(A393="",B393=""),"",A393&amp;"|"&amp;B393)</f>
        <v/>
      </c>
      <c r="F393" s="26">
        <f>IF(OR(E393="",C393=""),"",E393&amp;"|"&amp;C393)</f>
        <v/>
      </c>
    </row>
    <row r="394">
      <c r="A394" s="23" t="inlineStr">
        <is>
          <t>Computadora</t>
        </is>
      </c>
      <c r="B394" s="24" t="inlineStr">
        <is>
          <t>No enciende</t>
        </is>
      </c>
      <c r="C394" s="24" t="inlineStr">
        <is>
          <t>¿Se apagó mientras lo estaba utilizando?</t>
        </is>
      </c>
      <c r="D394" s="25" t="inlineStr">
        <is>
          <t>YNS</t>
        </is>
      </c>
      <c r="E394" s="26">
        <f>IF(OR(A394="",B394=""),"",A394&amp;"|"&amp;B394)</f>
        <v/>
      </c>
      <c r="F394" s="26">
        <f>IF(OR(E394="",C394=""),"",E394&amp;"|"&amp;C394)</f>
        <v/>
      </c>
    </row>
    <row r="395">
      <c r="A395" s="23" t="inlineStr">
        <is>
          <t>Computadora</t>
        </is>
      </c>
      <c r="B395" s="24" t="inlineStr">
        <is>
          <t>No enciende</t>
        </is>
      </c>
      <c r="C395" s="24" t="inlineStr">
        <is>
          <t>¿Ocurrió después de una caída, líquido o sobrecalentamiento?</t>
        </is>
      </c>
      <c r="D395" s="25" t="inlineStr">
        <is>
          <t>YNS</t>
        </is>
      </c>
      <c r="E395" s="26">
        <f>IF(OR(A395="",B395=""),"",A395&amp;"|"&amp;B395)</f>
        <v/>
      </c>
      <c r="F395" s="26">
        <f>IF(OR(E395="",C395=""),"",E395&amp;"|"&amp;C395)</f>
        <v/>
      </c>
    </row>
    <row r="396">
      <c r="A396" s="23" t="inlineStr">
        <is>
          <t>Computadora</t>
        </is>
      </c>
      <c r="B396" s="24" t="inlineStr">
        <is>
          <t>No enciende</t>
        </is>
      </c>
      <c r="C396" s="24" t="inlineStr">
        <is>
          <t>¿Muestra alguna luz, vibración, sonido o señal de vida?</t>
        </is>
      </c>
      <c r="D396" s="25" t="inlineStr">
        <is>
          <t>SENAL</t>
        </is>
      </c>
      <c r="E396" s="26">
        <f>IF(OR(A396="",B396=""),"",A396&amp;"|"&amp;B396)</f>
        <v/>
      </c>
      <c r="F396" s="26">
        <f>IF(OR(E396="",C396=""),"",E396&amp;"|"&amp;C396)</f>
        <v/>
      </c>
    </row>
    <row r="397">
      <c r="A397" s="23" t="inlineStr">
        <is>
          <t>Computadora</t>
        </is>
      </c>
      <c r="B397" s="24" t="inlineStr">
        <is>
          <t>No enciende</t>
        </is>
      </c>
      <c r="C397" s="24" t="inlineStr">
        <is>
          <t>¿Ha intentado cargarlo con otro cargador o cable?</t>
        </is>
      </c>
      <c r="D397" s="25" t="inlineStr">
        <is>
          <t>YNS</t>
        </is>
      </c>
      <c r="E397" s="26">
        <f>IF(OR(A397="",B397=""),"",A397&amp;"|"&amp;B397)</f>
        <v/>
      </c>
      <c r="F397" s="26">
        <f>IF(OR(E397="",C397=""),"",E397&amp;"|"&amp;C397)</f>
        <v/>
      </c>
    </row>
    <row r="398">
      <c r="A398" s="23" t="inlineStr">
        <is>
          <t>Computadora</t>
        </is>
      </c>
      <c r="B398" s="24" t="inlineStr">
        <is>
          <t>No enciende</t>
        </is>
      </c>
      <c r="C398" s="24" t="inlineStr">
        <is>
          <t>¿Ha probado con otro cable de corriente o toma eléctrica?</t>
        </is>
      </c>
      <c r="D398" s="25" t="inlineStr">
        <is>
          <t>YNS</t>
        </is>
      </c>
      <c r="E398" s="26">
        <f>IF(OR(A398="",B398=""),"",A398&amp;"|"&amp;B398)</f>
        <v/>
      </c>
      <c r="F398" s="26">
        <f>IF(OR(E398="",C398=""),"",E398&amp;"|"&amp;C398)</f>
        <v/>
      </c>
    </row>
    <row r="399">
      <c r="A399" s="23" t="inlineStr">
        <is>
          <t>Computadora</t>
        </is>
      </c>
      <c r="B399" s="24" t="inlineStr">
        <is>
          <t>No enciende</t>
        </is>
      </c>
      <c r="C399" s="24" t="inlineStr">
        <is>
          <t>¿Se queda en el logo o se reinicia constantemente?</t>
        </is>
      </c>
      <c r="D399" s="25" t="inlineStr">
        <is>
          <t>YNS</t>
        </is>
      </c>
      <c r="E399" s="26">
        <f>IF(OR(A399="",B399=""),"",A399&amp;"|"&amp;B399)</f>
        <v/>
      </c>
      <c r="F399" s="26">
        <f>IF(OR(E399="",C399=""),"",E399&amp;"|"&amp;C399)</f>
        <v/>
      </c>
    </row>
    <row r="400">
      <c r="A400" s="23" t="inlineStr">
        <is>
          <t>Computadora</t>
        </is>
      </c>
      <c r="B400" s="24" t="inlineStr">
        <is>
          <t>No enciende</t>
        </is>
      </c>
      <c r="C400" s="24" t="inlineStr">
        <is>
          <t>¿Se escucha el ventilador o el disco al presionar encendido?</t>
        </is>
      </c>
      <c r="D400" s="25" t="inlineStr">
        <is>
          <t>YNS</t>
        </is>
      </c>
      <c r="E400" s="26">
        <f>IF(OR(A400="",B400=""),"",A400&amp;"|"&amp;B400)</f>
        <v/>
      </c>
      <c r="F400" s="26">
        <f>IF(OR(E400="",C400=""),"",E400&amp;"|"&amp;C400)</f>
        <v/>
      </c>
    </row>
    <row r="401">
      <c r="A401" s="23" t="inlineStr">
        <is>
          <t>Computadora</t>
        </is>
      </c>
      <c r="B401" s="24" t="inlineStr">
        <is>
          <t>No enciende</t>
        </is>
      </c>
      <c r="C401" s="24" t="inlineStr">
        <is>
          <t>¿Se apaga sola a los pocos segundos de encender?</t>
        </is>
      </c>
      <c r="D401" s="25" t="inlineStr">
        <is>
          <t>YNS</t>
        </is>
      </c>
      <c r="E401" s="26">
        <f>IF(OR(A401="",B401=""),"",A401&amp;"|"&amp;B401)</f>
        <v/>
      </c>
      <c r="F401" s="26">
        <f>IF(OR(E401="",C401=""),"",E401&amp;"|"&amp;C401)</f>
        <v/>
      </c>
    </row>
    <row r="402">
      <c r="A402" s="23" t="inlineStr">
        <is>
          <t>Computadora</t>
        </is>
      </c>
      <c r="B402" s="24" t="inlineStr">
        <is>
          <t>No enciende</t>
        </is>
      </c>
      <c r="C402" s="24" t="inlineStr">
        <is>
          <t>¿Alguien intentó repararlo después de que dejó de encender?</t>
        </is>
      </c>
      <c r="D402" s="25" t="inlineStr">
        <is>
          <t>YNS</t>
        </is>
      </c>
      <c r="E402" s="26">
        <f>IF(OR(A402="",B402=""),"",A402&amp;"|"&amp;B402)</f>
        <v/>
      </c>
      <c r="F402" s="26">
        <f>IF(OR(E402="",C402=""),"",E402&amp;"|"&amp;C402)</f>
        <v/>
      </c>
    </row>
    <row r="403">
      <c r="A403" s="23" t="inlineStr">
        <is>
          <t>Computadora</t>
        </is>
      </c>
      <c r="B403" s="24" t="inlineStr">
        <is>
          <t>No enciende</t>
        </is>
      </c>
      <c r="C403" s="24" t="inlineStr">
        <is>
          <t>¿Se calentó mucho antes de dejar de encender?</t>
        </is>
      </c>
      <c r="D403" s="25" t="inlineStr">
        <is>
          <t>YNS</t>
        </is>
      </c>
      <c r="E403" s="26">
        <f>IF(OR(A403="",B403=""),"",A403&amp;"|"&amp;B403)</f>
        <v/>
      </c>
      <c r="F403" s="26">
        <f>IF(OR(E403="",C403=""),"",E403&amp;"|"&amp;C403)</f>
        <v/>
      </c>
    </row>
    <row r="404">
      <c r="A404" s="23" t="inlineStr">
        <is>
          <t>Computadora</t>
        </is>
      </c>
      <c r="B404" s="24" t="inlineStr">
        <is>
          <t>No enciende</t>
        </is>
      </c>
      <c r="C404" s="24" t="inlineStr">
        <is>
          <t>¿Huele a quemado?</t>
        </is>
      </c>
      <c r="D404" s="25" t="inlineStr">
        <is>
          <t>YNS</t>
        </is>
      </c>
      <c r="E404" s="26">
        <f>IF(OR(A404="",B404=""),"",A404&amp;"|"&amp;B404)</f>
        <v/>
      </c>
      <c r="F404" s="26">
        <f>IF(OR(E404="",C404=""),"",E404&amp;"|"&amp;C404)</f>
        <v/>
      </c>
    </row>
    <row r="405">
      <c r="A405" s="23" t="inlineStr">
        <is>
          <t>Computadora</t>
        </is>
      </c>
      <c r="B405" s="24" t="inlineStr">
        <is>
          <t>No enciende</t>
        </is>
      </c>
      <c r="C405" s="24" t="inlineStr">
        <is>
          <t>¿Se enciende la luz de carga del cargador o del equipo?</t>
        </is>
      </c>
      <c r="D405" s="25" t="inlineStr">
        <is>
          <t>YNS</t>
        </is>
      </c>
      <c r="E405" s="26">
        <f>IF(OR(A405="",B405=""),"",A405&amp;"|"&amp;B405)</f>
        <v/>
      </c>
      <c r="F405" s="26">
        <f>IF(OR(E405="",C405=""),"",E405&amp;"|"&amp;C405)</f>
        <v/>
      </c>
    </row>
    <row r="406">
      <c r="A406" s="23" t="inlineStr">
        <is>
          <t>Computadora</t>
        </is>
      </c>
      <c r="B406" s="24" t="inlineStr">
        <is>
          <t>No enciende</t>
        </is>
      </c>
      <c r="C406" s="24" t="inlineStr">
        <is>
          <t>¿Da pantalla negra con el ventilador girando?</t>
        </is>
      </c>
      <c r="D406" s="25" t="inlineStr">
        <is>
          <t>YNS</t>
        </is>
      </c>
      <c r="E406" s="26">
        <f>IF(OR(A406="",B406=""),"",A406&amp;"|"&amp;B406)</f>
        <v/>
      </c>
      <c r="F406" s="26">
        <f>IF(OR(E406="",C406=""),"",E406&amp;"|"&amp;C406)</f>
        <v/>
      </c>
    </row>
    <row r="407">
      <c r="A407" s="23" t="inlineStr">
        <is>
          <t>Computadora</t>
        </is>
      </c>
      <c r="B407" s="24" t="inlineStr">
        <is>
          <t>No enciende</t>
        </is>
      </c>
      <c r="C407" s="24" t="inlineStr">
        <is>
          <t>¿Se enciende alguna luz del teclado o indicador LED?</t>
        </is>
      </c>
      <c r="D407" s="25" t="inlineStr">
        <is>
          <t>YNS</t>
        </is>
      </c>
      <c r="E407" s="26">
        <f>IF(OR(A407="",B407=""),"",A407&amp;"|"&amp;B407)</f>
        <v/>
      </c>
      <c r="F407" s="26">
        <f>IF(OR(E407="",C407=""),"",E407&amp;"|"&amp;C407)</f>
        <v/>
      </c>
    </row>
    <row r="408">
      <c r="A408" s="23" t="inlineStr">
        <is>
          <t>Computadora</t>
        </is>
      </c>
      <c r="B408" s="24" t="inlineStr">
        <is>
          <t>Batería / No carga</t>
        </is>
      </c>
      <c r="C408" s="24" t="inlineStr">
        <is>
          <t>¿Carga de manera intermitente?</t>
        </is>
      </c>
      <c r="D408" s="25" t="inlineStr">
        <is>
          <t>YNS</t>
        </is>
      </c>
      <c r="E408" s="26">
        <f>IF(OR(A408="",B408=""),"",A408&amp;"|"&amp;B408)</f>
        <v/>
      </c>
      <c r="F408" s="26">
        <f>IF(OR(E408="",C408=""),"",E408&amp;"|"&amp;C408)</f>
        <v/>
      </c>
    </row>
    <row r="409">
      <c r="A409" s="23" t="inlineStr">
        <is>
          <t>Computadora</t>
        </is>
      </c>
      <c r="B409" s="24" t="inlineStr">
        <is>
          <t>Batería / No carga</t>
        </is>
      </c>
      <c r="C409" s="24" t="inlineStr">
        <is>
          <t>¿Debe mover el cable para que cargue?</t>
        </is>
      </c>
      <c r="D409" s="25" t="inlineStr">
        <is>
          <t>YNS</t>
        </is>
      </c>
      <c r="E409" s="26">
        <f>IF(OR(A409="",B409=""),"",A409&amp;"|"&amp;B409)</f>
        <v/>
      </c>
      <c r="F409" s="26">
        <f>IF(OR(E409="",C409=""),"",E409&amp;"|"&amp;C409)</f>
        <v/>
      </c>
    </row>
    <row r="410">
      <c r="A410" s="23" t="inlineStr">
        <is>
          <t>Computadora</t>
        </is>
      </c>
      <c r="B410" s="24" t="inlineStr">
        <is>
          <t>Batería / No carga</t>
        </is>
      </c>
      <c r="C410" s="24" t="inlineStr">
        <is>
          <t>¿Se descarga rápidamente?</t>
        </is>
      </c>
      <c r="D410" s="25" t="inlineStr">
        <is>
          <t>YNS</t>
        </is>
      </c>
      <c r="E410" s="26">
        <f>IF(OR(A410="",B410=""),"",A410&amp;"|"&amp;B410)</f>
        <v/>
      </c>
      <c r="F410" s="26">
        <f>IF(OR(E410="",C410=""),"",E410&amp;"|"&amp;C410)</f>
        <v/>
      </c>
    </row>
    <row r="411">
      <c r="A411" s="23" t="inlineStr">
        <is>
          <t>Computadora</t>
        </is>
      </c>
      <c r="B411" s="24" t="inlineStr">
        <is>
          <t>Batería / No carga</t>
        </is>
      </c>
      <c r="C411" s="24" t="inlineStr">
        <is>
          <t>¿Se apaga aunque indique que todavía tiene batería?</t>
        </is>
      </c>
      <c r="D411" s="25" t="inlineStr">
        <is>
          <t>YNS</t>
        </is>
      </c>
      <c r="E411" s="26">
        <f>IF(OR(A411="",B411=""),"",A411&amp;"|"&amp;B411)</f>
        <v/>
      </c>
      <c r="F411" s="26">
        <f>IF(OR(E411="",C411=""),"",E411&amp;"|"&amp;C411)</f>
        <v/>
      </c>
    </row>
    <row r="412">
      <c r="A412" s="23" t="inlineStr">
        <is>
          <t>Computadora</t>
        </is>
      </c>
      <c r="B412" s="24" t="inlineStr">
        <is>
          <t>Batería / No carga</t>
        </is>
      </c>
      <c r="C412" s="24" t="inlineStr">
        <is>
          <t>¿La batería está inflada o ha deformado el equipo?</t>
        </is>
      </c>
      <c r="D412" s="25" t="inlineStr">
        <is>
          <t>YNS</t>
        </is>
      </c>
      <c r="E412" s="26">
        <f>IF(OR(A412="",B412=""),"",A412&amp;"|"&amp;B412)</f>
        <v/>
      </c>
      <c r="F412" s="26">
        <f>IF(OR(E412="",C412=""),"",E412&amp;"|"&amp;C412)</f>
        <v/>
      </c>
    </row>
    <row r="413">
      <c r="A413" s="23" t="inlineStr">
        <is>
          <t>Computadora</t>
        </is>
      </c>
      <c r="B413" s="24" t="inlineStr">
        <is>
          <t>Batería / No carga</t>
        </is>
      </c>
      <c r="C413" s="24" t="inlineStr">
        <is>
          <t>¿Utiliza cargador original?</t>
        </is>
      </c>
      <c r="D413" s="25" t="inlineStr">
        <is>
          <t>YNS</t>
        </is>
      </c>
      <c r="E413" s="26">
        <f>IF(OR(A413="",B413=""),"",A413&amp;"|"&amp;B413)</f>
        <v/>
      </c>
      <c r="F413" s="26">
        <f>IF(OR(E413="",C413=""),"",E413&amp;"|"&amp;C413)</f>
        <v/>
      </c>
    </row>
    <row r="414">
      <c r="A414" s="23" t="inlineStr">
        <is>
          <t>Computadora</t>
        </is>
      </c>
      <c r="B414" s="24" t="inlineStr">
        <is>
          <t>Batería / No carga</t>
        </is>
      </c>
      <c r="C414" s="24" t="inlineStr">
        <is>
          <t>¿Ha probado otro cargador?</t>
        </is>
      </c>
      <c r="D414" s="25" t="inlineStr">
        <is>
          <t>YNS</t>
        </is>
      </c>
      <c r="E414" s="26">
        <f>IF(OR(A414="",B414=""),"",A414&amp;"|"&amp;B414)</f>
        <v/>
      </c>
      <c r="F414" s="26">
        <f>IF(OR(E414="",C414=""),"",E414&amp;"|"&amp;C414)</f>
        <v/>
      </c>
    </row>
    <row r="415">
      <c r="A415" s="23" t="inlineStr">
        <is>
          <t>Computadora</t>
        </is>
      </c>
      <c r="B415" s="24" t="inlineStr">
        <is>
          <t>Batería / No carga</t>
        </is>
      </c>
      <c r="C415" s="24" t="inlineStr">
        <is>
          <t>¿El puerto de carga está flojo o sucio?</t>
        </is>
      </c>
      <c r="D415" s="25" t="inlineStr">
        <is>
          <t>YNS</t>
        </is>
      </c>
      <c r="E415" s="26">
        <f>IF(OR(A415="",B415=""),"",A415&amp;"|"&amp;B415)</f>
        <v/>
      </c>
      <c r="F415" s="26">
        <f>IF(OR(E415="",C415=""),"",E415&amp;"|"&amp;C415)</f>
        <v/>
      </c>
    </row>
    <row r="416">
      <c r="A416" s="23" t="inlineStr">
        <is>
          <t>Computadora</t>
        </is>
      </c>
      <c r="B416" s="24" t="inlineStr">
        <is>
          <t>Batería / No carga</t>
        </is>
      </c>
      <c r="C416" s="24" t="inlineStr">
        <is>
          <t>¿Enciende el indicador LED del cargador?</t>
        </is>
      </c>
      <c r="D416" s="25" t="inlineStr">
        <is>
          <t>YNS</t>
        </is>
      </c>
      <c r="E416" s="26">
        <f>IF(OR(A416="",B416=""),"",A416&amp;"|"&amp;B416)</f>
        <v/>
      </c>
      <c r="F416" s="26">
        <f>IF(OR(E416="",C416=""),"",E416&amp;"|"&amp;C416)</f>
        <v/>
      </c>
    </row>
    <row r="417">
      <c r="A417" s="23" t="inlineStr">
        <is>
          <t>Computadora</t>
        </is>
      </c>
      <c r="B417" s="24" t="inlineStr">
        <is>
          <t>Batería / No carga</t>
        </is>
      </c>
      <c r="C417" s="24" t="inlineStr">
        <is>
          <t>¿Aparece el mensaje «conectado, no carga»?</t>
        </is>
      </c>
      <c r="D417" s="25" t="inlineStr">
        <is>
          <t>YNS</t>
        </is>
      </c>
      <c r="E417" s="26">
        <f>IF(OR(A417="",B417=""),"",A417&amp;"|"&amp;B417)</f>
        <v/>
      </c>
      <c r="F417" s="26">
        <f>IF(OR(E417="",C417=""),"",E417&amp;"|"&amp;C417)</f>
        <v/>
      </c>
    </row>
    <row r="418">
      <c r="A418" s="23" t="inlineStr">
        <is>
          <t>Computadora</t>
        </is>
      </c>
      <c r="B418" s="24" t="inlineStr">
        <is>
          <t>Batería / No carga</t>
        </is>
      </c>
      <c r="C418" s="24" t="inlineStr">
        <is>
          <t>¿Cuánto dura la batería aproximadamente?</t>
        </is>
      </c>
      <c r="D418" s="25" t="inlineStr">
        <is>
          <t>AUTON</t>
        </is>
      </c>
      <c r="E418" s="26">
        <f>IF(OR(A418="",B418=""),"",A418&amp;"|"&amp;B418)</f>
        <v/>
      </c>
      <c r="F418" s="26">
        <f>IF(OR(E418="",C418=""),"",E418&amp;"|"&amp;C418)</f>
        <v/>
      </c>
    </row>
    <row r="419">
      <c r="A419" s="23" t="inlineStr">
        <is>
          <t>Computadora</t>
        </is>
      </c>
      <c r="B419" s="24" t="inlineStr">
        <is>
          <t>Batería / No carga</t>
        </is>
      </c>
      <c r="C419" s="24" t="inlineStr">
        <is>
          <t>¿La batería ha sido cambiada antes?</t>
        </is>
      </c>
      <c r="D419" s="25" t="inlineStr">
        <is>
          <t>YNS</t>
        </is>
      </c>
      <c r="E419" s="26">
        <f>IF(OR(A419="",B419=""),"",A419&amp;"|"&amp;B419)</f>
        <v/>
      </c>
      <c r="F419" s="26">
        <f>IF(OR(E419="",C419=""),"",E419&amp;"|"&amp;C419)</f>
        <v/>
      </c>
    </row>
    <row r="420">
      <c r="A420" s="23" t="inlineStr">
        <is>
          <t>Computadora</t>
        </is>
      </c>
      <c r="B420" s="24" t="inlineStr">
        <is>
          <t>Batería / No carga</t>
        </is>
      </c>
      <c r="C420" s="24" t="inlineStr">
        <is>
          <t>¿Cuánto tiempo tiene la batería actual?</t>
        </is>
      </c>
      <c r="D420" s="25" t="inlineStr">
        <is>
          <t>BATED</t>
        </is>
      </c>
      <c r="E420" s="26">
        <f>IF(OR(A420="",B420=""),"",A420&amp;"|"&amp;B420)</f>
        <v/>
      </c>
      <c r="F420" s="26">
        <f>IF(OR(E420="",C420=""),"",E420&amp;"|"&amp;C420)</f>
        <v/>
      </c>
    </row>
    <row r="421">
      <c r="A421" s="23" t="inlineStr">
        <is>
          <t>Computadora</t>
        </is>
      </c>
      <c r="B421" s="24" t="inlineStr">
        <is>
          <t>Batería / No carga</t>
        </is>
      </c>
      <c r="C421" s="24" t="inlineStr">
        <is>
          <t>¿Funciona solo si está conectado a la corriente?</t>
        </is>
      </c>
      <c r="D421" s="25" t="inlineStr">
        <is>
          <t>YNS</t>
        </is>
      </c>
      <c r="E421" s="26">
        <f>IF(OR(A421="",B421=""),"",A421&amp;"|"&amp;B421)</f>
        <v/>
      </c>
      <c r="F421" s="26">
        <f>IF(OR(E421="",C421=""),"",E421&amp;"|"&amp;C421)</f>
        <v/>
      </c>
    </row>
    <row r="422">
      <c r="A422" s="23" t="inlineStr">
        <is>
          <t>Computadora</t>
        </is>
      </c>
      <c r="B422" s="24" t="inlineStr">
        <is>
          <t>Batería / No carga</t>
        </is>
      </c>
      <c r="C422" s="24" t="inlineStr">
        <is>
          <t>¿El sistema indica «reemplazar batería»?</t>
        </is>
      </c>
      <c r="D422" s="25" t="inlineStr">
        <is>
          <t>YNS</t>
        </is>
      </c>
      <c r="E422" s="26">
        <f>IF(OR(A422="",B422=""),"",A422&amp;"|"&amp;B422)</f>
        <v/>
      </c>
      <c r="F422" s="26">
        <f>IF(OR(E422="",C422=""),"",E422&amp;"|"&amp;C422)</f>
        <v/>
      </c>
    </row>
    <row r="423">
      <c r="A423" s="23" t="inlineStr">
        <is>
          <t>Computadora</t>
        </is>
      </c>
      <c r="B423" s="24" t="inlineStr">
        <is>
          <t>Calentamiento / Se apaga</t>
        </is>
      </c>
      <c r="C423" s="24" t="inlineStr">
        <is>
          <t>¿En qué momento se calienta?</t>
        </is>
      </c>
      <c r="D423" s="25" t="inlineStr">
        <is>
          <t>MOM</t>
        </is>
      </c>
      <c r="E423" s="26">
        <f>IF(OR(A423="",B423=""),"",A423&amp;"|"&amp;B423)</f>
        <v/>
      </c>
      <c r="F423" s="26">
        <f>IF(OR(E423="",C423=""),"",E423&amp;"|"&amp;C423)</f>
        <v/>
      </c>
    </row>
    <row r="424">
      <c r="A424" s="23" t="inlineStr">
        <is>
          <t>Computadora</t>
        </is>
      </c>
      <c r="B424" s="24" t="inlineStr">
        <is>
          <t>Calentamiento / Se apaga</t>
        </is>
      </c>
      <c r="C424" s="24" t="inlineStr">
        <is>
          <t>¿Se apaga o reinicia cuando se calienta?</t>
        </is>
      </c>
      <c r="D424" s="25" t="inlineStr">
        <is>
          <t>YNS</t>
        </is>
      </c>
      <c r="E424" s="26">
        <f>IF(OR(A424="",B424=""),"",A424&amp;"|"&amp;B424)</f>
        <v/>
      </c>
      <c r="F424" s="26">
        <f>IF(OR(E424="",C424=""),"",E424&amp;"|"&amp;C424)</f>
        <v/>
      </c>
    </row>
    <row r="425">
      <c r="A425" s="23" t="inlineStr">
        <is>
          <t>Computadora</t>
        </is>
      </c>
      <c r="B425" s="24" t="inlineStr">
        <is>
          <t>Calentamiento / Se apaga</t>
        </is>
      </c>
      <c r="C425" s="24" t="inlineStr">
        <is>
          <t>¿Ha notado pérdida de rendimiento?</t>
        </is>
      </c>
      <c r="D425" s="25" t="inlineStr">
        <is>
          <t>YNS</t>
        </is>
      </c>
      <c r="E425" s="26">
        <f>IF(OR(A425="",B425=""),"",A425&amp;"|"&amp;B425)</f>
        <v/>
      </c>
      <c r="F425" s="26">
        <f>IF(OR(E425="",C425=""),"",E425&amp;"|"&amp;C425)</f>
        <v/>
      </c>
    </row>
    <row r="426">
      <c r="A426" s="23" t="inlineStr">
        <is>
          <t>Computadora</t>
        </is>
      </c>
      <c r="B426" s="24" t="inlineStr">
        <is>
          <t>Calentamiento / Se apaga</t>
        </is>
      </c>
      <c r="C426" s="24" t="inlineStr">
        <is>
          <t>¿Los ventiladores hacen mucho ruido?</t>
        </is>
      </c>
      <c r="D426" s="25" t="inlineStr">
        <is>
          <t>YNS</t>
        </is>
      </c>
      <c r="E426" s="26">
        <f>IF(OR(A426="",B426=""),"",A426&amp;"|"&amp;B426)</f>
        <v/>
      </c>
      <c r="F426" s="26">
        <f>IF(OR(E426="",C426=""),"",E426&amp;"|"&amp;C426)</f>
        <v/>
      </c>
    </row>
    <row r="427">
      <c r="A427" s="23" t="inlineStr">
        <is>
          <t>Computadora</t>
        </is>
      </c>
      <c r="B427" s="24" t="inlineStr">
        <is>
          <t>Calentamiento / Se apaga</t>
        </is>
      </c>
      <c r="C427" s="24" t="inlineStr">
        <is>
          <t>¿Las rejillas de ventilación tienen polvo o están tapadas?</t>
        </is>
      </c>
      <c r="D427" s="25" t="inlineStr">
        <is>
          <t>YNS</t>
        </is>
      </c>
      <c r="E427" s="26">
        <f>IF(OR(A427="",B427=""),"",A427&amp;"|"&amp;B427)</f>
        <v/>
      </c>
      <c r="F427" s="26">
        <f>IF(OR(E427="",C427=""),"",E427&amp;"|"&amp;C427)</f>
        <v/>
      </c>
    </row>
    <row r="428">
      <c r="A428" s="23" t="inlineStr">
        <is>
          <t>Computadora</t>
        </is>
      </c>
      <c r="B428" s="24" t="inlineStr">
        <is>
          <t>Calentamiento / Se apaga</t>
        </is>
      </c>
      <c r="C428" s="24" t="inlineStr">
        <is>
          <t>¿Cuándo fue el último mantenimiento o limpieza?</t>
        </is>
      </c>
      <c r="D428" s="25" t="inlineStr">
        <is>
          <t>MANT</t>
        </is>
      </c>
      <c r="E428" s="26">
        <f>IF(OR(A428="",B428=""),"",A428&amp;"|"&amp;B428)</f>
        <v/>
      </c>
      <c r="F428" s="26">
        <f>IF(OR(E428="",C428=""),"",E428&amp;"|"&amp;C428)</f>
        <v/>
      </c>
    </row>
    <row r="429">
      <c r="A429" s="23" t="inlineStr">
        <is>
          <t>Computadora</t>
        </is>
      </c>
      <c r="B429" s="24" t="inlineStr">
        <is>
          <t>Calentamiento / Se apaga</t>
        </is>
      </c>
      <c r="C429" s="24" t="inlineStr">
        <is>
          <t>¿Sale aire muy caliente por las rejillas?</t>
        </is>
      </c>
      <c r="D429" s="25" t="inlineStr">
        <is>
          <t>YNS</t>
        </is>
      </c>
      <c r="E429" s="26">
        <f>IF(OR(A429="",B429=""),"",A429&amp;"|"&amp;B429)</f>
        <v/>
      </c>
      <c r="F429" s="26">
        <f>IF(OR(E429="",C429=""),"",E429&amp;"|"&amp;C429)</f>
        <v/>
      </c>
    </row>
    <row r="430">
      <c r="A430" s="23" t="inlineStr">
        <is>
          <t>Computadora</t>
        </is>
      </c>
      <c r="B430" s="24" t="inlineStr">
        <is>
          <t>Calentamiento / Se apaga</t>
        </is>
      </c>
      <c r="C430" s="24" t="inlineStr">
        <is>
          <t>¿Se calienta solo con ciertas apps o juegos?</t>
        </is>
      </c>
      <c r="D430" s="25" t="inlineStr">
        <is>
          <t>YNS</t>
        </is>
      </c>
      <c r="E430" s="26">
        <f>IF(OR(A430="",B430=""),"",A430&amp;"|"&amp;B430)</f>
        <v/>
      </c>
      <c r="F430" s="26">
        <f>IF(OR(E430="",C430=""),"",E430&amp;"|"&amp;C430)</f>
        <v/>
      </c>
    </row>
    <row r="431">
      <c r="A431" s="23" t="inlineStr">
        <is>
          <t>Computadora</t>
        </is>
      </c>
      <c r="B431" s="24" t="inlineStr">
        <is>
          <t>Calentamiento / Se apaga</t>
        </is>
      </c>
      <c r="C431" s="24" t="inlineStr">
        <is>
          <t>¿La base del equipo se siente muy caliente al tocarla?</t>
        </is>
      </c>
      <c r="D431" s="25" t="inlineStr">
        <is>
          <t>YNS</t>
        </is>
      </c>
      <c r="E431" s="26">
        <f>IF(OR(A431="",B431=""),"",A431&amp;"|"&amp;B431)</f>
        <v/>
      </c>
      <c r="F431" s="26">
        <f>IF(OR(E431="",C431=""),"",E431&amp;"|"&amp;C431)</f>
        <v/>
      </c>
    </row>
    <row r="432">
      <c r="A432" s="23" t="inlineStr">
        <is>
          <t>Computadora</t>
        </is>
      </c>
      <c r="B432" s="24" t="inlineStr">
        <is>
          <t>Contacto con líquido</t>
        </is>
      </c>
      <c r="C432" s="24" t="inlineStr">
        <is>
          <t>¿Qué tipo de líquido fue?</t>
        </is>
      </c>
      <c r="D432" s="25" t="inlineStr">
        <is>
          <t>LIQ</t>
        </is>
      </c>
      <c r="E432" s="26">
        <f>IF(OR(A432="",B432=""),"",A432&amp;"|"&amp;B432)</f>
        <v/>
      </c>
      <c r="F432" s="26">
        <f>IF(OR(E432="",C432=""),"",E432&amp;"|"&amp;C432)</f>
        <v/>
      </c>
    </row>
    <row r="433">
      <c r="A433" s="23" t="inlineStr">
        <is>
          <t>Computadora</t>
        </is>
      </c>
      <c r="B433" s="24" t="inlineStr">
        <is>
          <t>Contacto con líquido</t>
        </is>
      </c>
      <c r="C433" s="24" t="inlineStr">
        <is>
          <t>¿Cuándo ocurrió?</t>
        </is>
      </c>
      <c r="D433" s="25" t="inlineStr">
        <is>
          <t>CUANDO</t>
        </is>
      </c>
      <c r="E433" s="26">
        <f>IF(OR(A433="",B433=""),"",A433&amp;"|"&amp;B433)</f>
        <v/>
      </c>
      <c r="F433" s="26">
        <f>IF(OR(E433="",C433=""),"",E433&amp;"|"&amp;C433)</f>
        <v/>
      </c>
    </row>
    <row r="434">
      <c r="A434" s="23" t="inlineStr">
        <is>
          <t>Computadora</t>
        </is>
      </c>
      <c r="B434" s="24" t="inlineStr">
        <is>
          <t>Contacto con líquido</t>
        </is>
      </c>
      <c r="C434" s="24" t="inlineStr">
        <is>
          <t>¿Continuó utilizando el equipo?</t>
        </is>
      </c>
      <c r="D434" s="25" t="inlineStr">
        <is>
          <t>YNS</t>
        </is>
      </c>
      <c r="E434" s="26">
        <f>IF(OR(A434="",B434=""),"",A434&amp;"|"&amp;B434)</f>
        <v/>
      </c>
      <c r="F434" s="26">
        <f>IF(OR(E434="",C434=""),"",E434&amp;"|"&amp;C434)</f>
        <v/>
      </c>
    </row>
    <row r="435">
      <c r="A435" s="23" t="inlineStr">
        <is>
          <t>Computadora</t>
        </is>
      </c>
      <c r="B435" s="24" t="inlineStr">
        <is>
          <t>Contacto con líquido</t>
        </is>
      </c>
      <c r="C435" s="24" t="inlineStr">
        <is>
          <t>¿Intentó encenderlo?</t>
        </is>
      </c>
      <c r="D435" s="25" t="inlineStr">
        <is>
          <t>YNS</t>
        </is>
      </c>
      <c r="E435" s="26">
        <f>IF(OR(A435="",B435=""),"",A435&amp;"|"&amp;B435)</f>
        <v/>
      </c>
      <c r="F435" s="26">
        <f>IF(OR(E435="",C435=""),"",E435&amp;"|"&amp;C435)</f>
        <v/>
      </c>
    </row>
    <row r="436">
      <c r="A436" s="23" t="inlineStr">
        <is>
          <t>Computadora</t>
        </is>
      </c>
      <c r="B436" s="24" t="inlineStr">
        <is>
          <t>Contacto con líquido</t>
        </is>
      </c>
      <c r="C436" s="24" t="inlineStr">
        <is>
          <t>¿Lo conectó al cargador después de mojarse?</t>
        </is>
      </c>
      <c r="D436" s="25" t="inlineStr">
        <is>
          <t>YNS</t>
        </is>
      </c>
      <c r="E436" s="26">
        <f>IF(OR(A436="",B436=""),"",A436&amp;"|"&amp;B436)</f>
        <v/>
      </c>
      <c r="F436" s="26">
        <f>IF(OR(E436="",C436=""),"",E436&amp;"|"&amp;C436)</f>
        <v/>
      </c>
    </row>
    <row r="437">
      <c r="A437" s="23" t="inlineStr">
        <is>
          <t>Computadora</t>
        </is>
      </c>
      <c r="B437" s="24" t="inlineStr">
        <is>
          <t>Contacto con líquido</t>
        </is>
      </c>
      <c r="C437" s="24" t="inlineStr">
        <is>
          <t>¿Fue abierto posteriormente?</t>
        </is>
      </c>
      <c r="D437" s="25" t="inlineStr">
        <is>
          <t>YNS</t>
        </is>
      </c>
      <c r="E437" s="26">
        <f>IF(OR(A437="",B437=""),"",A437&amp;"|"&amp;B437)</f>
        <v/>
      </c>
      <c r="F437" s="26">
        <f>IF(OR(E437="",C437=""),"",E437&amp;"|"&amp;C437)</f>
        <v/>
      </c>
    </row>
    <row r="438">
      <c r="A438" s="23" t="inlineStr">
        <is>
          <t>Computadora</t>
        </is>
      </c>
      <c r="B438" s="24" t="inlineStr">
        <is>
          <t>Contacto con líquido</t>
        </is>
      </c>
      <c r="C438" s="24" t="inlineStr">
        <is>
          <t>¿Recibió limpieza o reparación previa?</t>
        </is>
      </c>
      <c r="D438" s="25" t="inlineStr">
        <is>
          <t>YNS</t>
        </is>
      </c>
      <c r="E438" s="26">
        <f>IF(OR(A438="",B438=""),"",A438&amp;"|"&amp;B438)</f>
        <v/>
      </c>
      <c r="F438" s="26">
        <f>IF(OR(E438="",C438=""),"",E438&amp;"|"&amp;C438)</f>
        <v/>
      </c>
    </row>
    <row r="439">
      <c r="A439" s="23" t="inlineStr">
        <is>
          <t>Computadora</t>
        </is>
      </c>
      <c r="B439" s="24" t="inlineStr">
        <is>
          <t>Contacto con líquido</t>
        </is>
      </c>
      <c r="C439" s="24" t="inlineStr">
        <is>
          <t>¿Usó arroz, secador u otro método casero?</t>
        </is>
      </c>
      <c r="D439" s="25" t="inlineStr">
        <is>
          <t>YNS</t>
        </is>
      </c>
      <c r="E439" s="26">
        <f>IF(OR(A439="",B439=""),"",A439&amp;"|"&amp;B439)</f>
        <v/>
      </c>
      <c r="F439" s="26">
        <f>IF(OR(E439="",C439=""),"",E439&amp;"|"&amp;C439)</f>
        <v/>
      </c>
    </row>
    <row r="440">
      <c r="A440" s="23" t="inlineStr">
        <is>
          <t>Computadora</t>
        </is>
      </c>
      <c r="B440" s="24" t="inlineStr">
        <is>
          <t>Contacto con líquido</t>
        </is>
      </c>
      <c r="C440" s="24" t="inlineStr">
        <is>
          <t>¿Qué cantidad de líquido fue?</t>
        </is>
      </c>
      <c r="D440" s="25" t="inlineStr">
        <is>
          <t>CANT</t>
        </is>
      </c>
      <c r="E440" s="26">
        <f>IF(OR(A440="",B440=""),"",A440&amp;"|"&amp;B440)</f>
        <v/>
      </c>
      <c r="F440" s="26">
        <f>IF(OR(E440="",C440=""),"",E440&amp;"|"&amp;C440)</f>
        <v/>
      </c>
    </row>
    <row r="441">
      <c r="A441" s="23" t="inlineStr">
        <is>
          <t>Computadora</t>
        </is>
      </c>
      <c r="B441" s="24" t="inlineStr">
        <is>
          <t>Contacto con líquido</t>
        </is>
      </c>
      <c r="C441" s="24" t="inlineStr">
        <is>
          <t>¿El líquido tenía azúcar (gaseosa, jugo, café con azúcar)?</t>
        </is>
      </c>
      <c r="D441" s="25" t="inlineStr">
        <is>
          <t>YNS</t>
        </is>
      </c>
      <c r="E441" s="26">
        <f>IF(OR(A441="",B441=""),"",A441&amp;"|"&amp;B441)</f>
        <v/>
      </c>
      <c r="F441" s="26">
        <f>IF(OR(E441="",C441=""),"",E441&amp;"|"&amp;C441)</f>
        <v/>
      </c>
    </row>
    <row r="442">
      <c r="A442" s="23" t="inlineStr">
        <is>
          <t>Computadora</t>
        </is>
      </c>
      <c r="B442" s="24" t="inlineStr">
        <is>
          <t>Contacto con líquido</t>
        </is>
      </c>
      <c r="C442" s="24" t="inlineStr">
        <is>
          <t>¿Se mojó el teclado?</t>
        </is>
      </c>
      <c r="D442" s="25" t="inlineStr">
        <is>
          <t>YNS</t>
        </is>
      </c>
      <c r="E442" s="26">
        <f>IF(OR(A442="",B442=""),"",A442&amp;"|"&amp;B442)</f>
        <v/>
      </c>
      <c r="F442" s="26">
        <f>IF(OR(E442="",C442=""),"",E442&amp;"|"&amp;C442)</f>
        <v/>
      </c>
    </row>
    <row r="443">
      <c r="A443" s="23" t="inlineStr">
        <is>
          <t>Computadora</t>
        </is>
      </c>
      <c r="B443" s="24" t="inlineStr">
        <is>
          <t>Golpe / Caída</t>
        </is>
      </c>
      <c r="C443" s="24" t="inlineStr">
        <is>
          <t>¿Cuándo ocurrió?</t>
        </is>
      </c>
      <c r="D443" s="25" t="inlineStr">
        <is>
          <t>CUANDO</t>
        </is>
      </c>
      <c r="E443" s="26">
        <f>IF(OR(A443="",B443=""),"",A443&amp;"|"&amp;B443)</f>
        <v/>
      </c>
      <c r="F443" s="26">
        <f>IF(OR(E443="",C443=""),"",E443&amp;"|"&amp;C443)</f>
        <v/>
      </c>
    </row>
    <row r="444">
      <c r="A444" s="23" t="inlineStr">
        <is>
          <t>Computadora</t>
        </is>
      </c>
      <c r="B444" s="24" t="inlineStr">
        <is>
          <t>Golpe / Caída</t>
        </is>
      </c>
      <c r="C444" s="24" t="inlineStr">
        <is>
          <t>¿Continuó funcionando después del golpe?</t>
        </is>
      </c>
      <c r="D444" s="25" t="inlineStr">
        <is>
          <t>YNS</t>
        </is>
      </c>
      <c r="E444" s="26">
        <f>IF(OR(A444="",B444=""),"",A444&amp;"|"&amp;B444)</f>
        <v/>
      </c>
      <c r="F444" s="26">
        <f>IF(OR(E444="",C444=""),"",E444&amp;"|"&amp;C444)</f>
        <v/>
      </c>
    </row>
    <row r="445">
      <c r="A445" s="23" t="inlineStr">
        <is>
          <t>Computadora</t>
        </is>
      </c>
      <c r="B445" s="24" t="inlineStr">
        <is>
          <t>Golpe / Caída</t>
        </is>
      </c>
      <c r="C445" s="24" t="inlineStr">
        <is>
          <t>¿La falla apareció inmediatamente?</t>
        </is>
      </c>
      <c r="D445" s="25" t="inlineStr">
        <is>
          <t>YNS</t>
        </is>
      </c>
      <c r="E445" s="26">
        <f>IF(OR(A445="",B445=""),"",A445&amp;"|"&amp;B445)</f>
        <v/>
      </c>
      <c r="F445" s="26">
        <f>IF(OR(E445="",C445=""),"",E445&amp;"|"&amp;C445)</f>
        <v/>
      </c>
    </row>
    <row r="446">
      <c r="A446" s="23" t="inlineStr">
        <is>
          <t>Computadora</t>
        </is>
      </c>
      <c r="B446" s="24" t="inlineStr">
        <is>
          <t>Golpe / Caída</t>
        </is>
      </c>
      <c r="C446" s="24" t="inlineStr">
        <is>
          <t>¿Se dañó la pantalla o el táctil?</t>
        </is>
      </c>
      <c r="D446" s="25" t="inlineStr">
        <is>
          <t>YNS</t>
        </is>
      </c>
      <c r="E446" s="26">
        <f>IF(OR(A446="",B446=""),"",A446&amp;"|"&amp;B446)</f>
        <v/>
      </c>
      <c r="F446" s="26">
        <f>IF(OR(E446="",C446=""),"",E446&amp;"|"&amp;C446)</f>
        <v/>
      </c>
    </row>
    <row r="447">
      <c r="A447" s="23" t="inlineStr">
        <is>
          <t>Computadora</t>
        </is>
      </c>
      <c r="B447" s="24" t="inlineStr">
        <is>
          <t>Golpe / Caída</t>
        </is>
      </c>
      <c r="C447" s="24" t="inlineStr">
        <is>
          <t>¿Presentó problemas de imagen?</t>
        </is>
      </c>
      <c r="D447" s="25" t="inlineStr">
        <is>
          <t>YNS</t>
        </is>
      </c>
      <c r="E447" s="26">
        <f>IF(OR(A447="",B447=""),"",A447&amp;"|"&amp;B447)</f>
        <v/>
      </c>
      <c r="F447" s="26">
        <f>IF(OR(E447="",C447=""),"",E447&amp;"|"&amp;C447)</f>
        <v/>
      </c>
    </row>
    <row r="448">
      <c r="A448" s="23" t="inlineStr">
        <is>
          <t>Computadora</t>
        </is>
      </c>
      <c r="B448" s="24" t="inlineStr">
        <is>
          <t>Golpe / Caída</t>
        </is>
      </c>
      <c r="C448" s="24" t="inlineStr">
        <is>
          <t>¿Se deformó la carcasa o el chasis?</t>
        </is>
      </c>
      <c r="D448" s="25" t="inlineStr">
        <is>
          <t>YNS</t>
        </is>
      </c>
      <c r="E448" s="26">
        <f>IF(OR(A448="",B448=""),"",A448&amp;"|"&amp;B448)</f>
        <v/>
      </c>
      <c r="F448" s="26">
        <f>IF(OR(E448="",C448=""),"",E448&amp;"|"&amp;C448)</f>
        <v/>
      </c>
    </row>
    <row r="449">
      <c r="A449" s="23" t="inlineStr">
        <is>
          <t>Computadora</t>
        </is>
      </c>
      <c r="B449" s="24" t="inlineStr">
        <is>
          <t>Golpe / Caída</t>
        </is>
      </c>
      <c r="C449" s="24" t="inlineStr">
        <is>
          <t>¿Dejó de encender?</t>
        </is>
      </c>
      <c r="D449" s="25" t="inlineStr">
        <is>
          <t>YNS</t>
        </is>
      </c>
      <c r="E449" s="26">
        <f>IF(OR(A449="",B449=""),"",A449&amp;"|"&amp;B449)</f>
        <v/>
      </c>
      <c r="F449" s="26">
        <f>IF(OR(E449="",C449=""),"",E449&amp;"|"&amp;C449)</f>
        <v/>
      </c>
    </row>
    <row r="450">
      <c r="A450" s="23" t="inlineStr">
        <is>
          <t>Computadora</t>
        </is>
      </c>
      <c r="B450" s="24" t="inlineStr">
        <is>
          <t>Golpe / Caída</t>
        </is>
      </c>
      <c r="C450" s="24" t="inlineStr">
        <is>
          <t>¿Cayó con la pantalla abierta o cerrada? (laptop)</t>
        </is>
      </c>
      <c r="D450" s="25" t="inlineStr">
        <is>
          <t>ABCE</t>
        </is>
      </c>
      <c r="E450" s="26">
        <f>IF(OR(A450="",B450=""),"",A450&amp;"|"&amp;B450)</f>
        <v/>
      </c>
      <c r="F450" s="26">
        <f>IF(OR(E450="",C450=""),"",E450&amp;"|"&amp;C450)</f>
        <v/>
      </c>
    </row>
    <row r="451">
      <c r="A451" s="23" t="inlineStr">
        <is>
          <t>Computadora</t>
        </is>
      </c>
      <c r="B451" s="24" t="inlineStr">
        <is>
          <t>Golpe / Caída</t>
        </is>
      </c>
      <c r="C451" s="24" t="inlineStr">
        <is>
          <t>¿En qué zona recibió el impacto?</t>
        </is>
      </c>
      <c r="D451" s="25" t="inlineStr">
        <is>
          <t>ZONAI</t>
        </is>
      </c>
      <c r="E451" s="26">
        <f>IF(OR(A451="",B451=""),"",A451&amp;"|"&amp;B451)</f>
        <v/>
      </c>
      <c r="F451" s="26">
        <f>IF(OR(E451="",C451=""),"",E451&amp;"|"&amp;C451)</f>
        <v/>
      </c>
    </row>
    <row r="452">
      <c r="A452" s="23" t="inlineStr">
        <is>
          <t>Computadora</t>
        </is>
      </c>
      <c r="B452" s="24" t="inlineStr">
        <is>
          <t>Golpe / Caída</t>
        </is>
      </c>
      <c r="C452" s="24" t="inlineStr">
        <is>
          <t>¿Cuántas veces ha caído?</t>
        </is>
      </c>
      <c r="D452" s="25" t="inlineStr">
        <is>
          <t>CAID</t>
        </is>
      </c>
      <c r="E452" s="26">
        <f>IF(OR(A452="",B452=""),"",A452&amp;"|"&amp;B452)</f>
        <v/>
      </c>
      <c r="F452" s="26">
        <f>IF(OR(E452="",C452=""),"",E452&amp;"|"&amp;C452)</f>
        <v/>
      </c>
    </row>
    <row r="453">
      <c r="A453" s="23" t="inlineStr">
        <is>
          <t>Computadora</t>
        </is>
      </c>
      <c r="B453" s="24" t="inlineStr">
        <is>
          <t>Golpe / Caída</t>
        </is>
      </c>
      <c r="C453" s="24" t="inlineStr">
        <is>
          <t>¿Cayó sobre una superficie dura (piso, cemento)?</t>
        </is>
      </c>
      <c r="D453" s="25" t="inlineStr">
        <is>
          <t>YNS</t>
        </is>
      </c>
      <c r="E453" s="26">
        <f>IF(OR(A453="",B453=""),"",A453&amp;"|"&amp;B453)</f>
        <v/>
      </c>
      <c r="F453" s="26">
        <f>IF(OR(E453="",C453=""),"",E453&amp;"|"&amp;C453)</f>
        <v/>
      </c>
    </row>
    <row r="454">
      <c r="A454" s="23" t="inlineStr">
        <is>
          <t>Computadora</t>
        </is>
      </c>
      <c r="B454" s="24" t="inlineStr">
        <is>
          <t>Golpe / Caída</t>
        </is>
      </c>
      <c r="C454" s="24" t="inlineStr">
        <is>
          <t>¿Estaba en uso o encendido al caer?</t>
        </is>
      </c>
      <c r="D454" s="25" t="inlineStr">
        <is>
          <t>YNS</t>
        </is>
      </c>
      <c r="E454" s="26">
        <f>IF(OR(A454="",B454=""),"",A454&amp;"|"&amp;B454)</f>
        <v/>
      </c>
      <c r="F454" s="26">
        <f>IF(OR(E454="",C454=""),"",E454&amp;"|"&amp;C454)</f>
        <v/>
      </c>
    </row>
    <row r="455">
      <c r="A455" s="23" t="inlineStr">
        <is>
          <t>Computadora</t>
        </is>
      </c>
      <c r="B455" s="24" t="inlineStr">
        <is>
          <t>Golpe / Caída</t>
        </is>
      </c>
      <c r="C455" s="24" t="inlineStr">
        <is>
          <t>¿Se dobló la tapa o la base?</t>
        </is>
      </c>
      <c r="D455" s="25" t="inlineStr">
        <is>
          <t>YNS</t>
        </is>
      </c>
      <c r="E455" s="26">
        <f>IF(OR(A455="",B455=""),"",A455&amp;"|"&amp;B455)</f>
        <v/>
      </c>
      <c r="F455" s="26">
        <f>IF(OR(E455="",C455=""),"",E455&amp;"|"&amp;C455)</f>
        <v/>
      </c>
    </row>
    <row r="456">
      <c r="A456" s="23" t="inlineStr">
        <is>
          <t>Computadora</t>
        </is>
      </c>
      <c r="B456" s="24" t="inlineStr">
        <is>
          <t>Pantalla / Imagen</t>
        </is>
      </c>
      <c r="C456" s="24" t="inlineStr">
        <is>
          <t>¿Pantalla quebrada?</t>
        </is>
      </c>
      <c r="D456" s="25" t="inlineStr">
        <is>
          <t>YNS</t>
        </is>
      </c>
      <c r="E456" s="26">
        <f>IF(OR(A456="",B456=""),"",A456&amp;"|"&amp;B456)</f>
        <v/>
      </c>
      <c r="F456" s="26">
        <f>IF(OR(E456="",C456=""),"",E456&amp;"|"&amp;C456)</f>
        <v/>
      </c>
    </row>
    <row r="457">
      <c r="A457" s="23" t="inlineStr">
        <is>
          <t>Computadora</t>
        </is>
      </c>
      <c r="B457" s="24" t="inlineStr">
        <is>
          <t>Pantalla / Imagen</t>
        </is>
      </c>
      <c r="C457" s="24" t="inlineStr">
        <is>
          <t>¿Sin imagen?</t>
        </is>
      </c>
      <c r="D457" s="25" t="inlineStr">
        <is>
          <t>YNS</t>
        </is>
      </c>
      <c r="E457" s="26">
        <f>IF(OR(A457="",B457=""),"",A457&amp;"|"&amp;B457)</f>
        <v/>
      </c>
      <c r="F457" s="26">
        <f>IF(OR(E457="",C457=""),"",E457&amp;"|"&amp;C457)</f>
        <v/>
      </c>
    </row>
    <row r="458">
      <c r="A458" s="23" t="inlineStr">
        <is>
          <t>Computadora</t>
        </is>
      </c>
      <c r="B458" s="24" t="inlineStr">
        <is>
          <t>Pantalla / Imagen</t>
        </is>
      </c>
      <c r="C458" s="24" t="inlineStr">
        <is>
          <t>¿Imagen intermitente?</t>
        </is>
      </c>
      <c r="D458" s="25" t="inlineStr">
        <is>
          <t>YNS</t>
        </is>
      </c>
      <c r="E458" s="26">
        <f>IF(OR(A458="",B458=""),"",A458&amp;"|"&amp;B458)</f>
        <v/>
      </c>
      <c r="F458" s="26">
        <f>IF(OR(E458="",C458=""),"",E458&amp;"|"&amp;C458)</f>
        <v/>
      </c>
    </row>
    <row r="459">
      <c r="A459" s="23" t="inlineStr">
        <is>
          <t>Computadora</t>
        </is>
      </c>
      <c r="B459" s="24" t="inlineStr">
        <is>
          <t>Pantalla / Imagen</t>
        </is>
      </c>
      <c r="C459" s="24" t="inlineStr">
        <is>
          <t>¿Líneas en la imagen?</t>
        </is>
      </c>
      <c r="D459" s="25" t="inlineStr">
        <is>
          <t>YNS</t>
        </is>
      </c>
      <c r="E459" s="26">
        <f>IF(OR(A459="",B459=""),"",A459&amp;"|"&amp;B459)</f>
        <v/>
      </c>
      <c r="F459" s="26">
        <f>IF(OR(E459="",C459=""),"",E459&amp;"|"&amp;C459)</f>
        <v/>
      </c>
    </row>
    <row r="460">
      <c r="A460" s="23" t="inlineStr">
        <is>
          <t>Computadora</t>
        </is>
      </c>
      <c r="B460" s="24" t="inlineStr">
        <is>
          <t>Pantalla / Imagen</t>
        </is>
      </c>
      <c r="C460" s="24" t="inlineStr">
        <is>
          <t>¿Manchas?</t>
        </is>
      </c>
      <c r="D460" s="25" t="inlineStr">
        <is>
          <t>YNS</t>
        </is>
      </c>
      <c r="E460" s="26">
        <f>IF(OR(A460="",B460=""),"",A460&amp;"|"&amp;B460)</f>
        <v/>
      </c>
      <c r="F460" s="26">
        <f>IF(OR(E460="",C460=""),"",E460&amp;"|"&amp;C460)</f>
        <v/>
      </c>
    </row>
    <row r="461">
      <c r="A461" s="23" t="inlineStr">
        <is>
          <t>Computadora</t>
        </is>
      </c>
      <c r="B461" s="24" t="inlineStr">
        <is>
          <t>Pantalla / Imagen</t>
        </is>
      </c>
      <c r="C461" s="24" t="inlineStr">
        <is>
          <t>¿Parpadeo?</t>
        </is>
      </c>
      <c r="D461" s="25" t="inlineStr">
        <is>
          <t>YNS</t>
        </is>
      </c>
      <c r="E461" s="26">
        <f>IF(OR(A461="",B461=""),"",A461&amp;"|"&amp;B461)</f>
        <v/>
      </c>
      <c r="F461" s="26">
        <f>IF(OR(E461="",C461=""),"",E461&amp;"|"&amp;C461)</f>
        <v/>
      </c>
    </row>
    <row r="462">
      <c r="A462" s="23" t="inlineStr">
        <is>
          <t>Computadora</t>
        </is>
      </c>
      <c r="B462" s="24" t="inlineStr">
        <is>
          <t>Pantalla / Imagen</t>
        </is>
      </c>
      <c r="C462" s="24" t="inlineStr">
        <is>
          <t>¿Sombra?</t>
        </is>
      </c>
      <c r="D462" s="25" t="inlineStr">
        <is>
          <t>YNS</t>
        </is>
      </c>
      <c r="E462" s="26">
        <f>IF(OR(A462="",B462=""),"",A462&amp;"|"&amp;B462)</f>
        <v/>
      </c>
      <c r="F462" s="26">
        <f>IF(OR(E462="",C462=""),"",E462&amp;"|"&amp;C462)</f>
        <v/>
      </c>
    </row>
    <row r="463">
      <c r="A463" s="23" t="inlineStr">
        <is>
          <t>Computadora</t>
        </is>
      </c>
      <c r="B463" s="24" t="inlineStr">
        <is>
          <t>Pantalla / Imagen</t>
        </is>
      </c>
      <c r="C463" s="24" t="inlineStr">
        <is>
          <t>¿Imagen distorsionada?</t>
        </is>
      </c>
      <c r="D463" s="25" t="inlineStr">
        <is>
          <t>YNS</t>
        </is>
      </c>
      <c r="E463" s="26">
        <f>IF(OR(A463="",B463=""),"",A463&amp;"|"&amp;B463)</f>
        <v/>
      </c>
      <c r="F463" s="26">
        <f>IF(OR(E463="",C463=""),"",E463&amp;"|"&amp;C463)</f>
        <v/>
      </c>
    </row>
    <row r="464">
      <c r="A464" s="23" t="inlineStr">
        <is>
          <t>Computadora</t>
        </is>
      </c>
      <c r="B464" s="24" t="inlineStr">
        <is>
          <t>Pantalla / Imagen</t>
        </is>
      </c>
      <c r="C464" s="24" t="inlineStr">
        <is>
          <t>¿La imagen desaparece al mover la pantalla? (laptop)</t>
        </is>
      </c>
      <c r="D464" s="25" t="inlineStr">
        <is>
          <t>YNS</t>
        </is>
      </c>
      <c r="E464" s="26">
        <f>IF(OR(A464="",B464=""),"",A464&amp;"|"&amp;B464)</f>
        <v/>
      </c>
      <c r="F464" s="26">
        <f>IF(OR(E464="",C464=""),"",E464&amp;"|"&amp;C464)</f>
        <v/>
      </c>
    </row>
    <row r="465">
      <c r="A465" s="23" t="inlineStr">
        <is>
          <t>Computadora</t>
        </is>
      </c>
      <c r="B465" s="24" t="inlineStr">
        <is>
          <t>Pantalla / Imagen</t>
        </is>
      </c>
      <c r="C465" s="24" t="inlineStr">
        <is>
          <t>¿Se ve imagen en un monitor o TV externo?</t>
        </is>
      </c>
      <c r="D465" s="25" t="inlineStr">
        <is>
          <t>YNS</t>
        </is>
      </c>
      <c r="E465" s="26">
        <f>IF(OR(A465="",B465=""),"",A465&amp;"|"&amp;B465)</f>
        <v/>
      </c>
      <c r="F465" s="26">
        <f>IF(OR(E465="",C465=""),"",E465&amp;"|"&amp;C465)</f>
        <v/>
      </c>
    </row>
    <row r="466">
      <c r="A466" s="23" t="inlineStr">
        <is>
          <t>Computadora</t>
        </is>
      </c>
      <c r="B466" s="24" t="inlineStr">
        <is>
          <t>Pantalla / Imagen</t>
        </is>
      </c>
      <c r="C466" s="24" t="inlineStr">
        <is>
          <t>¿El monitor enciende pero dice «sin señal»? (PC)</t>
        </is>
      </c>
      <c r="D466" s="25" t="inlineStr">
        <is>
          <t>YNS</t>
        </is>
      </c>
      <c r="E466" s="26">
        <f>IF(OR(A466="",B466=""),"",A466&amp;"|"&amp;B466)</f>
        <v/>
      </c>
      <c r="F466" s="26">
        <f>IF(OR(E466="",C466=""),"",E466&amp;"|"&amp;C466)</f>
        <v/>
      </c>
    </row>
    <row r="467">
      <c r="A467" s="23" t="inlineStr">
        <is>
          <t>Computadora</t>
        </is>
      </c>
      <c r="B467" s="24" t="inlineStr">
        <is>
          <t>Pantalla / Imagen</t>
        </is>
      </c>
      <c r="C467" s="24" t="inlineStr">
        <is>
          <t>¿Ha probado con otro monitor y otro cable? (PC)</t>
        </is>
      </c>
      <c r="D467" s="25" t="inlineStr">
        <is>
          <t>YNS</t>
        </is>
      </c>
      <c r="E467" s="26">
        <f>IF(OR(A467="",B467=""),"",A467&amp;"|"&amp;B467)</f>
        <v/>
      </c>
      <c r="F467" s="26">
        <f>IF(OR(E467="",C467=""),"",E467&amp;"|"&amp;C467)</f>
        <v/>
      </c>
    </row>
    <row r="468">
      <c r="A468" s="23" t="inlineStr">
        <is>
          <t>Computadora</t>
        </is>
      </c>
      <c r="B468" s="24" t="inlineStr">
        <is>
          <t>Pantalla / Imagen</t>
        </is>
      </c>
      <c r="C468" s="24" t="inlineStr">
        <is>
          <t>¿Ocurrió después de un golpe o caída?</t>
        </is>
      </c>
      <c r="D468" s="25" t="inlineStr">
        <is>
          <t>YNS</t>
        </is>
      </c>
      <c r="E468" s="26">
        <f>IF(OR(A468="",B468=""),"",A468&amp;"|"&amp;B468)</f>
        <v/>
      </c>
      <c r="F468" s="26">
        <f>IF(OR(E468="",C468=""),"",E468&amp;"|"&amp;C468)</f>
        <v/>
      </c>
    </row>
    <row r="469">
      <c r="A469" s="23" t="inlineStr">
        <is>
          <t>Computadora</t>
        </is>
      </c>
      <c r="B469" s="24" t="inlineStr">
        <is>
          <t>Pantalla / Imagen</t>
        </is>
      </c>
      <c r="C469" s="24" t="inlineStr">
        <is>
          <t>¿La pantalla se ve muy oscura o con poco brillo?</t>
        </is>
      </c>
      <c r="D469" s="25" t="inlineStr">
        <is>
          <t>YNS</t>
        </is>
      </c>
      <c r="E469" s="26">
        <f>IF(OR(A469="",B469=""),"",A469&amp;"|"&amp;B469)</f>
        <v/>
      </c>
      <c r="F469" s="26">
        <f>IF(OR(E469="",C469=""),"",E469&amp;"|"&amp;C469)</f>
        <v/>
      </c>
    </row>
    <row r="470">
      <c r="A470" s="23" t="inlineStr">
        <is>
          <t>Computadora</t>
        </is>
      </c>
      <c r="B470" s="24" t="inlineStr">
        <is>
          <t>Pantalla / Imagen</t>
        </is>
      </c>
      <c r="C470" s="24" t="inlineStr">
        <is>
          <t>¿Hay una mancha negra o de tinta que crece?</t>
        </is>
      </c>
      <c r="D470" s="25" t="inlineStr">
        <is>
          <t>YNS</t>
        </is>
      </c>
      <c r="E470" s="26">
        <f>IF(OR(A470="",B470=""),"",A470&amp;"|"&amp;B470)</f>
        <v/>
      </c>
      <c r="F470" s="26">
        <f>IF(OR(E470="",C470=""),"",E470&amp;"|"&amp;C470)</f>
        <v/>
      </c>
    </row>
    <row r="471">
      <c r="A471" s="23" t="inlineStr">
        <is>
          <t>Computadora</t>
        </is>
      </c>
      <c r="B471" s="24" t="inlineStr">
        <is>
          <t>Pantalla / Imagen</t>
        </is>
      </c>
      <c r="C471" s="24" t="inlineStr">
        <is>
          <t>¿Hay píxeles muertos o puntos de color?</t>
        </is>
      </c>
      <c r="D471" s="25" t="inlineStr">
        <is>
          <t>YNS</t>
        </is>
      </c>
      <c r="E471" s="26">
        <f>IF(OR(A471="",B471=""),"",A471&amp;"|"&amp;B471)</f>
        <v/>
      </c>
      <c r="F471" s="26">
        <f>IF(OR(E471="",C471=""),"",E471&amp;"|"&amp;C471)</f>
        <v/>
      </c>
    </row>
    <row r="472">
      <c r="A472" s="23" t="inlineStr">
        <is>
          <t>Computadora</t>
        </is>
      </c>
      <c r="B472" s="24" t="inlineStr">
        <is>
          <t>Lentitud / Sistema</t>
        </is>
      </c>
      <c r="C472" s="24" t="inlineStr">
        <is>
          <t>¿Desde cuándo comenzó la lentitud o el problema?</t>
        </is>
      </c>
      <c r="D472" s="25" t="inlineStr">
        <is>
          <t>DESDE</t>
        </is>
      </c>
      <c r="E472" s="26">
        <f>IF(OR(A472="",B472=""),"",A472&amp;"|"&amp;B472)</f>
        <v/>
      </c>
      <c r="F472" s="26">
        <f>IF(OR(E472="",C472=""),"",E472&amp;"|"&amp;C472)</f>
        <v/>
      </c>
    </row>
    <row r="473">
      <c r="A473" s="23" t="inlineStr">
        <is>
          <t>Computadora</t>
        </is>
      </c>
      <c r="B473" s="24" t="inlineStr">
        <is>
          <t>Lentitud / Sistema</t>
        </is>
      </c>
      <c r="C473" s="24" t="inlineStr">
        <is>
          <t>¿Tarda demasiado en encender?</t>
        </is>
      </c>
      <c r="D473" s="25" t="inlineStr">
        <is>
          <t>YNS</t>
        </is>
      </c>
      <c r="E473" s="26">
        <f>IF(OR(A473="",B473=""),"",A473&amp;"|"&amp;B473)</f>
        <v/>
      </c>
      <c r="F473" s="26">
        <f>IF(OR(E473="",C473=""),"",E473&amp;"|"&amp;C473)</f>
        <v/>
      </c>
    </row>
    <row r="474">
      <c r="A474" s="23" t="inlineStr">
        <is>
          <t>Computadora</t>
        </is>
      </c>
      <c r="B474" s="24" t="inlineStr">
        <is>
          <t>Lentitud / Sistema</t>
        </is>
      </c>
      <c r="C474" s="24" t="inlineStr">
        <is>
          <t>¿Se congela?</t>
        </is>
      </c>
      <c r="D474" s="25" t="inlineStr">
        <is>
          <t>YNS</t>
        </is>
      </c>
      <c r="E474" s="26">
        <f>IF(OR(A474="",B474=""),"",A474&amp;"|"&amp;B474)</f>
        <v/>
      </c>
      <c r="F474" s="26">
        <f>IF(OR(E474="",C474=""),"",E474&amp;"|"&amp;C474)</f>
        <v/>
      </c>
    </row>
    <row r="475">
      <c r="A475" s="23" t="inlineStr">
        <is>
          <t>Computadora</t>
        </is>
      </c>
      <c r="B475" s="24" t="inlineStr">
        <is>
          <t>Lentitud / Sistema</t>
        </is>
      </c>
      <c r="C475" s="24" t="inlineStr">
        <is>
          <t>¿Se reinicia solo?</t>
        </is>
      </c>
      <c r="D475" s="25" t="inlineStr">
        <is>
          <t>YNS</t>
        </is>
      </c>
      <c r="E475" s="26">
        <f>IF(OR(A475="",B475=""),"",A475&amp;"|"&amp;B475)</f>
        <v/>
      </c>
      <c r="F475" s="26">
        <f>IF(OR(E475="",C475=""),"",E475&amp;"|"&amp;C475)</f>
        <v/>
      </c>
    </row>
    <row r="476">
      <c r="A476" s="23" t="inlineStr">
        <is>
          <t>Computadora</t>
        </is>
      </c>
      <c r="B476" s="24" t="inlineStr">
        <is>
          <t>Lentitud / Sistema</t>
        </is>
      </c>
      <c r="C476" s="24" t="inlineStr">
        <is>
          <t>¿Presenta pantalla azul o error?</t>
        </is>
      </c>
      <c r="D476" s="25" t="inlineStr">
        <is>
          <t>YNS</t>
        </is>
      </c>
      <c r="E476" s="26">
        <f>IF(OR(A476="",B476=""),"",A476&amp;"|"&amp;B476)</f>
        <v/>
      </c>
      <c r="F476" s="26">
        <f>IF(OR(E476="",C476=""),"",E476&amp;"|"&amp;C476)</f>
        <v/>
      </c>
    </row>
    <row r="477">
      <c r="A477" s="23" t="inlineStr">
        <is>
          <t>Computadora</t>
        </is>
      </c>
      <c r="B477" s="24" t="inlineStr">
        <is>
          <t>Lentitud / Sistema</t>
        </is>
      </c>
      <c r="C477" s="24" t="inlineStr">
        <is>
          <t>¿Muestra signo de prohibido, pantalla gris o reinicio por error? (Mac)</t>
        </is>
      </c>
      <c r="D477" s="25" t="inlineStr">
        <is>
          <t>YNS</t>
        </is>
      </c>
      <c r="E477" s="26">
        <f>IF(OR(A477="",B477=""),"",A477&amp;"|"&amp;B477)</f>
        <v/>
      </c>
      <c r="F477" s="26">
        <f>IF(OR(E477="",C477=""),"",E477&amp;"|"&amp;C477)</f>
        <v/>
      </c>
    </row>
    <row r="478">
      <c r="A478" s="23" t="inlineStr">
        <is>
          <t>Computadora</t>
        </is>
      </c>
      <c r="B478" s="24" t="inlineStr">
        <is>
          <t>Lentitud / Sistema</t>
        </is>
      </c>
      <c r="C478" s="24" t="inlineStr">
        <is>
          <t>¿Qué programa, app o juego falla?</t>
        </is>
      </c>
      <c r="D478" s="25" t="inlineStr">
        <is>
          <t>PROG</t>
        </is>
      </c>
      <c r="E478" s="26">
        <f>IF(OR(A478="",B478=""),"",A478&amp;"|"&amp;B478)</f>
        <v/>
      </c>
      <c r="F478" s="26">
        <f>IF(OR(E478="",C478=""),"",E478&amp;"|"&amp;C478)</f>
        <v/>
      </c>
    </row>
    <row r="479">
      <c r="A479" s="23" t="inlineStr">
        <is>
          <t>Computadora</t>
        </is>
      </c>
      <c r="B479" s="24" t="inlineStr">
        <is>
          <t>Lentitud / Sistema</t>
        </is>
      </c>
      <c r="C479" s="24" t="inlineStr">
        <is>
          <t>¿Se realizó recientemente alguna actualización?</t>
        </is>
      </c>
      <c r="D479" s="25" t="inlineStr">
        <is>
          <t>YNS</t>
        </is>
      </c>
      <c r="E479" s="26">
        <f>IF(OR(A479="",B479=""),"",A479&amp;"|"&amp;B479)</f>
        <v/>
      </c>
      <c r="F479" s="26">
        <f>IF(OR(E479="",C479=""),"",E479&amp;"|"&amp;C479)</f>
        <v/>
      </c>
    </row>
    <row r="480">
      <c r="A480" s="23" t="inlineStr">
        <is>
          <t>Computadora</t>
        </is>
      </c>
      <c r="B480" s="24" t="inlineStr">
        <is>
          <t>Lentitud / Sistema</t>
        </is>
      </c>
      <c r="C480" s="24" t="inlineStr">
        <is>
          <t>¿Necesita conservar los programas instalados?</t>
        </is>
      </c>
      <c r="D480" s="25" t="inlineStr">
        <is>
          <t>YNS</t>
        </is>
      </c>
      <c r="E480" s="26">
        <f>IF(OR(A480="",B480=""),"",A480&amp;"|"&amp;B480)</f>
        <v/>
      </c>
      <c r="F480" s="26">
        <f>IF(OR(E480="",C480=""),"",E480&amp;"|"&amp;C480)</f>
        <v/>
      </c>
    </row>
    <row r="481">
      <c r="A481" s="23" t="inlineStr">
        <is>
          <t>Computadora</t>
        </is>
      </c>
      <c r="B481" s="24" t="inlineStr">
        <is>
          <t>Lentitud / Sistema</t>
        </is>
      </c>
      <c r="C481" s="24" t="inlineStr">
        <is>
          <t>¿Tiene virus, anuncios o ventanas emergentes?</t>
        </is>
      </c>
      <c r="D481" s="25" t="inlineStr">
        <is>
          <t>YNS</t>
        </is>
      </c>
      <c r="E481" s="26">
        <f>IF(OR(A481="",B481=""),"",A481&amp;"|"&amp;B481)</f>
        <v/>
      </c>
      <c r="F481" s="26">
        <f>IF(OR(E481="",C481=""),"",E481&amp;"|"&amp;C481)</f>
        <v/>
      </c>
    </row>
    <row r="482">
      <c r="A482" s="23" t="inlineStr">
        <is>
          <t>Computadora</t>
        </is>
      </c>
      <c r="B482" s="24" t="inlineStr">
        <is>
          <t>Lentitud / Sistema</t>
        </is>
      </c>
      <c r="C482" s="24" t="inlineStr">
        <is>
          <t>¿Qué sistema operativo utiliza?</t>
        </is>
      </c>
      <c r="D482" s="25" t="inlineStr">
        <is>
          <t>SO</t>
        </is>
      </c>
      <c r="E482" s="26">
        <f>IF(OR(A482="",B482=""),"",A482&amp;"|"&amp;B482)</f>
        <v/>
      </c>
      <c r="F482" s="26">
        <f>IF(OR(E482="",C482=""),"",E482&amp;"|"&amp;C482)</f>
        <v/>
      </c>
    </row>
    <row r="483">
      <c r="A483" s="23" t="inlineStr">
        <is>
          <t>Computadora</t>
        </is>
      </c>
      <c r="B483" s="24" t="inlineStr">
        <is>
          <t>Lentitud / Sistema</t>
        </is>
      </c>
      <c r="C483" s="24" t="inlineStr">
        <is>
          <t>¿Se vuelve lento después de un tiempo de uso?</t>
        </is>
      </c>
      <c r="D483" s="25" t="inlineStr">
        <is>
          <t>YNS</t>
        </is>
      </c>
      <c r="E483" s="26">
        <f>IF(OR(A483="",B483=""),"",A483&amp;"|"&amp;B483)</f>
        <v/>
      </c>
      <c r="F483" s="26">
        <f>IF(OR(E483="",C483=""),"",E483&amp;"|"&amp;C483)</f>
        <v/>
      </c>
    </row>
    <row r="484">
      <c r="A484" s="23" t="inlineStr">
        <is>
          <t>Computadora</t>
        </is>
      </c>
      <c r="B484" s="24" t="inlineStr">
        <is>
          <t>Lentitud / Sistema</t>
        </is>
      </c>
      <c r="C484" s="24" t="inlineStr">
        <is>
          <t>¿El ventilador suena fuerte cuando está lento?</t>
        </is>
      </c>
      <c r="D484" s="25" t="inlineStr">
        <is>
          <t>YNS</t>
        </is>
      </c>
      <c r="E484" s="26">
        <f>IF(OR(A484="",B484=""),"",A484&amp;"|"&amp;B484)</f>
        <v/>
      </c>
      <c r="F484" s="26">
        <f>IF(OR(E484="",C484=""),"",E484&amp;"|"&amp;C484)</f>
        <v/>
      </c>
    </row>
    <row r="485">
      <c r="A485" s="23" t="inlineStr">
        <is>
          <t>Computadora</t>
        </is>
      </c>
      <c r="B485" s="24" t="inlineStr">
        <is>
          <t>Lentitud / Sistema</t>
        </is>
      </c>
      <c r="C485" s="24" t="inlineStr">
        <is>
          <t>¿Tiene muchas fotos, videos o archivos guardados?</t>
        </is>
      </c>
      <c r="D485" s="25" t="inlineStr">
        <is>
          <t>YNS</t>
        </is>
      </c>
      <c r="E485" s="26">
        <f>IF(OR(A485="",B485=""),"",A485&amp;"|"&amp;B485)</f>
        <v/>
      </c>
      <c r="F485" s="26">
        <f>IF(OR(E485="",C485=""),"",E485&amp;"|"&amp;C485)</f>
        <v/>
      </c>
    </row>
    <row r="486">
      <c r="A486" s="23" t="inlineStr">
        <is>
          <t>Computadora</t>
        </is>
      </c>
      <c r="B486" s="24" t="inlineStr">
        <is>
          <t>Lentitud / Sistema</t>
        </is>
      </c>
      <c r="C486" s="24" t="inlineStr">
        <is>
          <t>¿Qué tipo de disco tiene?</t>
        </is>
      </c>
      <c r="D486" s="25" t="inlineStr">
        <is>
          <t>DISCO</t>
        </is>
      </c>
      <c r="E486" s="26">
        <f>IF(OR(A486="",B486=""),"",A486&amp;"|"&amp;B486)</f>
        <v/>
      </c>
      <c r="F486" s="26">
        <f>IF(OR(E486="",C486=""),"",E486&amp;"|"&amp;C486)</f>
        <v/>
      </c>
    </row>
    <row r="487">
      <c r="A487" s="23" t="inlineStr">
        <is>
          <t>Computadora</t>
        </is>
      </c>
      <c r="B487" s="24" t="inlineStr">
        <is>
          <t>Disco / Almacenamiento</t>
        </is>
      </c>
      <c r="C487" s="24" t="inlineStr">
        <is>
          <t>¿Se escuchan clics o ruidos raros del disco?</t>
        </is>
      </c>
      <c r="D487" s="25" t="inlineStr">
        <is>
          <t>YNS</t>
        </is>
      </c>
      <c r="E487" s="26">
        <f>IF(OR(A487="",B487=""),"",A487&amp;"|"&amp;B487)</f>
        <v/>
      </c>
      <c r="F487" s="26">
        <f>IF(OR(E487="",C487=""),"",E487&amp;"|"&amp;C487)</f>
        <v/>
      </c>
    </row>
    <row r="488">
      <c r="A488" s="23" t="inlineStr">
        <is>
          <t>Computadora</t>
        </is>
      </c>
      <c r="B488" s="24" t="inlineStr">
        <is>
          <t>Disco / Almacenamiento</t>
        </is>
      </c>
      <c r="C488" s="24" t="inlineStr">
        <is>
          <t>¿Aparece «disco no encontrado» o error de arranque?</t>
        </is>
      </c>
      <c r="D488" s="25" t="inlineStr">
        <is>
          <t>YNS</t>
        </is>
      </c>
      <c r="E488" s="26">
        <f>IF(OR(A488="",B488=""),"",A488&amp;"|"&amp;B488)</f>
        <v/>
      </c>
      <c r="F488" s="26">
        <f>IF(OR(E488="",C488=""),"",E488&amp;"|"&amp;C488)</f>
        <v/>
      </c>
    </row>
    <row r="489">
      <c r="A489" s="23" t="inlineStr">
        <is>
          <t>Computadora</t>
        </is>
      </c>
      <c r="B489" s="24" t="inlineStr">
        <is>
          <t>Disco / Almacenamiento</t>
        </is>
      </c>
      <c r="C489" s="24" t="inlineStr">
        <is>
          <t>¿Hay archivos que desaparecen o no se pueden abrir?</t>
        </is>
      </c>
      <c r="D489" s="25" t="inlineStr">
        <is>
          <t>YNS</t>
        </is>
      </c>
      <c r="E489" s="26">
        <f>IF(OR(A489="",B489=""),"",A489&amp;"|"&amp;B489)</f>
        <v/>
      </c>
      <c r="F489" s="26">
        <f>IF(OR(E489="",C489=""),"",E489&amp;"|"&amp;C489)</f>
        <v/>
      </c>
    </row>
    <row r="490">
      <c r="A490" s="23" t="inlineStr">
        <is>
          <t>Computadora</t>
        </is>
      </c>
      <c r="B490" s="24" t="inlineStr">
        <is>
          <t>Cuenta / Bloqueo</t>
        </is>
      </c>
      <c r="C490" s="24" t="inlineStr">
        <is>
          <t>¿Recuerda usuario y contraseña de su cuenta (Apple ID, Google, PSN, Xbox, Nintendo, Microsoft)?</t>
        </is>
      </c>
      <c r="D490" s="25" t="inlineStr">
        <is>
          <t>YNS</t>
        </is>
      </c>
      <c r="E490" s="26">
        <f>IF(OR(A490="",B490=""),"",A490&amp;"|"&amp;B490)</f>
        <v/>
      </c>
      <c r="F490" s="26">
        <f>IF(OR(E490="",C490=""),"",E490&amp;"|"&amp;C490)</f>
        <v/>
      </c>
    </row>
    <row r="491">
      <c r="A491" s="23" t="inlineStr">
        <is>
          <t>Computadora</t>
        </is>
      </c>
      <c r="B491" s="24" t="inlineStr">
        <is>
          <t>Cuenta / Bloqueo</t>
        </is>
      </c>
      <c r="C491" s="24" t="inlineStr">
        <is>
          <t>¿El equipo tiene bloqueo por contraseña, PIN o patrón?</t>
        </is>
      </c>
      <c r="D491" s="25" t="inlineStr">
        <is>
          <t>YNS</t>
        </is>
      </c>
      <c r="E491" s="26">
        <f>IF(OR(A491="",B491=""),"",A491&amp;"|"&amp;B491)</f>
        <v/>
      </c>
      <c r="F491" s="26">
        <f>IF(OR(E491="",C491=""),"",E491&amp;"|"&amp;C491)</f>
        <v/>
      </c>
    </row>
    <row r="492">
      <c r="A492" s="23" t="inlineStr">
        <is>
          <t>Computadora</t>
        </is>
      </c>
      <c r="B492" s="24" t="inlineStr">
        <is>
          <t>Cuenta / Bloqueo</t>
        </is>
      </c>
      <c r="C492" s="24" t="inlineStr">
        <is>
          <t>¿Tiene activado «Buscar mi dispositivo» o bloqueo de activación?</t>
        </is>
      </c>
      <c r="D492" s="25" t="inlineStr">
        <is>
          <t>YNS</t>
        </is>
      </c>
      <c r="E492" s="26">
        <f>IF(OR(A492="",B492=""),"",A492&amp;"|"&amp;B492)</f>
        <v/>
      </c>
      <c r="F492" s="26">
        <f>IF(OR(E492="",C492=""),"",E492&amp;"|"&amp;C492)</f>
        <v/>
      </c>
    </row>
    <row r="493">
      <c r="A493" s="23" t="inlineStr">
        <is>
          <t>Computadora</t>
        </is>
      </c>
      <c r="B493" s="24" t="inlineStr">
        <is>
          <t>Cuenta / Bloqueo</t>
        </is>
      </c>
      <c r="C493" s="24" t="inlineStr">
        <is>
          <t>¿Olvidó la contraseña o el PIN de desbloqueo?</t>
        </is>
      </c>
      <c r="D493" s="25" t="inlineStr">
        <is>
          <t>YNS</t>
        </is>
      </c>
      <c r="E493" s="26">
        <f>IF(OR(A493="",B493=""),"",A493&amp;"|"&amp;B493)</f>
        <v/>
      </c>
      <c r="F493" s="26">
        <f>IF(OR(E493="",C493=""),"",E493&amp;"|"&amp;C493)</f>
        <v/>
      </c>
    </row>
    <row r="494">
      <c r="A494" s="23" t="inlineStr">
        <is>
          <t>Computadora</t>
        </is>
      </c>
      <c r="B494" s="24" t="inlineStr">
        <is>
          <t>Cuenta / Bloqueo</t>
        </is>
      </c>
      <c r="C494" s="24" t="inlineStr">
        <is>
          <t>¿Recuerda el correo asociado a la cuenta del equipo?</t>
        </is>
      </c>
      <c r="D494" s="25" t="inlineStr">
        <is>
          <t>YNS</t>
        </is>
      </c>
      <c r="E494" s="26">
        <f>IF(OR(A494="",B494=""),"",A494&amp;"|"&amp;B494)</f>
        <v/>
      </c>
      <c r="F494" s="26">
        <f>IF(OR(E494="",C494=""),"",E494&amp;"|"&amp;C494)</f>
        <v/>
      </c>
    </row>
    <row r="495">
      <c r="A495" s="23" t="inlineStr">
        <is>
          <t>Computadora</t>
        </is>
      </c>
      <c r="B495" s="24" t="inlineStr">
        <is>
          <t>Cuenta / Bloqueo</t>
        </is>
      </c>
      <c r="C495" s="24" t="inlineStr">
        <is>
          <t>¿Tiene contraseña del BIOS o firmware?</t>
        </is>
      </c>
      <c r="D495" s="25" t="inlineStr">
        <is>
          <t>YNS</t>
        </is>
      </c>
      <c r="E495" s="26">
        <f>IF(OR(A495="",B495=""),"",A495&amp;"|"&amp;B495)</f>
        <v/>
      </c>
      <c r="F495" s="26">
        <f>IF(OR(E495="",C495=""),"",E495&amp;"|"&amp;C495)</f>
        <v/>
      </c>
    </row>
    <row r="496">
      <c r="A496" s="23" t="inlineStr">
        <is>
          <t>Computadora</t>
        </is>
      </c>
      <c r="B496" s="24" t="inlineStr">
        <is>
          <t>Audio / Cámara / Micrófono</t>
        </is>
      </c>
      <c r="C496" s="24" t="inlineStr">
        <is>
          <t>¿La bocina no suena o suena distorsionada?</t>
        </is>
      </c>
      <c r="D496" s="25" t="inlineStr">
        <is>
          <t>YNS</t>
        </is>
      </c>
      <c r="E496" s="26">
        <f>IF(OR(A496="",B496=""),"",A496&amp;"|"&amp;B496)</f>
        <v/>
      </c>
      <c r="F496" s="26">
        <f>IF(OR(E496="",C496=""),"",E496&amp;"|"&amp;C496)</f>
        <v/>
      </c>
    </row>
    <row r="497">
      <c r="A497" s="23" t="inlineStr">
        <is>
          <t>Computadora</t>
        </is>
      </c>
      <c r="B497" s="24" t="inlineStr">
        <is>
          <t>Audio / Cámara / Micrófono</t>
        </is>
      </c>
      <c r="C497" s="24" t="inlineStr">
        <is>
          <t>¿Se escucha solo de un lado?</t>
        </is>
      </c>
      <c r="D497" s="25" t="inlineStr">
        <is>
          <t>YNS</t>
        </is>
      </c>
      <c r="E497" s="26">
        <f>IF(OR(A497="",B497=""),"",A497&amp;"|"&amp;B497)</f>
        <v/>
      </c>
      <c r="F497" s="26">
        <f>IF(OR(E497="",C497=""),"",E497&amp;"|"&amp;C497)</f>
        <v/>
      </c>
    </row>
    <row r="498">
      <c r="A498" s="23" t="inlineStr">
        <is>
          <t>Computadora</t>
        </is>
      </c>
      <c r="B498" s="24" t="inlineStr">
        <is>
          <t>Audio / Cámara / Micrófono</t>
        </is>
      </c>
      <c r="C498" s="24" t="inlineStr">
        <is>
          <t>¿El micrófono no se escucha?</t>
        </is>
      </c>
      <c r="D498" s="25" t="inlineStr">
        <is>
          <t>YNS</t>
        </is>
      </c>
      <c r="E498" s="26">
        <f>IF(OR(A498="",B498=""),"",A498&amp;"|"&amp;B498)</f>
        <v/>
      </c>
      <c r="F498" s="26">
        <f>IF(OR(E498="",C498=""),"",E498&amp;"|"&amp;C498)</f>
        <v/>
      </c>
    </row>
    <row r="499">
      <c r="A499" s="23" t="inlineStr">
        <is>
          <t>Computadora</t>
        </is>
      </c>
      <c r="B499" s="24" t="inlineStr">
        <is>
          <t>Audio / Cámara / Micrófono</t>
        </is>
      </c>
      <c r="C499" s="24" t="inlineStr">
        <is>
          <t>¿La cámara frontal o webcam falla?</t>
        </is>
      </c>
      <c r="D499" s="25" t="inlineStr">
        <is>
          <t>YNS</t>
        </is>
      </c>
      <c r="E499" s="26">
        <f>IF(OR(A499="",B499=""),"",A499&amp;"|"&amp;B499)</f>
        <v/>
      </c>
      <c r="F499" s="26">
        <f>IF(OR(E499="",C499=""),"",E499&amp;"|"&amp;C499)</f>
        <v/>
      </c>
    </row>
    <row r="500">
      <c r="A500" s="23" t="inlineStr">
        <is>
          <t>Computadora</t>
        </is>
      </c>
      <c r="B500" s="24" t="inlineStr">
        <is>
          <t>Audio / Cámara / Micrófono</t>
        </is>
      </c>
      <c r="C500" s="24" t="inlineStr">
        <is>
          <t>¿El puerto de audífonos no funciona?</t>
        </is>
      </c>
      <c r="D500" s="25" t="inlineStr">
        <is>
          <t>YNS</t>
        </is>
      </c>
      <c r="E500" s="26">
        <f>IF(OR(A500="",B500=""),"",A500&amp;"|"&amp;B500)</f>
        <v/>
      </c>
      <c r="F500" s="26">
        <f>IF(OR(E500="",C500=""),"",E500&amp;"|"&amp;C500)</f>
        <v/>
      </c>
    </row>
    <row r="501">
      <c r="A501" s="23" t="inlineStr">
        <is>
          <t>Computadora</t>
        </is>
      </c>
      <c r="B501" s="24" t="inlineStr">
        <is>
          <t>Audio / Cámara / Micrófono</t>
        </is>
      </c>
      <c r="C501" s="24" t="inlineStr">
        <is>
          <t>¿El audio se corta o suena con ruido estático?</t>
        </is>
      </c>
      <c r="D501" s="25" t="inlineStr">
        <is>
          <t>YNS</t>
        </is>
      </c>
      <c r="E501" s="26">
        <f>IF(OR(A501="",B501=""),"",A501&amp;"|"&amp;B501)</f>
        <v/>
      </c>
      <c r="F501" s="26">
        <f>IF(OR(E501="",C501=""),"",E501&amp;"|"&amp;C501)</f>
        <v/>
      </c>
    </row>
    <row r="502">
      <c r="A502" s="23" t="inlineStr">
        <is>
          <t>Computadora</t>
        </is>
      </c>
      <c r="B502" s="24" t="inlineStr">
        <is>
          <t>Audio / Cámara / Micrófono</t>
        </is>
      </c>
      <c r="C502" s="24" t="inlineStr">
        <is>
          <t>¿Los audífonos Bluetooth se conectan bien?</t>
        </is>
      </c>
      <c r="D502" s="25" t="inlineStr">
        <is>
          <t>YNS</t>
        </is>
      </c>
      <c r="E502" s="26">
        <f>IF(OR(A502="",B502=""),"",A502&amp;"|"&amp;B502)</f>
        <v/>
      </c>
      <c r="F502" s="26">
        <f>IF(OR(E502="",C502=""),"",E502&amp;"|"&amp;C502)</f>
        <v/>
      </c>
    </row>
    <row r="503">
      <c r="A503" s="23" t="inlineStr">
        <is>
          <t>Computadora</t>
        </is>
      </c>
      <c r="B503" s="24" t="inlineStr">
        <is>
          <t>Audio / Cámara / Micrófono</t>
        </is>
      </c>
      <c r="C503" s="24" t="inlineStr">
        <is>
          <t>¿La cámara no abre o muestra pantalla negra?</t>
        </is>
      </c>
      <c r="D503" s="25" t="inlineStr">
        <is>
          <t>YNS</t>
        </is>
      </c>
      <c r="E503" s="26">
        <f>IF(OR(A503="",B503=""),"",A503&amp;"|"&amp;B503)</f>
        <v/>
      </c>
      <c r="F503" s="26">
        <f>IF(OR(E503="",C503=""),"",E503&amp;"|"&amp;C503)</f>
        <v/>
      </c>
    </row>
    <row r="504">
      <c r="A504" s="23" t="inlineStr">
        <is>
          <t>Computadora</t>
        </is>
      </c>
      <c r="B504" s="24" t="inlineStr">
        <is>
          <t>Audio / Cámara / Micrófono</t>
        </is>
      </c>
      <c r="C504" s="24" t="inlineStr">
        <is>
          <t>¿El altavoz suena muy bajo?</t>
        </is>
      </c>
      <c r="D504" s="25" t="inlineStr">
        <is>
          <t>YNS</t>
        </is>
      </c>
      <c r="E504" s="26">
        <f>IF(OR(A504="",B504=""),"",A504&amp;"|"&amp;B504)</f>
        <v/>
      </c>
      <c r="F504" s="26">
        <f>IF(OR(E504="",C504=""),"",E504&amp;"|"&amp;C504)</f>
        <v/>
      </c>
    </row>
    <row r="505">
      <c r="A505" s="23" t="inlineStr">
        <is>
          <t>Computadora</t>
        </is>
      </c>
      <c r="B505" s="24" t="inlineStr">
        <is>
          <t>Red / Señal / Conectividad</t>
        </is>
      </c>
      <c r="C505" s="24" t="inlineStr">
        <is>
          <t>¿El Wi-Fi no conecta o se desconecta?</t>
        </is>
      </c>
      <c r="D505" s="25" t="inlineStr">
        <is>
          <t>YNS</t>
        </is>
      </c>
      <c r="E505" s="26">
        <f>IF(OR(A505="",B505=""),"",A505&amp;"|"&amp;B505)</f>
        <v/>
      </c>
      <c r="F505" s="26">
        <f>IF(OR(E505="",C505=""),"",E505&amp;"|"&amp;C505)</f>
        <v/>
      </c>
    </row>
    <row r="506">
      <c r="A506" s="23" t="inlineStr">
        <is>
          <t>Computadora</t>
        </is>
      </c>
      <c r="B506" s="24" t="inlineStr">
        <is>
          <t>Red / Señal / Conectividad</t>
        </is>
      </c>
      <c r="C506" s="24" t="inlineStr">
        <is>
          <t>¿El Bluetooth no funciona?</t>
        </is>
      </c>
      <c r="D506" s="25" t="inlineStr">
        <is>
          <t>YNS</t>
        </is>
      </c>
      <c r="E506" s="26">
        <f>IF(OR(A506="",B506=""),"",A506&amp;"|"&amp;B506)</f>
        <v/>
      </c>
      <c r="F506" s="26">
        <f>IF(OR(E506="",C506=""),"",E506&amp;"|"&amp;C506)</f>
        <v/>
      </c>
    </row>
    <row r="507">
      <c r="A507" s="23" t="inlineStr">
        <is>
          <t>Computadora</t>
        </is>
      </c>
      <c r="B507" s="24" t="inlineStr">
        <is>
          <t>Red / Señal / Conectividad</t>
        </is>
      </c>
      <c r="C507" s="24" t="inlineStr">
        <is>
          <t>¿El puerto de red (Ethernet) no funciona?</t>
        </is>
      </c>
      <c r="D507" s="25" t="inlineStr">
        <is>
          <t>YNS</t>
        </is>
      </c>
      <c r="E507" s="26">
        <f>IF(OR(A507="",B507=""),"",A507&amp;"|"&amp;B507)</f>
        <v/>
      </c>
      <c r="F507" s="26">
        <f>IF(OR(E507="",C507=""),"",E507&amp;"|"&amp;C507)</f>
        <v/>
      </c>
    </row>
    <row r="508">
      <c r="A508" s="23" t="inlineStr">
        <is>
          <t>Computadora</t>
        </is>
      </c>
      <c r="B508" s="24" t="inlineStr">
        <is>
          <t>Red / Señal / Conectividad</t>
        </is>
      </c>
      <c r="C508" s="24" t="inlineStr">
        <is>
          <t>¿Se conecta al Wi-Fi pero no tiene internet?</t>
        </is>
      </c>
      <c r="D508" s="25" t="inlineStr">
        <is>
          <t>YNS</t>
        </is>
      </c>
      <c r="E508" s="26">
        <f>IF(OR(A508="",B508=""),"",A508&amp;"|"&amp;B508)</f>
        <v/>
      </c>
      <c r="F508" s="26">
        <f>IF(OR(E508="",C508=""),"",E508&amp;"|"&amp;C508)</f>
        <v/>
      </c>
    </row>
    <row r="509">
      <c r="A509" s="23" t="inlineStr">
        <is>
          <t>Computadora</t>
        </is>
      </c>
      <c r="B509" s="24" t="inlineStr">
        <is>
          <t>Red / Señal / Conectividad</t>
        </is>
      </c>
      <c r="C509" s="24" t="inlineStr">
        <is>
          <t>¿Funciona el Wi-Fi en otro lugar o con otra red?</t>
        </is>
      </c>
      <c r="D509" s="25" t="inlineStr">
        <is>
          <t>YNS</t>
        </is>
      </c>
      <c r="E509" s="26">
        <f>IF(OR(A509="",B509=""),"",A509&amp;"|"&amp;B509)</f>
        <v/>
      </c>
      <c r="F509" s="26">
        <f>IF(OR(E509="",C509=""),"",E509&amp;"|"&amp;C509)</f>
        <v/>
      </c>
    </row>
    <row r="510">
      <c r="A510" s="23" t="inlineStr">
        <is>
          <t>Computadora</t>
        </is>
      </c>
      <c r="B510" s="24" t="inlineStr">
        <is>
          <t>Red / Señal / Conectividad</t>
        </is>
      </c>
      <c r="C510" s="24" t="inlineStr">
        <is>
          <t>¿El Bluetooth se desconecta con frecuencia?</t>
        </is>
      </c>
      <c r="D510" s="25" t="inlineStr">
        <is>
          <t>YNS</t>
        </is>
      </c>
      <c r="E510" s="26">
        <f>IF(OR(A510="",B510=""),"",A510&amp;"|"&amp;B510)</f>
        <v/>
      </c>
      <c r="F510" s="26">
        <f>IF(OR(E510="",C510=""),"",E510&amp;"|"&amp;C510)</f>
        <v/>
      </c>
    </row>
    <row r="511">
      <c r="A511" s="23" t="inlineStr">
        <is>
          <t>Computadora</t>
        </is>
      </c>
      <c r="B511" s="24" t="inlineStr">
        <is>
          <t>Teclado / Touchpad / Puertos</t>
        </is>
      </c>
      <c r="C511" s="24" t="inlineStr">
        <is>
          <t>¿Hay teclas que no funcionan?</t>
        </is>
      </c>
      <c r="D511" s="25" t="inlineStr">
        <is>
          <t>YNS</t>
        </is>
      </c>
      <c r="E511" s="26">
        <f>IF(OR(A511="",B511=""),"",A511&amp;"|"&amp;B511)</f>
        <v/>
      </c>
      <c r="F511" s="26">
        <f>IF(OR(E511="",C511=""),"",E511&amp;"|"&amp;C511)</f>
        <v/>
      </c>
    </row>
    <row r="512">
      <c r="A512" s="23" t="inlineStr">
        <is>
          <t>Computadora</t>
        </is>
      </c>
      <c r="B512" s="24" t="inlineStr">
        <is>
          <t>Teclado / Touchpad / Puertos</t>
        </is>
      </c>
      <c r="C512" s="24" t="inlineStr">
        <is>
          <t>¿El touchpad falla o hace clic solo? (laptop)</t>
        </is>
      </c>
      <c r="D512" s="25" t="inlineStr">
        <is>
          <t>YNS</t>
        </is>
      </c>
      <c r="E512" s="26">
        <f>IF(OR(A512="",B512=""),"",A512&amp;"|"&amp;B512)</f>
        <v/>
      </c>
      <c r="F512" s="26">
        <f>IF(OR(E512="",C512=""),"",E512&amp;"|"&amp;C512)</f>
        <v/>
      </c>
    </row>
    <row r="513">
      <c r="A513" s="23" t="inlineStr">
        <is>
          <t>Computadora</t>
        </is>
      </c>
      <c r="B513" s="24" t="inlineStr">
        <is>
          <t>Teclado / Touchpad / Puertos</t>
        </is>
      </c>
      <c r="C513" s="24" t="inlineStr">
        <is>
          <t>¿Teclado o mouse externos no son detectados?</t>
        </is>
      </c>
      <c r="D513" s="25" t="inlineStr">
        <is>
          <t>YNS</t>
        </is>
      </c>
      <c r="E513" s="26">
        <f>IF(OR(A513="",B513=""),"",A513&amp;"|"&amp;B513)</f>
        <v/>
      </c>
      <c r="F513" s="26">
        <f>IF(OR(E513="",C513=""),"",E513&amp;"|"&amp;C513)</f>
        <v/>
      </c>
    </row>
    <row r="514">
      <c r="A514" s="23" t="inlineStr">
        <is>
          <t>Computadora</t>
        </is>
      </c>
      <c r="B514" s="24" t="inlineStr">
        <is>
          <t>Teclado / Touchpad / Puertos</t>
        </is>
      </c>
      <c r="C514" s="24" t="inlineStr">
        <is>
          <t>¿Algún puerto USB no funciona?</t>
        </is>
      </c>
      <c r="D514" s="25" t="inlineStr">
        <is>
          <t>YNS</t>
        </is>
      </c>
      <c r="E514" s="26">
        <f>IF(OR(A514="",B514=""),"",A514&amp;"|"&amp;B514)</f>
        <v/>
      </c>
      <c r="F514" s="26">
        <f>IF(OR(E514="",C514=""),"",E514&amp;"|"&amp;C514)</f>
        <v/>
      </c>
    </row>
    <row r="515">
      <c r="A515" s="23" t="inlineStr">
        <is>
          <t>Computadora</t>
        </is>
      </c>
      <c r="B515" s="24" t="inlineStr">
        <is>
          <t>Teclado / Touchpad / Puertos</t>
        </is>
      </c>
      <c r="C515" s="24" t="inlineStr">
        <is>
          <t>¿Falla el puerto HDMI, USB-C o lector de tarjetas?</t>
        </is>
      </c>
      <c r="D515" s="25" t="inlineStr">
        <is>
          <t>YNS</t>
        </is>
      </c>
      <c r="E515" s="26">
        <f>IF(OR(A515="",B515=""),"",A515&amp;"|"&amp;B515)</f>
        <v/>
      </c>
      <c r="F515" s="26">
        <f>IF(OR(E515="",C515=""),"",E515&amp;"|"&amp;C515)</f>
        <v/>
      </c>
    </row>
    <row r="516">
      <c r="A516" s="23" t="inlineStr">
        <is>
          <t>Computadora</t>
        </is>
      </c>
      <c r="B516" s="24" t="inlineStr">
        <is>
          <t>Teclado / Touchpad / Puertos</t>
        </is>
      </c>
      <c r="C516" s="24" t="inlineStr">
        <is>
          <t>¿El botón de encendido responde bien?</t>
        </is>
      </c>
      <c r="D516" s="25" t="inlineStr">
        <is>
          <t>YNS</t>
        </is>
      </c>
      <c r="E516" s="26">
        <f>IF(OR(A516="",B516=""),"",A516&amp;"|"&amp;B516)</f>
        <v/>
      </c>
      <c r="F516" s="26">
        <f>IF(OR(E516="",C516=""),"",E516&amp;"|"&amp;C516)</f>
        <v/>
      </c>
    </row>
    <row r="517">
      <c r="A517" s="23" t="inlineStr">
        <is>
          <t>Computadora</t>
        </is>
      </c>
      <c r="B517" s="24" t="inlineStr">
        <is>
          <t>Teclado / Touchpad / Puertos</t>
        </is>
      </c>
      <c r="C517" s="24" t="inlineStr">
        <is>
          <t>¿Hay teclas pegajosas o con doble escritura?</t>
        </is>
      </c>
      <c r="D517" s="25" t="inlineStr">
        <is>
          <t>YNS</t>
        </is>
      </c>
      <c r="E517" s="26">
        <f>IF(OR(A517="",B517=""),"",A517&amp;"|"&amp;B517)</f>
        <v/>
      </c>
      <c r="F517" s="26">
        <f>IF(OR(E517="",C517=""),"",E517&amp;"|"&amp;C517)</f>
        <v/>
      </c>
    </row>
    <row r="518">
      <c r="A518" s="23" t="inlineStr">
        <is>
          <t>Computadora</t>
        </is>
      </c>
      <c r="B518" s="24" t="inlineStr">
        <is>
          <t>Teclado / Touchpad / Puertos</t>
        </is>
      </c>
      <c r="C518" s="24" t="inlineStr">
        <is>
          <t>¿Falla la luz de fondo del teclado?</t>
        </is>
      </c>
      <c r="D518" s="25" t="inlineStr">
        <is>
          <t>YNS</t>
        </is>
      </c>
      <c r="E518" s="26">
        <f>IF(OR(A518="",B518=""),"",A518&amp;"|"&amp;B518)</f>
        <v/>
      </c>
      <c r="F518" s="26">
        <f>IF(OR(E518="",C518=""),"",E518&amp;"|"&amp;C518)</f>
        <v/>
      </c>
    </row>
    <row r="519">
      <c r="A519" s="23" t="inlineStr">
        <is>
          <t>Computadora</t>
        </is>
      </c>
      <c r="B519" s="24" t="inlineStr">
        <is>
          <t>Teclado / Touchpad / Puertos</t>
        </is>
      </c>
      <c r="C519" s="24" t="inlineStr">
        <is>
          <t>¿El touchpad no hace clic?</t>
        </is>
      </c>
      <c r="D519" s="25" t="inlineStr">
        <is>
          <t>YNS</t>
        </is>
      </c>
      <c r="E519" s="26">
        <f>IF(OR(A519="",B519=""),"",A519&amp;"|"&amp;B519)</f>
        <v/>
      </c>
      <c r="F519" s="26">
        <f>IF(OR(E519="",C519=""),"",E519&amp;"|"&amp;C519)</f>
        <v/>
      </c>
    </row>
    <row r="520">
      <c r="A520" s="23" t="inlineStr">
        <is>
          <t>Computadora</t>
        </is>
      </c>
      <c r="B520" s="24" t="inlineStr">
        <is>
          <t>Teclado / Touchpad / Puertos</t>
        </is>
      </c>
      <c r="C520" s="24" t="inlineStr">
        <is>
          <t>¿El puerto de carga está flojo o dañado?</t>
        </is>
      </c>
      <c r="D520" s="25" t="inlineStr">
        <is>
          <t>YNS</t>
        </is>
      </c>
      <c r="E520" s="26">
        <f>IF(OR(A520="",B520=""),"",A520&amp;"|"&amp;B520)</f>
        <v/>
      </c>
      <c r="F520" s="26">
        <f>IF(OR(E520="",C520=""),"",E520&amp;"|"&amp;C520)</f>
        <v/>
      </c>
    </row>
    <row r="521">
      <c r="A521" s="23" t="inlineStr">
        <is>
          <t>Computadora</t>
        </is>
      </c>
      <c r="B521" s="24" t="inlineStr">
        <is>
          <t>Teclado / Touchpad / Puertos</t>
        </is>
      </c>
      <c r="C521" s="24" t="inlineStr">
        <is>
          <t>¿Falla el lector de tarjetas SD?</t>
        </is>
      </c>
      <c r="D521" s="25" t="inlineStr">
        <is>
          <t>YNS</t>
        </is>
      </c>
      <c r="E521" s="26">
        <f>IF(OR(A521="",B521=""),"",A521&amp;"|"&amp;B521)</f>
        <v/>
      </c>
      <c r="F521" s="26">
        <f>IF(OR(E521="",C521=""),"",E521&amp;"|"&amp;C521)</f>
        <v/>
      </c>
    </row>
    <row r="522">
      <c r="A522" s="23" t="inlineStr">
        <is>
          <t>Computadora</t>
        </is>
      </c>
      <c r="B522" s="24" t="inlineStr">
        <is>
          <t>Otra falla</t>
        </is>
      </c>
      <c r="C522" s="24" t="inlineStr">
        <is>
          <t>¿Cuál es la otra falla o condición?</t>
        </is>
      </c>
      <c r="D522" s="25" t="inlineStr">
        <is>
          <t>OTRAF</t>
        </is>
      </c>
      <c r="E522" s="26">
        <f>IF(OR(A522="",B522=""),"",A522&amp;"|"&amp;B522)</f>
        <v/>
      </c>
      <c r="F522" s="26">
        <f>IF(OR(E522="",C522=""),"",E522&amp;"|"&amp;C522)</f>
        <v/>
      </c>
    </row>
    <row r="523">
      <c r="A523" s="23" t="inlineStr">
        <is>
          <t>Computadora</t>
        </is>
      </c>
      <c r="B523" s="24" t="inlineStr">
        <is>
          <t>Otra falla</t>
        </is>
      </c>
      <c r="C523" s="24" t="inlineStr">
        <is>
          <t>¿Qué solución ya intentó el cliente?</t>
        </is>
      </c>
      <c r="D523" s="25" t="inlineStr">
        <is>
          <t>SOL</t>
        </is>
      </c>
      <c r="E523" s="26">
        <f>IF(OR(A523="",B523=""),"",A523&amp;"|"&amp;B523)</f>
        <v/>
      </c>
      <c r="F523" s="26">
        <f>IF(OR(E523="",C523=""),"",E523&amp;"|"&amp;C523)</f>
        <v/>
      </c>
    </row>
    <row r="524">
      <c r="A524" s="23" t="inlineStr">
        <is>
          <t>Computadora</t>
        </is>
      </c>
      <c r="B524" s="24" t="inlineStr">
        <is>
          <t>Botones / Puertos</t>
        </is>
      </c>
      <c r="C524" s="24" t="inlineStr">
        <is>
          <t>¿El botón de encendido no responde bien?</t>
        </is>
      </c>
      <c r="D524" s="25" t="inlineStr">
        <is>
          <t>YNS</t>
        </is>
      </c>
      <c r="E524" s="26">
        <f>IF(OR(A524="",B524=""),"",A524&amp;"|"&amp;B524)</f>
        <v/>
      </c>
      <c r="F524" s="26">
        <f>IF(OR(E524="",C524=""),"",E524&amp;"|"&amp;C524)</f>
        <v/>
      </c>
    </row>
    <row r="525">
      <c r="A525" s="23" t="inlineStr">
        <is>
          <t>Computadora</t>
        </is>
      </c>
      <c r="B525" s="24" t="inlineStr">
        <is>
          <t>Software / Actualización</t>
        </is>
      </c>
      <c r="C525" s="24" t="inlineStr">
        <is>
          <t>¿Falló durante una actualización?</t>
        </is>
      </c>
      <c r="D525" s="25" t="inlineStr">
        <is>
          <t>YNS</t>
        </is>
      </c>
      <c r="E525" s="26">
        <f>IF(OR(A525="",B525=""),"",A525&amp;"|"&amp;B525)</f>
        <v/>
      </c>
      <c r="F525" s="26">
        <f>IF(OR(E525="",C525=""),"",E525&amp;"|"&amp;C525)</f>
        <v/>
      </c>
    </row>
    <row r="526">
      <c r="A526" s="23" t="inlineStr">
        <is>
          <t>Computadora</t>
        </is>
      </c>
      <c r="B526" s="24" t="inlineStr">
        <is>
          <t>Software / Actualización</t>
        </is>
      </c>
      <c r="C526" s="24" t="inlineStr">
        <is>
          <t>¿Se queda cargando o en el logo después de actualizar?</t>
        </is>
      </c>
      <c r="D526" s="25" t="inlineStr">
        <is>
          <t>YNS</t>
        </is>
      </c>
      <c r="E526" s="26">
        <f>IF(OR(A526="",B526=""),"",A526&amp;"|"&amp;B526)</f>
        <v/>
      </c>
      <c r="F526" s="26">
        <f>IF(OR(E526="",C526=""),"",E526&amp;"|"&amp;C526)</f>
        <v/>
      </c>
    </row>
    <row r="527">
      <c r="A527" s="23" t="inlineStr">
        <is>
          <t>Computadora</t>
        </is>
      </c>
      <c r="B527" s="24" t="inlineStr">
        <is>
          <t>Software / Actualización</t>
        </is>
      </c>
      <c r="C527" s="24" t="inlineStr">
        <is>
          <t>¿Necesita restaurarse o formatearse?</t>
        </is>
      </c>
      <c r="D527" s="25" t="inlineStr">
        <is>
          <t>YNS</t>
        </is>
      </c>
      <c r="E527" s="26">
        <f>IF(OR(A527="",B527=""),"",A527&amp;"|"&amp;B527)</f>
        <v/>
      </c>
      <c r="F527" s="26">
        <f>IF(OR(E527="",C527=""),"",E527&amp;"|"&amp;C527)</f>
        <v/>
      </c>
    </row>
    <row r="528">
      <c r="A528" s="23" t="inlineStr">
        <is>
          <t>Computadora</t>
        </is>
      </c>
      <c r="B528" s="24" t="inlineStr">
        <is>
          <t>Software / Actualización</t>
        </is>
      </c>
      <c r="C528" s="24" t="inlineStr">
        <is>
          <t>¿Instaló apps o programas de origen desconocido?</t>
        </is>
      </c>
      <c r="D528" s="25" t="inlineStr">
        <is>
          <t>YNS</t>
        </is>
      </c>
      <c r="E528" s="26">
        <f>IF(OR(A528="",B528=""),"",A528&amp;"|"&amp;B528)</f>
        <v/>
      </c>
      <c r="F528" s="26">
        <f>IF(OR(E528="",C528=""),"",E528&amp;"|"&amp;C528)</f>
        <v/>
      </c>
    </row>
    <row r="529">
      <c r="A529" s="23" t="inlineStr">
        <is>
          <t>Computadora</t>
        </is>
      </c>
      <c r="B529" s="24" t="inlineStr">
        <is>
          <t>Software / Actualización</t>
        </is>
      </c>
      <c r="C529" s="24" t="inlineStr">
        <is>
          <t>¿Tiene una versión muy antigua del sistema?</t>
        </is>
      </c>
      <c r="D529" s="25" t="inlineStr">
        <is>
          <t>YNS</t>
        </is>
      </c>
      <c r="E529" s="26">
        <f>IF(OR(A529="",B529=""),"",A529&amp;"|"&amp;B529)</f>
        <v/>
      </c>
      <c r="F529" s="26">
        <f>IF(OR(E529="",C529=""),"",E529&amp;"|"&amp;C529)</f>
        <v/>
      </c>
    </row>
    <row r="530">
      <c r="A530" s="23" t="inlineStr">
        <is>
          <t>Computadora</t>
        </is>
      </c>
      <c r="B530" s="24" t="inlineStr">
        <is>
          <t>Estado físico</t>
        </is>
      </c>
      <c r="C530" s="24" t="inlineStr">
        <is>
          <t>Estado de la pantalla</t>
        </is>
      </c>
      <c r="D530" s="25" t="inlineStr">
        <is>
          <t>E_PANT</t>
        </is>
      </c>
      <c r="E530" s="26">
        <f>IF(OR(A530="",B530=""),"",A530&amp;"|"&amp;B530)</f>
        <v/>
      </c>
      <c r="F530" s="26">
        <f>IF(OR(E530="",C530=""),"",E530&amp;"|"&amp;C530)</f>
        <v/>
      </c>
    </row>
    <row r="531">
      <c r="A531" s="23" t="inlineStr">
        <is>
          <t>Computadora</t>
        </is>
      </c>
      <c r="B531" s="24" t="inlineStr">
        <is>
          <t>Estado físico</t>
        </is>
      </c>
      <c r="C531" s="24" t="inlineStr">
        <is>
          <t>Estado de la carcasa / chasis</t>
        </is>
      </c>
      <c r="D531" s="25" t="inlineStr">
        <is>
          <t>E_CARC</t>
        </is>
      </c>
      <c r="E531" s="26">
        <f>IF(OR(A531="",B531=""),"",A531&amp;"|"&amp;B531)</f>
        <v/>
      </c>
      <c r="F531" s="26">
        <f>IF(OR(E531="",C531=""),"",E531&amp;"|"&amp;C531)</f>
        <v/>
      </c>
    </row>
    <row r="532">
      <c r="A532" s="23" t="inlineStr">
        <is>
          <t>Computadora</t>
        </is>
      </c>
      <c r="B532" s="24" t="inlineStr">
        <is>
          <t>Estado físico</t>
        </is>
      </c>
      <c r="C532" s="24" t="inlineStr">
        <is>
          <t>¿Faltan tornillos?</t>
        </is>
      </c>
      <c r="D532" s="25" t="inlineStr">
        <is>
          <t>YN</t>
        </is>
      </c>
      <c r="E532" s="26">
        <f>IF(OR(A532="",B532=""),"",A532&amp;"|"&amp;B532)</f>
        <v/>
      </c>
      <c r="F532" s="26">
        <f>IF(OR(E532="",C532=""),"",E532&amp;"|"&amp;C532)</f>
        <v/>
      </c>
    </row>
    <row r="533">
      <c r="A533" s="23" t="inlineStr">
        <is>
          <t>Computadora</t>
        </is>
      </c>
      <c r="B533" s="24" t="inlineStr">
        <is>
          <t>Estado físico</t>
        </is>
      </c>
      <c r="C533" s="24" t="inlineStr">
        <is>
          <t>¿Las bisagras están dañadas? (laptop)</t>
        </is>
      </c>
      <c r="D533" s="25" t="inlineStr">
        <is>
          <t>YN</t>
        </is>
      </c>
      <c r="E533" s="26">
        <f>IF(OR(A533="",B533=""),"",A533&amp;"|"&amp;B533)</f>
        <v/>
      </c>
      <c r="F533" s="26">
        <f>IF(OR(E533="",C533=""),"",E533&amp;"|"&amp;C533)</f>
        <v/>
      </c>
    </row>
    <row r="534">
      <c r="A534" s="23" t="inlineStr">
        <is>
          <t>Computadora</t>
        </is>
      </c>
      <c r="B534" s="24" t="inlineStr">
        <is>
          <t>Estado físico</t>
        </is>
      </c>
      <c r="C534" s="24" t="inlineStr">
        <is>
          <t>¿Hay botones o puertos dañados?</t>
        </is>
      </c>
      <c r="D534" s="25" t="inlineStr">
        <is>
          <t>YN</t>
        </is>
      </c>
      <c r="E534" s="26">
        <f>IF(OR(A534="",B534=""),"",A534&amp;"|"&amp;B534)</f>
        <v/>
      </c>
      <c r="F534" s="26">
        <f>IF(OR(E534="",C534=""),"",E534&amp;"|"&amp;C534)</f>
        <v/>
      </c>
    </row>
    <row r="535">
      <c r="A535" s="23" t="inlineStr">
        <is>
          <t>Computadora</t>
        </is>
      </c>
      <c r="B535" s="24" t="inlineStr">
        <is>
          <t>Estado físico</t>
        </is>
      </c>
      <c r="C535" s="24" t="inlineStr">
        <is>
          <t>¿La ventilación / rejillas están tapadas o dañadas?</t>
        </is>
      </c>
      <c r="D535" s="25" t="inlineStr">
        <is>
          <t>YN</t>
        </is>
      </c>
      <c r="E535" s="26">
        <f>IF(OR(A535="",B535=""),"",A535&amp;"|"&amp;B535)</f>
        <v/>
      </c>
      <c r="F535" s="26">
        <f>IF(OR(E535="",C535=""),"",E535&amp;"|"&amp;C535)</f>
        <v/>
      </c>
    </row>
    <row r="536">
      <c r="A536" s="23" t="inlineStr">
        <is>
          <t>Computadora</t>
        </is>
      </c>
      <c r="B536" s="24" t="inlineStr">
        <is>
          <t>Estado físico</t>
        </is>
      </c>
      <c r="C536" s="24" t="inlineStr">
        <is>
          <t>¿Hay señales de apertura previa?</t>
        </is>
      </c>
      <c r="D536" s="25" t="inlineStr">
        <is>
          <t>YN</t>
        </is>
      </c>
      <c r="E536" s="26">
        <f>IF(OR(A536="",B536=""),"",A536&amp;"|"&amp;B536)</f>
        <v/>
      </c>
      <c r="F536" s="26">
        <f>IF(OR(E536="",C536=""),"",E536&amp;"|"&amp;C536)</f>
        <v/>
      </c>
    </row>
    <row r="537">
      <c r="A537" s="23" t="inlineStr">
        <is>
          <t>Computadora</t>
        </is>
      </c>
      <c r="B537" s="24" t="inlineStr">
        <is>
          <t>Estado físico</t>
        </is>
      </c>
      <c r="C537" s="24" t="inlineStr">
        <is>
          <t>¿Hay señales visibles de humedad?</t>
        </is>
      </c>
      <c r="D537" s="25" t="inlineStr">
        <is>
          <t>YN</t>
        </is>
      </c>
      <c r="E537" s="26">
        <f>IF(OR(A537="",B537=""),"",A537&amp;"|"&amp;B537)</f>
        <v/>
      </c>
      <c r="F537" s="26">
        <f>IF(OR(E537="",C537=""),"",E537&amp;"|"&amp;C537)</f>
        <v/>
      </c>
    </row>
    <row r="538">
      <c r="A538" s="23" t="inlineStr">
        <is>
          <t>Computadora</t>
        </is>
      </c>
      <c r="B538" s="24" t="inlineStr">
        <is>
          <t>Estado físico</t>
        </is>
      </c>
      <c r="C538" s="24" t="inlineStr">
        <is>
          <t>¿La batería está inflada?</t>
        </is>
      </c>
      <c r="D538" s="25" t="inlineStr">
        <is>
          <t>YN</t>
        </is>
      </c>
      <c r="E538" s="26">
        <f>IF(OR(A538="",B538=""),"",A538&amp;"|"&amp;B538)</f>
        <v/>
      </c>
      <c r="F538" s="26">
        <f>IF(OR(E538="",C538=""),"",E538&amp;"|"&amp;C538)</f>
        <v/>
      </c>
    </row>
    <row r="539">
      <c r="A539" s="23" t="inlineStr">
        <is>
          <t>Computadora</t>
        </is>
      </c>
      <c r="B539" s="24" t="inlineStr">
        <is>
          <t>Estado físico</t>
        </is>
      </c>
      <c r="C539" s="24" t="inlineStr">
        <is>
          <t>¿Qué otro daño visible tiene?</t>
        </is>
      </c>
      <c r="D539" s="25" t="inlineStr">
        <is>
          <t>DANO</t>
        </is>
      </c>
      <c r="E539" s="26">
        <f>IF(OR(A539="",B539=""),"",A539&amp;"|"&amp;B539)</f>
        <v/>
      </c>
      <c r="F539" s="26">
        <f>IF(OR(E539="",C539=""),"",E539&amp;"|"&amp;C539)</f>
        <v/>
      </c>
    </row>
    <row r="540">
      <c r="A540" s="23" t="inlineStr">
        <is>
          <t>Computadora</t>
        </is>
      </c>
      <c r="B540" s="24" t="inlineStr">
        <is>
          <t>Estado físico</t>
        </is>
      </c>
      <c r="C540" s="24" t="inlineStr">
        <is>
          <t>¿Faltan gomas o patas de apoyo?</t>
        </is>
      </c>
      <c r="D540" s="25" t="inlineStr">
        <is>
          <t>YN</t>
        </is>
      </c>
      <c r="E540" s="26">
        <f>IF(OR(A540="",B540=""),"",A540&amp;"|"&amp;B540)</f>
        <v/>
      </c>
      <c r="F540" s="26">
        <f>IF(OR(E540="",C540=""),"",E540&amp;"|"&amp;C540)</f>
        <v/>
      </c>
    </row>
    <row r="541">
      <c r="A541" s="23" t="inlineStr">
        <is>
          <t>Computadora</t>
        </is>
      </c>
      <c r="B541" s="24" t="inlineStr">
        <is>
          <t>Estado físico</t>
        </is>
      </c>
      <c r="C541" s="24" t="inlineStr">
        <is>
          <t>¿Los sellos de garantía están intactos?</t>
        </is>
      </c>
      <c r="D541" s="25" t="inlineStr">
        <is>
          <t>YN</t>
        </is>
      </c>
      <c r="E541" s="26">
        <f>IF(OR(A541="",B541=""),"",A541&amp;"|"&amp;B541)</f>
        <v/>
      </c>
      <c r="F541" s="26">
        <f>IF(OR(E541="",C541=""),"",E541&amp;"|"&amp;C541)</f>
        <v/>
      </c>
    </row>
    <row r="542">
      <c r="A542" s="23" t="inlineStr">
        <is>
          <t>Computadora</t>
        </is>
      </c>
      <c r="B542" s="24" t="inlineStr">
        <is>
          <t>Estado físico</t>
        </is>
      </c>
      <c r="C542" s="24" t="inlineStr">
        <is>
          <t>¿Hay señales de corrosión en puertos o en la bandeja SIM?</t>
        </is>
      </c>
      <c r="D542" s="25" t="inlineStr">
        <is>
          <t>YN</t>
        </is>
      </c>
      <c r="E542" s="26">
        <f>IF(OR(A542="",B542=""),"",A542&amp;"|"&amp;B542)</f>
        <v/>
      </c>
      <c r="F542" s="26">
        <f>IF(OR(E542="",C542=""),"",E542&amp;"|"&amp;C542)</f>
        <v/>
      </c>
    </row>
    <row r="543">
      <c r="A543" s="23" t="inlineStr">
        <is>
          <t>Computadora</t>
        </is>
      </c>
      <c r="B543" s="24" t="inlineStr">
        <is>
          <t>Estado al ingresar</t>
        </is>
      </c>
      <c r="C543" s="24" t="inlineStr">
        <is>
          <t>¿Enciende?</t>
        </is>
      </c>
      <c r="D543" s="25" t="inlineStr">
        <is>
          <t>YNC</t>
        </is>
      </c>
      <c r="E543" s="26">
        <f>IF(OR(A543="",B543=""),"",A543&amp;"|"&amp;B543)</f>
        <v/>
      </c>
      <c r="F543" s="26">
        <f>IF(OR(E543="",C543=""),"",E543&amp;"|"&amp;C543)</f>
        <v/>
      </c>
    </row>
    <row r="544">
      <c r="A544" s="23" t="inlineStr">
        <is>
          <t>Computadora</t>
        </is>
      </c>
      <c r="B544" s="24" t="inlineStr">
        <is>
          <t>Estado al ingresar</t>
        </is>
      </c>
      <c r="C544" s="24" t="inlineStr">
        <is>
          <t>¿Da imagen?</t>
        </is>
      </c>
      <c r="D544" s="25" t="inlineStr">
        <is>
          <t>YNC</t>
        </is>
      </c>
      <c r="E544" s="26">
        <f>IF(OR(A544="",B544=""),"",A544&amp;"|"&amp;B544)</f>
        <v/>
      </c>
      <c r="F544" s="26">
        <f>IF(OR(E544="",C544=""),"",E544&amp;"|"&amp;C544)</f>
        <v/>
      </c>
    </row>
    <row r="545">
      <c r="A545" s="23" t="inlineStr">
        <is>
          <t>Computadora</t>
        </is>
      </c>
      <c r="B545" s="24" t="inlineStr">
        <is>
          <t>Estado al ingresar</t>
        </is>
      </c>
      <c r="C545" s="24" t="inlineStr">
        <is>
          <t>¿Inicia el sistema operativo?</t>
        </is>
      </c>
      <c r="D545" s="25" t="inlineStr">
        <is>
          <t>YNC</t>
        </is>
      </c>
      <c r="E545" s="26">
        <f>IF(OR(A545="",B545=""),"",A545&amp;"|"&amp;B545)</f>
        <v/>
      </c>
      <c r="F545" s="26">
        <f>IF(OR(E545="",C545=""),"",E545&amp;"|"&amp;C545)</f>
        <v/>
      </c>
    </row>
    <row r="546">
      <c r="A546" s="23" t="inlineStr">
        <is>
          <t>Computadora</t>
        </is>
      </c>
      <c r="B546" s="24" t="inlineStr">
        <is>
          <t>Estado al ingresar</t>
        </is>
      </c>
      <c r="C546" s="24" t="inlineStr">
        <is>
          <t>¿Carga al conectarlo?</t>
        </is>
      </c>
      <c r="D546" s="25" t="inlineStr">
        <is>
          <t>YNC</t>
        </is>
      </c>
      <c r="E546" s="26">
        <f>IF(OR(A546="",B546=""),"",A546&amp;"|"&amp;B546)</f>
        <v/>
      </c>
      <c r="F546" s="26">
        <f>IF(OR(E546="",C546=""),"",E546&amp;"|"&amp;C546)</f>
        <v/>
      </c>
    </row>
    <row r="547">
      <c r="A547" s="23" t="inlineStr">
        <is>
          <t>Computadora</t>
        </is>
      </c>
      <c r="B547" s="24" t="inlineStr">
        <is>
          <t>Estado al ingresar</t>
        </is>
      </c>
      <c r="C547" s="24" t="inlineStr">
        <is>
          <t>¿Reconoce el cargador o la fuente de poder?</t>
        </is>
      </c>
      <c r="D547" s="25" t="inlineStr">
        <is>
          <t>YNC</t>
        </is>
      </c>
      <c r="E547" s="26">
        <f>IF(OR(A547="",B547=""),"",A547&amp;"|"&amp;B547)</f>
        <v/>
      </c>
      <c r="F547" s="26">
        <f>IF(OR(E547="",C547=""),"",E547&amp;"|"&amp;C547)</f>
        <v/>
      </c>
    </row>
    <row r="548">
      <c r="A548" s="23" t="inlineStr">
        <is>
          <t>Computadora</t>
        </is>
      </c>
      <c r="B548" s="24" t="inlineStr">
        <is>
          <t>Estado al ingresar</t>
        </is>
      </c>
      <c r="C548" s="24" t="inlineStr">
        <is>
          <t>¿Qué nivel de batería tenía al ingresar?</t>
        </is>
      </c>
      <c r="D548" s="25" t="inlineStr">
        <is>
          <t>BATNIV</t>
        </is>
      </c>
      <c r="E548" s="26">
        <f>IF(OR(A548="",B548=""),"",A548&amp;"|"&amp;B548)</f>
        <v/>
      </c>
      <c r="F548" s="26">
        <f>IF(OR(E548="",C548=""),"",E548&amp;"|"&amp;C548)</f>
        <v/>
      </c>
    </row>
    <row r="549">
      <c r="A549" s="23" t="inlineStr">
        <is>
          <t>Computadora</t>
        </is>
      </c>
      <c r="B549" s="24" t="inlineStr">
        <is>
          <t>Estado al ingresar</t>
        </is>
      </c>
      <c r="C549" s="24" t="inlineStr">
        <is>
          <t>¿Muestra errores o mensajes al iniciar?</t>
        </is>
      </c>
      <c r="D549" s="25" t="inlineStr">
        <is>
          <t>YNC</t>
        </is>
      </c>
      <c r="E549" s="26">
        <f>IF(OR(A549="",B549=""),"",A549&amp;"|"&amp;B549)</f>
        <v/>
      </c>
      <c r="F549" s="26">
        <f>IF(OR(E549="",C549=""),"",E549&amp;"|"&amp;C549)</f>
        <v/>
      </c>
    </row>
    <row r="550">
      <c r="A550" s="23" t="inlineStr">
        <is>
          <t>Computadora</t>
        </is>
      </c>
      <c r="B550" s="24" t="inlineStr">
        <is>
          <t>Accesorios entregados</t>
        </is>
      </c>
      <c r="C550" s="24" t="inlineStr">
        <is>
          <t>¿Entregó cargador / cable de poder?</t>
        </is>
      </c>
      <c r="D550" s="25" t="inlineStr">
        <is>
          <t>YN</t>
        </is>
      </c>
      <c r="E550" s="26">
        <f>IF(OR(A550="",B550=""),"",A550&amp;"|"&amp;B550)</f>
        <v/>
      </c>
      <c r="F550" s="26">
        <f>IF(OR(E550="",C550=""),"",E550&amp;"|"&amp;C550)</f>
        <v/>
      </c>
    </row>
    <row r="551">
      <c r="A551" s="23" t="inlineStr">
        <is>
          <t>Computadora</t>
        </is>
      </c>
      <c r="B551" s="24" t="inlineStr">
        <is>
          <t>Accesorios entregados</t>
        </is>
      </c>
      <c r="C551" s="24" t="inlineStr">
        <is>
          <t>¿Entregó funda o maletín?</t>
        </is>
      </c>
      <c r="D551" s="25" t="inlineStr">
        <is>
          <t>YN</t>
        </is>
      </c>
      <c r="E551" s="26">
        <f>IF(OR(A551="",B551=""),"",A551&amp;"|"&amp;B551)</f>
        <v/>
      </c>
      <c r="F551" s="26">
        <f>IF(OR(E551="",C551=""),"",E551&amp;"|"&amp;C551)</f>
        <v/>
      </c>
    </row>
    <row r="552">
      <c r="A552" s="23" t="inlineStr">
        <is>
          <t>Computadora</t>
        </is>
      </c>
      <c r="B552" s="24" t="inlineStr">
        <is>
          <t>Accesorios entregados</t>
        </is>
      </c>
      <c r="C552" s="24" t="inlineStr">
        <is>
          <t>¿Entregó mouse?</t>
        </is>
      </c>
      <c r="D552" s="25" t="inlineStr">
        <is>
          <t>YN</t>
        </is>
      </c>
      <c r="E552" s="26">
        <f>IF(OR(A552="",B552=""),"",A552&amp;"|"&amp;B552)</f>
        <v/>
      </c>
      <c r="F552" s="26">
        <f>IF(OR(E552="",C552=""),"",E552&amp;"|"&amp;C552)</f>
        <v/>
      </c>
    </row>
    <row r="553">
      <c r="A553" s="23" t="inlineStr">
        <is>
          <t>Computadora</t>
        </is>
      </c>
      <c r="B553" s="24" t="inlineStr">
        <is>
          <t>Accesorios entregados</t>
        </is>
      </c>
      <c r="C553" s="24" t="inlineStr">
        <is>
          <t>¿Entregó teclado externo?</t>
        </is>
      </c>
      <c r="D553" s="25" t="inlineStr">
        <is>
          <t>YN</t>
        </is>
      </c>
      <c r="E553" s="26">
        <f>IF(OR(A553="",B553=""),"",A553&amp;"|"&amp;B553)</f>
        <v/>
      </c>
      <c r="F553" s="26">
        <f>IF(OR(E553="",C553=""),"",E553&amp;"|"&amp;C553)</f>
        <v/>
      </c>
    </row>
    <row r="554">
      <c r="A554" s="23" t="inlineStr">
        <is>
          <t>Computadora</t>
        </is>
      </c>
      <c r="B554" s="24" t="inlineStr">
        <is>
          <t>Accesorios entregados</t>
        </is>
      </c>
      <c r="C554" s="24" t="inlineStr">
        <is>
          <t>¿Entregó monitor?</t>
        </is>
      </c>
      <c r="D554" s="25" t="inlineStr">
        <is>
          <t>YN</t>
        </is>
      </c>
      <c r="E554" s="26">
        <f>IF(OR(A554="",B554=""),"",A554&amp;"|"&amp;B554)</f>
        <v/>
      </c>
      <c r="F554" s="26">
        <f>IF(OR(E554="",C554=""),"",E554&amp;"|"&amp;C554)</f>
        <v/>
      </c>
    </row>
    <row r="555">
      <c r="A555" s="23" t="inlineStr">
        <is>
          <t>Computadora</t>
        </is>
      </c>
      <c r="B555" s="24" t="inlineStr">
        <is>
          <t>Accesorios entregados</t>
        </is>
      </c>
      <c r="C555" s="24" t="inlineStr">
        <is>
          <t>¿Entregó otro accesorio?</t>
        </is>
      </c>
      <c r="D555" s="25" t="inlineStr">
        <is>
          <t>YN</t>
        </is>
      </c>
      <c r="E555" s="26">
        <f>IF(OR(A555="",B555=""),"",A555&amp;"|"&amp;B555)</f>
        <v/>
      </c>
      <c r="F555" s="26">
        <f>IF(OR(E555="",C555=""),"",E555&amp;"|"&amp;C555)</f>
        <v/>
      </c>
    </row>
    <row r="556">
      <c r="A556" s="23" t="inlineStr">
        <is>
          <t>Computadora</t>
        </is>
      </c>
      <c r="B556" s="24" t="inlineStr">
        <is>
          <t>Accesorios entregados</t>
        </is>
      </c>
      <c r="C556" s="24" t="inlineStr">
        <is>
          <t>¿Entregó la caja original?</t>
        </is>
      </c>
      <c r="D556" s="25" t="inlineStr">
        <is>
          <t>YN</t>
        </is>
      </c>
      <c r="E556" s="26">
        <f>IF(OR(A556="",B556=""),"",A556&amp;"|"&amp;B556)</f>
        <v/>
      </c>
      <c r="F556" s="26">
        <f>IF(OR(E556="",C556=""),"",E556&amp;"|"&amp;C556)</f>
        <v/>
      </c>
    </row>
    <row r="557">
      <c r="A557" s="23" t="inlineStr">
        <is>
          <t>Computadora</t>
        </is>
      </c>
      <c r="B557" s="24" t="inlineStr">
        <is>
          <t>Accesorios entregados</t>
        </is>
      </c>
      <c r="C557" s="24" t="inlineStr">
        <is>
          <t>¿Entregó factura o comprobante de compra?</t>
        </is>
      </c>
      <c r="D557" s="25" t="inlineStr">
        <is>
          <t>YN</t>
        </is>
      </c>
      <c r="E557" s="26">
        <f>IF(OR(A557="",B557=""),"",A557&amp;"|"&amp;B557)</f>
        <v/>
      </c>
      <c r="F557" s="26">
        <f>IF(OR(E557="",C557=""),"",E557&amp;"|"&amp;C557)</f>
        <v/>
      </c>
    </row>
    <row r="558">
      <c r="A558" s="23" t="inlineStr">
        <is>
          <t>Computadora</t>
        </is>
      </c>
      <c r="B558" s="24" t="inlineStr">
        <is>
          <t>Accesorios entregados</t>
        </is>
      </c>
      <c r="C558" s="24" t="inlineStr">
        <is>
          <t>¿Entregó la tarjeta de garantía?</t>
        </is>
      </c>
      <c r="D558" s="25" t="inlineStr">
        <is>
          <t>YN</t>
        </is>
      </c>
      <c r="E558" s="26">
        <f>IF(OR(A558="",B558=""),"",A558&amp;"|"&amp;B558)</f>
        <v/>
      </c>
      <c r="F558" s="26">
        <f>IF(OR(E558="",C558=""),"",E558&amp;"|"&amp;C558)</f>
        <v/>
      </c>
    </row>
    <row r="559">
      <c r="A559" s="23" t="inlineStr">
        <is>
          <t>Computadora</t>
        </is>
      </c>
      <c r="B559" s="24" t="inlineStr">
        <is>
          <t>Fotografías de recepción</t>
        </is>
      </c>
      <c r="C559" s="24" t="inlineStr">
        <is>
          <t>¿Se tomó la foto frontal?</t>
        </is>
      </c>
      <c r="D559" s="25" t="inlineStr">
        <is>
          <t>YN</t>
        </is>
      </c>
      <c r="E559" s="26">
        <f>IF(OR(A559="",B559=""),"",A559&amp;"|"&amp;B559)</f>
        <v/>
      </c>
      <c r="F559" s="26">
        <f>IF(OR(E559="",C559=""),"",E559&amp;"|"&amp;C559)</f>
        <v/>
      </c>
    </row>
    <row r="560">
      <c r="A560" s="23" t="inlineStr">
        <is>
          <t>Computadora</t>
        </is>
      </c>
      <c r="B560" s="24" t="inlineStr">
        <is>
          <t>Fotografías de recepción</t>
        </is>
      </c>
      <c r="C560" s="24" t="inlineStr">
        <is>
          <t>¿Se tomó la foto posterior?</t>
        </is>
      </c>
      <c r="D560" s="25" t="inlineStr">
        <is>
          <t>YN</t>
        </is>
      </c>
      <c r="E560" s="26">
        <f>IF(OR(A560="",B560=""),"",A560&amp;"|"&amp;B560)</f>
        <v/>
      </c>
      <c r="F560" s="26">
        <f>IF(OR(E560="",C560=""),"",E560&amp;"|"&amp;C560)</f>
        <v/>
      </c>
    </row>
    <row r="561">
      <c r="A561" s="23" t="inlineStr">
        <is>
          <t>Computadora</t>
        </is>
      </c>
      <c r="B561" s="24" t="inlineStr">
        <is>
          <t>Fotografías de recepción</t>
        </is>
      </c>
      <c r="C561" s="24" t="inlineStr">
        <is>
          <t>¿Se tomaron las fotos laterales?</t>
        </is>
      </c>
      <c r="D561" s="25" t="inlineStr">
        <is>
          <t>YN</t>
        </is>
      </c>
      <c r="E561" s="26">
        <f>IF(OR(A561="",B561=""),"",A561&amp;"|"&amp;B561)</f>
        <v/>
      </c>
      <c r="F561" s="26">
        <f>IF(OR(E561="",C561=""),"",E561&amp;"|"&amp;C561)</f>
        <v/>
      </c>
    </row>
    <row r="562">
      <c r="A562" s="23" t="inlineStr">
        <is>
          <t>Computadora</t>
        </is>
      </c>
      <c r="B562" s="24" t="inlineStr">
        <is>
          <t>Fotografías de recepción</t>
        </is>
      </c>
      <c r="C562" s="24" t="inlineStr">
        <is>
          <t>¿Se tomó la foto de la pantalla?</t>
        </is>
      </c>
      <c r="D562" s="25" t="inlineStr">
        <is>
          <t>YN</t>
        </is>
      </c>
      <c r="E562" s="26">
        <f>IF(OR(A562="",B562=""),"",A562&amp;"|"&amp;B562)</f>
        <v/>
      </c>
      <c r="F562" s="26">
        <f>IF(OR(E562="",C562=""),"",E562&amp;"|"&amp;C562)</f>
        <v/>
      </c>
    </row>
    <row r="563">
      <c r="A563" s="23" t="inlineStr">
        <is>
          <t>Computadora</t>
        </is>
      </c>
      <c r="B563" s="24" t="inlineStr">
        <is>
          <t>Fotografías de recepción</t>
        </is>
      </c>
      <c r="C563" s="24" t="inlineStr">
        <is>
          <t>¿Se tomó la foto del serial / IMEI?</t>
        </is>
      </c>
      <c r="D563" s="25" t="inlineStr">
        <is>
          <t>YN</t>
        </is>
      </c>
      <c r="E563" s="26">
        <f>IF(OR(A563="",B563=""),"",A563&amp;"|"&amp;B563)</f>
        <v/>
      </c>
      <c r="F563" s="26">
        <f>IF(OR(E563="",C563=""),"",E563&amp;"|"&amp;C563)</f>
        <v/>
      </c>
    </row>
    <row r="564">
      <c r="A564" s="23" t="inlineStr">
        <is>
          <t>Computadora</t>
        </is>
      </c>
      <c r="B564" s="24" t="inlineStr">
        <is>
          <t>Fotografías de recepción</t>
        </is>
      </c>
      <c r="C564" s="24" t="inlineStr">
        <is>
          <t>¿Se tomó la foto de los daños existentes?</t>
        </is>
      </c>
      <c r="D564" s="25" t="inlineStr">
        <is>
          <t>YN</t>
        </is>
      </c>
      <c r="E564" s="26">
        <f>IF(OR(A564="",B564=""),"",A564&amp;"|"&amp;B564)</f>
        <v/>
      </c>
      <c r="F564" s="26">
        <f>IF(OR(E564="",C564=""),"",E564&amp;"|"&amp;C564)</f>
        <v/>
      </c>
    </row>
    <row r="565">
      <c r="A565" s="23" t="inlineStr">
        <is>
          <t>Computadora</t>
        </is>
      </c>
      <c r="B565" s="24" t="inlineStr">
        <is>
          <t>Fotografías de recepción</t>
        </is>
      </c>
      <c r="C565" s="24" t="inlineStr">
        <is>
          <t>¿Se tomó un video del equipo al ingresar?</t>
        </is>
      </c>
      <c r="D565" s="25" t="inlineStr">
        <is>
          <t>YN</t>
        </is>
      </c>
      <c r="E565" s="26">
        <f>IF(OR(A565="",B565=""),"",A565&amp;"|"&amp;B565)</f>
        <v/>
      </c>
      <c r="F565" s="26">
        <f>IF(OR(E565="",C565=""),"",E565&amp;"|"&amp;C565)</f>
        <v/>
      </c>
    </row>
    <row r="566">
      <c r="A566" s="23" t="inlineStr">
        <is>
          <t>Computadora</t>
        </is>
      </c>
      <c r="B566" s="24" t="inlineStr">
        <is>
          <t>Fotografías de recepción</t>
        </is>
      </c>
      <c r="C566" s="24" t="inlineStr">
        <is>
          <t>¿Se fotografió el estado de la batería o el porcentaje?</t>
        </is>
      </c>
      <c r="D566" s="25" t="inlineStr">
        <is>
          <t>YN</t>
        </is>
      </c>
      <c r="E566" s="26">
        <f>IF(OR(A566="",B566=""),"",A566&amp;"|"&amp;B566)</f>
        <v/>
      </c>
      <c r="F566" s="26">
        <f>IF(OR(E566="",C566=""),"",E566&amp;"|"&amp;C566)</f>
        <v/>
      </c>
    </row>
    <row r="567">
      <c r="A567" s="23" t="inlineStr">
        <is>
          <t>Computadora</t>
        </is>
      </c>
      <c r="B567" s="24" t="inlineStr">
        <is>
          <t>Fotografías de recepción</t>
        </is>
      </c>
      <c r="C567" s="24" t="inlineStr">
        <is>
          <t>¿Se fotografiaron los accesorios entregados?</t>
        </is>
      </c>
      <c r="D567" s="25" t="inlineStr">
        <is>
          <t>YN</t>
        </is>
      </c>
      <c r="E567" s="26">
        <f>IF(OR(A567="",B567=""),"",A567&amp;"|"&amp;B567)</f>
        <v/>
      </c>
      <c r="F567" s="26">
        <f>IF(OR(E567="",C567=""),"",E567&amp;"|"&amp;C567)</f>
        <v/>
      </c>
    </row>
    <row r="568">
      <c r="A568" s="23" t="inlineStr">
        <is>
          <t>Computadora</t>
        </is>
      </c>
      <c r="B568" s="24" t="inlineStr">
        <is>
          <t>Pruebas funcionales de ingreso</t>
        </is>
      </c>
      <c r="C568" s="24" t="inlineStr">
        <is>
          <t>¿Funciona: batería?</t>
        </is>
      </c>
      <c r="D568" s="25" t="inlineStr">
        <is>
          <t>FUN</t>
        </is>
      </c>
      <c r="E568" s="26">
        <f>IF(OR(A568="",B568=""),"",A568&amp;"|"&amp;B568)</f>
        <v/>
      </c>
      <c r="F568" s="26">
        <f>IF(OR(E568="",C568=""),"",E568&amp;"|"&amp;C568)</f>
        <v/>
      </c>
    </row>
    <row r="569">
      <c r="A569" s="23" t="inlineStr">
        <is>
          <t>Computadora</t>
        </is>
      </c>
      <c r="B569" s="24" t="inlineStr">
        <is>
          <t>Pruebas funcionales de ingreso</t>
        </is>
      </c>
      <c r="C569" s="24" t="inlineStr">
        <is>
          <t>¿Funciona: cargador?</t>
        </is>
      </c>
      <c r="D569" s="25" t="inlineStr">
        <is>
          <t>FUN</t>
        </is>
      </c>
      <c r="E569" s="26">
        <f>IF(OR(A569="",B569=""),"",A569&amp;"|"&amp;B569)</f>
        <v/>
      </c>
      <c r="F569" s="26">
        <f>IF(OR(E569="",C569=""),"",E569&amp;"|"&amp;C569)</f>
        <v/>
      </c>
    </row>
    <row r="570">
      <c r="A570" s="23" t="inlineStr">
        <is>
          <t>Computadora</t>
        </is>
      </c>
      <c r="B570" s="24" t="inlineStr">
        <is>
          <t>Pruebas funcionales de ingreso</t>
        </is>
      </c>
      <c r="C570" s="24" t="inlineStr">
        <is>
          <t>¿Funciona: teclado?</t>
        </is>
      </c>
      <c r="D570" s="25" t="inlineStr">
        <is>
          <t>FUN</t>
        </is>
      </c>
      <c r="E570" s="26">
        <f>IF(OR(A570="",B570=""),"",A570&amp;"|"&amp;B570)</f>
        <v/>
      </c>
      <c r="F570" s="26">
        <f>IF(OR(E570="",C570=""),"",E570&amp;"|"&amp;C570)</f>
        <v/>
      </c>
    </row>
    <row r="571">
      <c r="A571" s="23" t="inlineStr">
        <is>
          <t>Computadora</t>
        </is>
      </c>
      <c r="B571" s="24" t="inlineStr">
        <is>
          <t>Pruebas funcionales de ingreso</t>
        </is>
      </c>
      <c r="C571" s="24" t="inlineStr">
        <is>
          <t>¿Funciona: touchpad / mouse?</t>
        </is>
      </c>
      <c r="D571" s="25" t="inlineStr">
        <is>
          <t>FUN</t>
        </is>
      </c>
      <c r="E571" s="26">
        <f>IF(OR(A571="",B571=""),"",A571&amp;"|"&amp;B571)</f>
        <v/>
      </c>
      <c r="F571" s="26">
        <f>IF(OR(E571="",C571=""),"",E571&amp;"|"&amp;C571)</f>
        <v/>
      </c>
    </row>
    <row r="572">
      <c r="A572" s="23" t="inlineStr">
        <is>
          <t>Computadora</t>
        </is>
      </c>
      <c r="B572" s="24" t="inlineStr">
        <is>
          <t>Pruebas funcionales de ingreso</t>
        </is>
      </c>
      <c r="C572" s="24" t="inlineStr">
        <is>
          <t>¿Funciona: Wi-Fi?</t>
        </is>
      </c>
      <c r="D572" s="25" t="inlineStr">
        <is>
          <t>FUN</t>
        </is>
      </c>
      <c r="E572" s="26">
        <f>IF(OR(A572="",B572=""),"",A572&amp;"|"&amp;B572)</f>
        <v/>
      </c>
      <c r="F572" s="26">
        <f>IF(OR(E572="",C572=""),"",E572&amp;"|"&amp;C572)</f>
        <v/>
      </c>
    </row>
    <row r="573">
      <c r="A573" s="23" t="inlineStr">
        <is>
          <t>Computadora</t>
        </is>
      </c>
      <c r="B573" s="24" t="inlineStr">
        <is>
          <t>Pruebas funcionales de ingreso</t>
        </is>
      </c>
      <c r="C573" s="24" t="inlineStr">
        <is>
          <t>¿Funciona: puertos USB?</t>
        </is>
      </c>
      <c r="D573" s="25" t="inlineStr">
        <is>
          <t>FUN</t>
        </is>
      </c>
      <c r="E573" s="26">
        <f>IF(OR(A573="",B573=""),"",A573&amp;"|"&amp;B573)</f>
        <v/>
      </c>
      <c r="F573" s="26">
        <f>IF(OR(E573="",C573=""),"",E573&amp;"|"&amp;C573)</f>
        <v/>
      </c>
    </row>
    <row r="574">
      <c r="A574" s="23" t="inlineStr">
        <is>
          <t>Computadora</t>
        </is>
      </c>
      <c r="B574" s="24" t="inlineStr">
        <is>
          <t>Pruebas funcionales de ingreso</t>
        </is>
      </c>
      <c r="C574" s="24" t="inlineStr">
        <is>
          <t>¿Funciona: cámara?</t>
        </is>
      </c>
      <c r="D574" s="25" t="inlineStr">
        <is>
          <t>FUN</t>
        </is>
      </c>
      <c r="E574" s="26">
        <f>IF(OR(A574="",B574=""),"",A574&amp;"|"&amp;B574)</f>
        <v/>
      </c>
      <c r="F574" s="26">
        <f>IF(OR(E574="",C574=""),"",E574&amp;"|"&amp;C574)</f>
        <v/>
      </c>
    </row>
    <row r="575">
      <c r="A575" s="23" t="inlineStr">
        <is>
          <t>Computadora</t>
        </is>
      </c>
      <c r="B575" s="24" t="inlineStr">
        <is>
          <t>Pruebas funcionales de ingreso</t>
        </is>
      </c>
      <c r="C575" s="24" t="inlineStr">
        <is>
          <t>¿Funciona: micrófono?</t>
        </is>
      </c>
      <c r="D575" s="25" t="inlineStr">
        <is>
          <t>FUN</t>
        </is>
      </c>
      <c r="E575" s="26">
        <f>IF(OR(A575="",B575=""),"",A575&amp;"|"&amp;B575)</f>
        <v/>
      </c>
      <c r="F575" s="26">
        <f>IF(OR(E575="",C575=""),"",E575&amp;"|"&amp;C575)</f>
        <v/>
      </c>
    </row>
    <row r="576">
      <c r="A576" s="23" t="inlineStr">
        <is>
          <t>Computadora</t>
        </is>
      </c>
      <c r="B576" s="24" t="inlineStr">
        <is>
          <t>Pruebas funcionales de ingreso</t>
        </is>
      </c>
      <c r="C576" s="24" t="inlineStr">
        <is>
          <t>¿Funciona: audio?</t>
        </is>
      </c>
      <c r="D576" s="25" t="inlineStr">
        <is>
          <t>FUN</t>
        </is>
      </c>
      <c r="E576" s="26">
        <f>IF(OR(A576="",B576=""),"",A576&amp;"|"&amp;B576)</f>
        <v/>
      </c>
      <c r="F576" s="26">
        <f>IF(OR(E576="",C576=""),"",E576&amp;"|"&amp;C576)</f>
        <v/>
      </c>
    </row>
    <row r="577">
      <c r="A577" s="23" t="inlineStr">
        <is>
          <t>Computadora</t>
        </is>
      </c>
      <c r="B577" s="24" t="inlineStr">
        <is>
          <t>Pruebas funcionales de ingreso</t>
        </is>
      </c>
      <c r="C577" s="24" t="inlineStr">
        <is>
          <t>¿Funciona: salida de video?</t>
        </is>
      </c>
      <c r="D577" s="25" t="inlineStr">
        <is>
          <t>FUN</t>
        </is>
      </c>
      <c r="E577" s="26">
        <f>IF(OR(A577="",B577=""),"",A577&amp;"|"&amp;B577)</f>
        <v/>
      </c>
      <c r="F577" s="26">
        <f>IF(OR(E577="",C577=""),"",E577&amp;"|"&amp;C577)</f>
        <v/>
      </c>
    </row>
    <row r="578">
      <c r="A578" s="23" t="inlineStr">
        <is>
          <t>Computadora</t>
        </is>
      </c>
      <c r="B578" s="24" t="inlineStr">
        <is>
          <t>Pruebas funcionales de ingreso</t>
        </is>
      </c>
      <c r="C578" s="24" t="inlineStr">
        <is>
          <t>¿Funciona: Bluetooth?</t>
        </is>
      </c>
      <c r="D578" s="25" t="inlineStr">
        <is>
          <t>FUN</t>
        </is>
      </c>
      <c r="E578" s="26">
        <f>IF(OR(A578="",B578=""),"",A578&amp;"|"&amp;B578)</f>
        <v/>
      </c>
      <c r="F578" s="26">
        <f>IF(OR(E578="",C578=""),"",E578&amp;"|"&amp;C578)</f>
        <v/>
      </c>
    </row>
    <row r="579">
      <c r="A579" s="23" t="inlineStr">
        <is>
          <t>Computadora</t>
        </is>
      </c>
      <c r="B579" s="24" t="inlineStr">
        <is>
          <t>Pruebas funcionales de ingreso</t>
        </is>
      </c>
      <c r="C579" s="24" t="inlineStr">
        <is>
          <t>¿Funciona: lector de tarjetas?</t>
        </is>
      </c>
      <c r="D579" s="25" t="inlineStr">
        <is>
          <t>FUN</t>
        </is>
      </c>
      <c r="E579" s="26">
        <f>IF(OR(A579="",B579=""),"",A579&amp;"|"&amp;B579)</f>
        <v/>
      </c>
      <c r="F579" s="26">
        <f>IF(OR(E579="",C579=""),"",E579&amp;"|"&amp;C579)</f>
        <v/>
      </c>
    </row>
    <row r="580">
      <c r="A580" s="23" t="inlineStr">
        <is>
          <t>Computadora</t>
        </is>
      </c>
      <c r="B580" s="24" t="inlineStr">
        <is>
          <t>Pruebas funcionales de ingreso</t>
        </is>
      </c>
      <c r="C580" s="24" t="inlineStr">
        <is>
          <t>¿Funciona: luz del teclado?</t>
        </is>
      </c>
      <c r="D580" s="25" t="inlineStr">
        <is>
          <t>FUN</t>
        </is>
      </c>
      <c r="E580" s="26">
        <f>IF(OR(A580="",B580=""),"",A580&amp;"|"&amp;B580)</f>
        <v/>
      </c>
      <c r="F580" s="26">
        <f>IF(OR(E580="",C580=""),"",E580&amp;"|"&amp;C580)</f>
        <v/>
      </c>
    </row>
    <row r="581">
      <c r="A581" s="23" t="inlineStr">
        <is>
          <t>Computadora</t>
        </is>
      </c>
      <c r="B581" s="24" t="inlineStr">
        <is>
          <t>Pruebas funcionales de ingreso</t>
        </is>
      </c>
      <c r="C581" s="24" t="inlineStr">
        <is>
          <t>¿Funciona: salida HDMI de la computadora?</t>
        </is>
      </c>
      <c r="D581" s="25" t="inlineStr">
        <is>
          <t>FUN</t>
        </is>
      </c>
      <c r="E581" s="26">
        <f>IF(OR(A581="",B581=""),"",A581&amp;"|"&amp;B581)</f>
        <v/>
      </c>
      <c r="F581" s="26">
        <f>IF(OR(E581="",C581=""),"",E581&amp;"|"&amp;C581)</f>
        <v/>
      </c>
    </row>
    <row r="582">
      <c r="A582" s="23" t="inlineStr">
        <is>
          <t>Computadora</t>
        </is>
      </c>
      <c r="B582" s="24" t="inlineStr">
        <is>
          <t>Autorizaciones</t>
        </is>
      </c>
      <c r="C582" s="24" t="inlineStr">
        <is>
          <t>¿El cliente autoriza el contacto por WhatsApp para informar el diagnóstico?</t>
        </is>
      </c>
      <c r="D582" s="25" t="inlineStr">
        <is>
          <t>YN</t>
        </is>
      </c>
      <c r="E582" s="26">
        <f>IF(OR(A582="",B582=""),"",A582&amp;"|"&amp;B582)</f>
        <v/>
      </c>
      <c r="F582" s="26">
        <f>IF(OR(E582="",C582=""),"",E582&amp;"|"&amp;C582)</f>
        <v/>
      </c>
    </row>
    <row r="583">
      <c r="A583" s="23" t="inlineStr">
        <is>
          <t>Computadora</t>
        </is>
      </c>
      <c r="B583" s="24" t="inlineStr">
        <is>
          <t>Autorizaciones</t>
        </is>
      </c>
      <c r="C583" s="24" t="inlineStr">
        <is>
          <t>¿El cliente autoriza el envío de fotos del equipo?</t>
        </is>
      </c>
      <c r="D583" s="25" t="inlineStr">
        <is>
          <t>YN</t>
        </is>
      </c>
      <c r="E583" s="26">
        <f>IF(OR(A583="",B583=""),"",A583&amp;"|"&amp;B583)</f>
        <v/>
      </c>
      <c r="F583" s="26">
        <f>IF(OR(E583="",C583=""),"",E583&amp;"|"&amp;C583)</f>
        <v/>
      </c>
    </row>
    <row r="584">
      <c r="A584" s="23" t="inlineStr">
        <is>
          <t>Computadora</t>
        </is>
      </c>
      <c r="B584" s="24" t="inlineStr">
        <is>
          <t>Autorizaciones</t>
        </is>
      </c>
      <c r="C584" s="24" t="inlineStr">
        <is>
          <t>¿Se le informó al cliente si el diagnóstico tiene costo?</t>
        </is>
      </c>
      <c r="D584" s="25" t="inlineStr">
        <is>
          <t>YN</t>
        </is>
      </c>
      <c r="E584" s="26">
        <f>IF(OR(A584="",B584=""),"",A584&amp;"|"&amp;B584)</f>
        <v/>
      </c>
      <c r="F584" s="26">
        <f>IF(OR(E584="",C584=""),"",E584&amp;"|"&amp;C584)</f>
        <v/>
      </c>
    </row>
    <row r="585">
      <c r="A585" s="23" t="inlineStr">
        <is>
          <t>Computadora</t>
        </is>
      </c>
      <c r="B585" s="24" t="inlineStr">
        <is>
          <t>Autorizaciones</t>
        </is>
      </c>
      <c r="C585" s="24" t="inlineStr">
        <is>
          <t>¿Se le entregó copia de la orden de recepción?</t>
        </is>
      </c>
      <c r="D585" s="25" t="inlineStr">
        <is>
          <t>YN</t>
        </is>
      </c>
      <c r="E585" s="26">
        <f>IF(OR(A585="",B585=""),"",A585&amp;"|"&amp;B585)</f>
        <v/>
      </c>
      <c r="F585" s="26">
        <f>IF(OR(E585="",C585=""),"",E585&amp;"|"&amp;C585)</f>
        <v/>
      </c>
    </row>
    <row r="586">
      <c r="A586" s="23" t="inlineStr">
        <is>
          <t>Computadora</t>
        </is>
      </c>
      <c r="B586" s="24" t="inlineStr">
        <is>
          <t>Autorizaciones</t>
        </is>
      </c>
      <c r="C586" s="24" t="inlineStr">
        <is>
          <t>¿El cliente autoriza el diagnóstico técnico del equipo?</t>
        </is>
      </c>
      <c r="D586" s="25" t="inlineStr">
        <is>
          <t>YN</t>
        </is>
      </c>
      <c r="E586" s="26">
        <f>IF(OR(A586="",B586=""),"",A586&amp;"|"&amp;B586)</f>
        <v/>
      </c>
      <c r="F586" s="26">
        <f>IF(OR(E586="",C586=""),"",E586&amp;"|"&amp;C586)</f>
        <v/>
      </c>
    </row>
    <row r="587">
      <c r="A587" s="23" t="inlineStr">
        <is>
          <t>Computadora</t>
        </is>
      </c>
      <c r="B587" s="24" t="inlineStr">
        <is>
          <t>Autorizaciones</t>
        </is>
      </c>
      <c r="C587" s="24" t="inlineStr">
        <is>
          <t>¿El cliente declara haber informado golpes, líquidos, reparaciones anteriores y fallas conocidas?</t>
        </is>
      </c>
      <c r="D587" s="25" t="inlineStr">
        <is>
          <t>YN</t>
        </is>
      </c>
      <c r="E587" s="26">
        <f>IF(OR(A587="",B587=""),"",A587&amp;"|"&amp;B587)</f>
        <v/>
      </c>
      <c r="F587" s="26">
        <f>IF(OR(E587="",C587=""),"",E587&amp;"|"&amp;C587)</f>
        <v/>
      </c>
    </row>
    <row r="588">
      <c r="A588" s="23" t="inlineStr">
        <is>
          <t>Computadora</t>
        </is>
      </c>
      <c r="B588" s="24" t="inlineStr">
        <is>
          <t>Autorizaciones</t>
        </is>
      </c>
      <c r="C588" s="24" t="inlineStr">
        <is>
          <t>¿El cliente entiende que RCP no responde por información sin respaldo cuando se intervenga almacenamiento o sistema operativo?</t>
        </is>
      </c>
      <c r="D588" s="25" t="inlineStr">
        <is>
          <t>YN</t>
        </is>
      </c>
      <c r="E588" s="26">
        <f>IF(OR(A588="",B588=""),"",A588&amp;"|"&amp;B588)</f>
        <v/>
      </c>
      <c r="F588" s="26">
        <f>IF(OR(E588="",C588=""),"",E588&amp;"|"&amp;C588)</f>
        <v/>
      </c>
    </row>
    <row r="589">
      <c r="A589" s="23" t="inlineStr">
        <is>
          <t>Computadora</t>
        </is>
      </c>
      <c r="B589" s="24" t="inlineStr">
        <is>
          <t>Autorizaciones</t>
        </is>
      </c>
      <c r="C589" s="24" t="inlineStr">
        <is>
          <t>¿El cliente autoriza las pruebas funcionales necesarias para comprobar la reparación?</t>
        </is>
      </c>
      <c r="D589" s="25" t="inlineStr">
        <is>
          <t>YN</t>
        </is>
      </c>
      <c r="E589" s="26">
        <f>IF(OR(A589="",B589=""),"",A589&amp;"|"&amp;B589)</f>
        <v/>
      </c>
      <c r="F589" s="26">
        <f>IF(OR(E589="",C589=""),"",E589&amp;"|"&amp;C589)</f>
        <v/>
      </c>
    </row>
    <row r="590">
      <c r="A590" s="23" t="inlineStr">
        <is>
          <t>Computadora</t>
        </is>
      </c>
      <c r="B590" s="24" t="inlineStr">
        <is>
          <t>Autorizaciones</t>
        </is>
      </c>
      <c r="C590" s="24" t="inlineStr">
        <is>
          <t>¿Cómo se maneja la contraseña / PIN para las pruebas?</t>
        </is>
      </c>
      <c r="D590" s="25" t="inlineStr">
        <is>
          <t>PIN</t>
        </is>
      </c>
      <c r="E590" s="26">
        <f>IF(OR(A590="",B590=""),"",A590&amp;"|"&amp;B590)</f>
        <v/>
      </c>
      <c r="F590" s="26">
        <f>IF(OR(E590="",C590=""),"",E590&amp;"|"&amp;C590)</f>
        <v/>
      </c>
    </row>
    <row r="591">
      <c r="A591" s="23" t="inlineStr">
        <is>
          <t>Computadora</t>
        </is>
      </c>
      <c r="B591" s="24" t="inlineStr">
        <is>
          <t>Autorizaciones</t>
        </is>
      </c>
      <c r="C591" s="24" t="inlineStr">
        <is>
          <t>¿El cliente firmó la orden de recepción?</t>
        </is>
      </c>
      <c r="D591" s="25" t="inlineStr">
        <is>
          <t>YN</t>
        </is>
      </c>
      <c r="E591" s="26">
        <f>IF(OR(A591="",B591=""),"",A591&amp;"|"&amp;B591)</f>
        <v/>
      </c>
      <c r="F591" s="26">
        <f>IF(OR(E591="",C591=""),"",E591&amp;"|"&amp;C591)</f>
        <v/>
      </c>
    </row>
    <row r="592">
      <c r="A592" s="23" t="inlineStr">
        <is>
          <t>Computadora</t>
        </is>
      </c>
      <c r="B592" s="24" t="inlineStr">
        <is>
          <t>Autorizaciones</t>
        </is>
      </c>
      <c r="C592" s="24" t="inlineStr">
        <is>
          <t>Contraseña / PIN (escríbalo solo si el cliente lo proporciona)</t>
        </is>
      </c>
      <c r="D592" s="25" t="inlineStr">
        <is>
          <t>TXT</t>
        </is>
      </c>
      <c r="E592" s="26">
        <f>IF(OR(A592="",B592=""),"",A592&amp;"|"&amp;B592)</f>
        <v/>
      </c>
      <c r="F592" s="26">
        <f>IF(OR(E592="",C592=""),"",E592&amp;"|"&amp;C592)</f>
        <v/>
      </c>
    </row>
    <row r="593">
      <c r="A593" s="23" t="inlineStr">
        <is>
          <t>Consola</t>
        </is>
      </c>
      <c r="B593" s="24" t="inlineStr">
        <is>
          <t>Datos generales</t>
        </is>
      </c>
      <c r="C593" s="24" t="inlineStr">
        <is>
          <t>¿Cuál es la falla principal que presenta el equipo?</t>
        </is>
      </c>
      <c r="D593" s="25" t="inlineStr">
        <is>
          <t>FALLAP</t>
        </is>
      </c>
      <c r="E593" s="26">
        <f>IF(OR(A593="",B593=""),"",A593&amp;"|"&amp;B593)</f>
        <v/>
      </c>
      <c r="F593" s="26">
        <f>IF(OR(E593="",C593=""),"",E593&amp;"|"&amp;C593)</f>
        <v/>
      </c>
    </row>
    <row r="594">
      <c r="A594" s="23" t="inlineStr">
        <is>
          <t>Consola</t>
        </is>
      </c>
      <c r="B594" s="24" t="inlineStr">
        <is>
          <t>Datos generales</t>
        </is>
      </c>
      <c r="C594" s="24" t="inlineStr">
        <is>
          <t>¿Desde cuándo presenta la falla?</t>
        </is>
      </c>
      <c r="D594" s="25" t="inlineStr">
        <is>
          <t>DESDE</t>
        </is>
      </c>
      <c r="E594" s="26">
        <f>IF(OR(A594="",B594=""),"",A594&amp;"|"&amp;B594)</f>
        <v/>
      </c>
      <c r="F594" s="26">
        <f>IF(OR(E594="",C594=""),"",E594&amp;"|"&amp;C594)</f>
        <v/>
      </c>
    </row>
    <row r="595">
      <c r="A595" s="23" t="inlineStr">
        <is>
          <t>Consola</t>
        </is>
      </c>
      <c r="B595" s="24" t="inlineStr">
        <is>
          <t>Datos generales</t>
        </is>
      </c>
      <c r="C595" s="24" t="inlineStr">
        <is>
          <t>¿La falla es permanente o sucede algunas veces?</t>
        </is>
      </c>
      <c r="D595" s="25" t="inlineStr">
        <is>
          <t>PERM</t>
        </is>
      </c>
      <c r="E595" s="26">
        <f>IF(OR(A595="",B595=""),"",A595&amp;"|"&amp;B595)</f>
        <v/>
      </c>
      <c r="F595" s="26">
        <f>IF(OR(E595="",C595=""),"",E595&amp;"|"&amp;C595)</f>
        <v/>
      </c>
    </row>
    <row r="596">
      <c r="A596" s="23" t="inlineStr">
        <is>
          <t>Consola</t>
        </is>
      </c>
      <c r="B596" s="24" t="inlineStr">
        <is>
          <t>Datos generales</t>
        </is>
      </c>
      <c r="C596" s="24" t="inlineStr">
        <is>
          <t>¿Sufrió algún golpe o caída recientemente?</t>
        </is>
      </c>
      <c r="D596" s="25" t="inlineStr">
        <is>
          <t>YNS</t>
        </is>
      </c>
      <c r="E596" s="26">
        <f>IF(OR(A596="",B596=""),"",A596&amp;"|"&amp;B596)</f>
        <v/>
      </c>
      <c r="F596" s="26">
        <f>IF(OR(E596="",C596=""),"",E596&amp;"|"&amp;C596)</f>
        <v/>
      </c>
    </row>
    <row r="597">
      <c r="A597" s="23" t="inlineStr">
        <is>
          <t>Consola</t>
        </is>
      </c>
      <c r="B597" s="24" t="inlineStr">
        <is>
          <t>Datos generales</t>
        </is>
      </c>
      <c r="C597" s="24" t="inlineStr">
        <is>
          <t>¿Ha tenido contacto con agua, humedad o algún líquido?</t>
        </is>
      </c>
      <c r="D597" s="25" t="inlineStr">
        <is>
          <t>YNS</t>
        </is>
      </c>
      <c r="E597" s="26">
        <f>IF(OR(A597="",B597=""),"",A597&amp;"|"&amp;B597)</f>
        <v/>
      </c>
      <c r="F597" s="26">
        <f>IF(OR(E597="",C597=""),"",E597&amp;"|"&amp;C597)</f>
        <v/>
      </c>
    </row>
    <row r="598">
      <c r="A598" s="23" t="inlineStr">
        <is>
          <t>Consola</t>
        </is>
      </c>
      <c r="B598" s="24" t="inlineStr">
        <is>
          <t>Datos generales</t>
        </is>
      </c>
      <c r="C598" s="24" t="inlineStr">
        <is>
          <t>¿Ha sido abierto o reparado anteriormente?</t>
        </is>
      </c>
      <c r="D598" s="25" t="inlineStr">
        <is>
          <t>YNS</t>
        </is>
      </c>
      <c r="E598" s="26">
        <f>IF(OR(A598="",B598=""),"",A598&amp;"|"&amp;B598)</f>
        <v/>
      </c>
      <c r="F598" s="26">
        <f>IF(OR(E598="",C598=""),"",E598&amp;"|"&amp;C598)</f>
        <v/>
      </c>
    </row>
    <row r="599">
      <c r="A599" s="23" t="inlineStr">
        <is>
          <t>Consola</t>
        </is>
      </c>
      <c r="B599" s="24" t="inlineStr">
        <is>
          <t>Datos generales</t>
        </is>
      </c>
      <c r="C599" s="24" t="inlineStr">
        <is>
          <t>¿Enciende actualmente?</t>
        </is>
      </c>
      <c r="D599" s="25" t="inlineStr">
        <is>
          <t>ENC</t>
        </is>
      </c>
      <c r="E599" s="26">
        <f>IF(OR(A599="",B599=""),"",A599&amp;"|"&amp;B599)</f>
        <v/>
      </c>
      <c r="F599" s="26">
        <f>IF(OR(E599="",C599=""),"",E599&amp;"|"&amp;C599)</f>
        <v/>
      </c>
    </row>
    <row r="600">
      <c r="A600" s="23" t="inlineStr">
        <is>
          <t>Consola</t>
        </is>
      </c>
      <c r="B600" s="24" t="inlineStr">
        <is>
          <t>Datos generales</t>
        </is>
      </c>
      <c r="C600" s="24" t="inlineStr">
        <is>
          <t>¿El equipo se reinicia o se apaga solo?</t>
        </is>
      </c>
      <c r="D600" s="25" t="inlineStr">
        <is>
          <t>YNS</t>
        </is>
      </c>
      <c r="E600" s="26">
        <f>IF(OR(A600="",B600=""),"",A600&amp;"|"&amp;B600)</f>
        <v/>
      </c>
      <c r="F600" s="26">
        <f>IF(OR(E600="",C600=""),"",E600&amp;"|"&amp;C600)</f>
        <v/>
      </c>
    </row>
    <row r="601">
      <c r="A601" s="23" t="inlineStr">
        <is>
          <t>Consola</t>
        </is>
      </c>
      <c r="B601" s="24" t="inlineStr">
        <is>
          <t>Datos generales</t>
        </is>
      </c>
      <c r="C601" s="24" t="inlineStr">
        <is>
          <t>¿Tiene información importante que no puede perder?</t>
        </is>
      </c>
      <c r="D601" s="25" t="inlineStr">
        <is>
          <t>YNS</t>
        </is>
      </c>
      <c r="E601" s="26">
        <f>IF(OR(A601="",B601=""),"",A601&amp;"|"&amp;B601)</f>
        <v/>
      </c>
      <c r="F601" s="26">
        <f>IF(OR(E601="",C601=""),"",E601&amp;"|"&amp;C601)</f>
        <v/>
      </c>
    </row>
    <row r="602">
      <c r="A602" s="23" t="inlineStr">
        <is>
          <t>Consola</t>
        </is>
      </c>
      <c r="B602" s="24" t="inlineStr">
        <is>
          <t>Datos generales</t>
        </is>
      </c>
      <c r="C602" s="24" t="inlineStr">
        <is>
          <t>¿Tiene respaldo reciente de su información?</t>
        </is>
      </c>
      <c r="D602" s="25" t="inlineStr">
        <is>
          <t>YNS</t>
        </is>
      </c>
      <c r="E602" s="26">
        <f>IF(OR(A602="",B602=""),"",A602&amp;"|"&amp;B602)</f>
        <v/>
      </c>
      <c r="F602" s="26">
        <f>IF(OR(E602="",C602=""),"",E602&amp;"|"&amp;C602)</f>
        <v/>
      </c>
    </row>
    <row r="603">
      <c r="A603" s="23" t="inlineStr">
        <is>
          <t>Consola</t>
        </is>
      </c>
      <c r="B603" s="24" t="inlineStr">
        <is>
          <t>Datos generales</t>
        </is>
      </c>
      <c r="C603" s="24" t="inlineStr">
        <is>
          <t>¿Hay alguna otra falla o condición que debamos conocer?</t>
        </is>
      </c>
      <c r="D603" s="25" t="inlineStr">
        <is>
          <t>OTRAF</t>
        </is>
      </c>
      <c r="E603" s="26">
        <f>IF(OR(A603="",B603=""),"",A603&amp;"|"&amp;B603)</f>
        <v/>
      </c>
      <c r="F603" s="26">
        <f>IF(OR(E603="",C603=""),"",E603&amp;"|"&amp;C603)</f>
        <v/>
      </c>
    </row>
    <row r="604">
      <c r="A604" s="23" t="inlineStr">
        <is>
          <t>Consola</t>
        </is>
      </c>
      <c r="B604" s="24" t="inlineStr">
        <is>
          <t>Datos generales</t>
        </is>
      </c>
      <c r="C604" s="24" t="inlineStr">
        <is>
          <t>¿Es la primera vez que presenta esta falla?</t>
        </is>
      </c>
      <c r="D604" s="25" t="inlineStr">
        <is>
          <t>YNS</t>
        </is>
      </c>
      <c r="E604" s="26">
        <f>IF(OR(A604="",B604=""),"",A604&amp;"|"&amp;B604)</f>
        <v/>
      </c>
      <c r="F604" s="26">
        <f>IF(OR(E604="",C604=""),"",E604&amp;"|"&amp;C604)</f>
        <v/>
      </c>
    </row>
    <row r="605">
      <c r="A605" s="23" t="inlineStr">
        <is>
          <t>Consola</t>
        </is>
      </c>
      <c r="B605" s="24" t="inlineStr">
        <is>
          <t>Datos generales</t>
        </is>
      </c>
      <c r="C605" s="24" t="inlineStr">
        <is>
          <t>¿Qué antigüedad tiene el equipo?</t>
        </is>
      </c>
      <c r="D605" s="25" t="inlineStr">
        <is>
          <t>ANTIG</t>
        </is>
      </c>
      <c r="E605" s="26">
        <f>IF(OR(A605="",B605=""),"",A605&amp;"|"&amp;B605)</f>
        <v/>
      </c>
      <c r="F605" s="26">
        <f>IF(OR(E605="",C605=""),"",E605&amp;"|"&amp;C605)</f>
        <v/>
      </c>
    </row>
    <row r="606">
      <c r="A606" s="23" t="inlineStr">
        <is>
          <t>Consola</t>
        </is>
      </c>
      <c r="B606" s="24" t="inlineStr">
        <is>
          <t>Datos generales</t>
        </is>
      </c>
      <c r="C606" s="24" t="inlineStr">
        <is>
          <t>¿El equipo está en garantía?</t>
        </is>
      </c>
      <c r="D606" s="25" t="inlineStr">
        <is>
          <t>YNS</t>
        </is>
      </c>
      <c r="E606" s="26">
        <f>IF(OR(A606="",B606=""),"",A606&amp;"|"&amp;B606)</f>
        <v/>
      </c>
      <c r="F606" s="26">
        <f>IF(OR(E606="",C606=""),"",E606&amp;"|"&amp;C606)</f>
        <v/>
      </c>
    </row>
    <row r="607">
      <c r="A607" s="23" t="inlineStr">
        <is>
          <t>Consola</t>
        </is>
      </c>
      <c r="B607" s="24" t="inlineStr">
        <is>
          <t>Datos generales</t>
        </is>
      </c>
      <c r="C607" s="24" t="inlineStr">
        <is>
          <t>¿Para qué usa principalmente el equipo?</t>
        </is>
      </c>
      <c r="D607" s="25" t="inlineStr">
        <is>
          <t>USO</t>
        </is>
      </c>
      <c r="E607" s="26">
        <f>IF(OR(A607="",B607=""),"",A607&amp;"|"&amp;B607)</f>
        <v/>
      </c>
      <c r="F607" s="26">
        <f>IF(OR(E607="",C607=""),"",E607&amp;"|"&amp;C607)</f>
        <v/>
      </c>
    </row>
    <row r="608">
      <c r="A608" s="23" t="inlineStr">
        <is>
          <t>Consola</t>
        </is>
      </c>
      <c r="B608" s="24" t="inlineStr">
        <is>
          <t>Datos generales</t>
        </is>
      </c>
      <c r="C608" s="24" t="inlineStr">
        <is>
          <t>¿Qué tan urgente es tener el equipo de vuelta?</t>
        </is>
      </c>
      <c r="D608" s="25" t="inlineStr">
        <is>
          <t>URG</t>
        </is>
      </c>
      <c r="E608" s="26">
        <f>IF(OR(A608="",B608=""),"",A608&amp;"|"&amp;B608)</f>
        <v/>
      </c>
      <c r="F608" s="26">
        <f>IF(OR(E608="",C608=""),"",E608&amp;"|"&amp;C608)</f>
        <v/>
      </c>
    </row>
    <row r="609">
      <c r="A609" s="23" t="inlineStr">
        <is>
          <t>Consola</t>
        </is>
      </c>
      <c r="B609" s="24" t="inlineStr">
        <is>
          <t>Datos generales</t>
        </is>
      </c>
      <c r="C609" s="24" t="inlineStr">
        <is>
          <t>¿Por qué medio prefiere que le avisemos?</t>
        </is>
      </c>
      <c r="D609" s="25" t="inlineStr">
        <is>
          <t>CONT</t>
        </is>
      </c>
      <c r="E609" s="26">
        <f>IF(OR(A609="",B609=""),"",A609&amp;"|"&amp;B609)</f>
        <v/>
      </c>
      <c r="F609" s="26">
        <f>IF(OR(E609="",C609=""),"",E609&amp;"|"&amp;C609)</f>
        <v/>
      </c>
    </row>
    <row r="610">
      <c r="A610" s="23" t="inlineStr">
        <is>
          <t>Consola</t>
        </is>
      </c>
      <c r="B610" s="24" t="inlineStr">
        <is>
          <t>Datos generales</t>
        </is>
      </c>
      <c r="C610" s="24" t="inlineStr">
        <is>
          <t>¿Desea que se le informe el costo antes de reparar?</t>
        </is>
      </c>
      <c r="D610" s="25" t="inlineStr">
        <is>
          <t>YNS</t>
        </is>
      </c>
      <c r="E610" s="26">
        <f>IF(OR(A610="",B610=""),"",A610&amp;"|"&amp;B610)</f>
        <v/>
      </c>
      <c r="F610" s="26">
        <f>IF(OR(E610="",C610=""),"",E610&amp;"|"&amp;C610)</f>
        <v/>
      </c>
    </row>
    <row r="611">
      <c r="A611" s="23" t="inlineStr">
        <is>
          <t>Consola</t>
        </is>
      </c>
      <c r="B611" s="24" t="inlineStr">
        <is>
          <t>Datos generales</t>
        </is>
      </c>
      <c r="C611" s="24" t="inlineStr">
        <is>
          <t>¿Acepta una reparación con repuesto no original si el original no está disponible?</t>
        </is>
      </c>
      <c r="D611" s="25" t="inlineStr">
        <is>
          <t>YNS</t>
        </is>
      </c>
      <c r="E611" s="26">
        <f>IF(OR(A611="",B611=""),"",A611&amp;"|"&amp;B611)</f>
        <v/>
      </c>
      <c r="F611" s="26">
        <f>IF(OR(E611="",C611=""),"",E611&amp;"|"&amp;C611)</f>
        <v/>
      </c>
    </row>
    <row r="612">
      <c r="A612" s="23" t="inlineStr">
        <is>
          <t>Consola</t>
        </is>
      </c>
      <c r="B612" s="24" t="inlineStr">
        <is>
          <t>No enciende</t>
        </is>
      </c>
      <c r="C612" s="24" t="inlineStr">
        <is>
          <t>¿Cuándo fue la última vez que encendió normalmente?</t>
        </is>
      </c>
      <c r="D612" s="25" t="inlineStr">
        <is>
          <t>CUANDO</t>
        </is>
      </c>
      <c r="E612" s="26">
        <f>IF(OR(A612="",B612=""),"",A612&amp;"|"&amp;B612)</f>
        <v/>
      </c>
      <c r="F612" s="26">
        <f>IF(OR(E612="",C612=""),"",E612&amp;"|"&amp;C612)</f>
        <v/>
      </c>
    </row>
    <row r="613">
      <c r="A613" s="23" t="inlineStr">
        <is>
          <t>Consola</t>
        </is>
      </c>
      <c r="B613" s="24" t="inlineStr">
        <is>
          <t>No enciende</t>
        </is>
      </c>
      <c r="C613" s="24" t="inlineStr">
        <is>
          <t>¿Se apagó mientras lo estaba utilizando?</t>
        </is>
      </c>
      <c r="D613" s="25" t="inlineStr">
        <is>
          <t>YNS</t>
        </is>
      </c>
      <c r="E613" s="26">
        <f>IF(OR(A613="",B613=""),"",A613&amp;"|"&amp;B613)</f>
        <v/>
      </c>
      <c r="F613" s="26">
        <f>IF(OR(E613="",C613=""),"",E613&amp;"|"&amp;C613)</f>
        <v/>
      </c>
    </row>
    <row r="614">
      <c r="A614" s="23" t="inlineStr">
        <is>
          <t>Consola</t>
        </is>
      </c>
      <c r="B614" s="24" t="inlineStr">
        <is>
          <t>No enciende</t>
        </is>
      </c>
      <c r="C614" s="24" t="inlineStr">
        <is>
          <t>¿Ocurrió después de una caída, líquido o sobrecalentamiento?</t>
        </is>
      </c>
      <c r="D614" s="25" t="inlineStr">
        <is>
          <t>YNS</t>
        </is>
      </c>
      <c r="E614" s="26">
        <f>IF(OR(A614="",B614=""),"",A614&amp;"|"&amp;B614)</f>
        <v/>
      </c>
      <c r="F614" s="26">
        <f>IF(OR(E614="",C614=""),"",E614&amp;"|"&amp;C614)</f>
        <v/>
      </c>
    </row>
    <row r="615">
      <c r="A615" s="23" t="inlineStr">
        <is>
          <t>Consola</t>
        </is>
      </c>
      <c r="B615" s="24" t="inlineStr">
        <is>
          <t>No enciende</t>
        </is>
      </c>
      <c r="C615" s="24" t="inlineStr">
        <is>
          <t>¿Muestra alguna luz, vibración, sonido o señal de vida?</t>
        </is>
      </c>
      <c r="D615" s="25" t="inlineStr">
        <is>
          <t>SENAL</t>
        </is>
      </c>
      <c r="E615" s="26">
        <f>IF(OR(A615="",B615=""),"",A615&amp;"|"&amp;B615)</f>
        <v/>
      </c>
      <c r="F615" s="26">
        <f>IF(OR(E615="",C615=""),"",E615&amp;"|"&amp;C615)</f>
        <v/>
      </c>
    </row>
    <row r="616">
      <c r="A616" s="23" t="inlineStr">
        <is>
          <t>Consola</t>
        </is>
      </c>
      <c r="B616" s="24" t="inlineStr">
        <is>
          <t>No enciende</t>
        </is>
      </c>
      <c r="C616" s="24" t="inlineStr">
        <is>
          <t>¿Ha probado con otro cable de corriente o toma eléctrica?</t>
        </is>
      </c>
      <c r="D616" s="25" t="inlineStr">
        <is>
          <t>YNS</t>
        </is>
      </c>
      <c r="E616" s="26">
        <f>IF(OR(A616="",B616=""),"",A616&amp;"|"&amp;B616)</f>
        <v/>
      </c>
      <c r="F616" s="26">
        <f>IF(OR(E616="",C616=""),"",E616&amp;"|"&amp;C616)</f>
        <v/>
      </c>
    </row>
    <row r="617">
      <c r="A617" s="23" t="inlineStr">
        <is>
          <t>Consola</t>
        </is>
      </c>
      <c r="B617" s="24" t="inlineStr">
        <is>
          <t>No enciende</t>
        </is>
      </c>
      <c r="C617" s="24" t="inlineStr">
        <is>
          <t>¿Se queda en el logo o se reinicia constantemente?</t>
        </is>
      </c>
      <c r="D617" s="25" t="inlineStr">
        <is>
          <t>YNS</t>
        </is>
      </c>
      <c r="E617" s="26">
        <f>IF(OR(A617="",B617=""),"",A617&amp;"|"&amp;B617)</f>
        <v/>
      </c>
      <c r="F617" s="26">
        <f>IF(OR(E617="",C617=""),"",E617&amp;"|"&amp;C617)</f>
        <v/>
      </c>
    </row>
    <row r="618">
      <c r="A618" s="23" t="inlineStr">
        <is>
          <t>Consola</t>
        </is>
      </c>
      <c r="B618" s="24" t="inlineStr">
        <is>
          <t>No enciende</t>
        </is>
      </c>
      <c r="C618" s="24" t="inlineStr">
        <is>
          <t>¿Qué color de luz muestra la consola al intentar encender?</t>
        </is>
      </c>
      <c r="D618" s="25" t="inlineStr">
        <is>
          <t>LUZ</t>
        </is>
      </c>
      <c r="E618" s="26">
        <f>IF(OR(A618="",B618=""),"",A618&amp;"|"&amp;B618)</f>
        <v/>
      </c>
      <c r="F618" s="26">
        <f>IF(OR(E618="",C618=""),"",E618&amp;"|"&amp;C618)</f>
        <v/>
      </c>
    </row>
    <row r="619">
      <c r="A619" s="23" t="inlineStr">
        <is>
          <t>Consola</t>
        </is>
      </c>
      <c r="B619" s="24" t="inlineStr">
        <is>
          <t>No enciende</t>
        </is>
      </c>
      <c r="C619" s="24" t="inlineStr">
        <is>
          <t>¿Se apaga sola a los pocos segundos de encender?</t>
        </is>
      </c>
      <c r="D619" s="25" t="inlineStr">
        <is>
          <t>YNS</t>
        </is>
      </c>
      <c r="E619" s="26">
        <f>IF(OR(A619="",B619=""),"",A619&amp;"|"&amp;B619)</f>
        <v/>
      </c>
      <c r="F619" s="26">
        <f>IF(OR(E619="",C619=""),"",E619&amp;"|"&amp;C619)</f>
        <v/>
      </c>
    </row>
    <row r="620">
      <c r="A620" s="23" t="inlineStr">
        <is>
          <t>Consola</t>
        </is>
      </c>
      <c r="B620" s="24" t="inlineStr">
        <is>
          <t>No enciende</t>
        </is>
      </c>
      <c r="C620" s="24" t="inlineStr">
        <is>
          <t>¿Alguien intentó repararlo después de que dejó de encender?</t>
        </is>
      </c>
      <c r="D620" s="25" t="inlineStr">
        <is>
          <t>YNS</t>
        </is>
      </c>
      <c r="E620" s="26">
        <f>IF(OR(A620="",B620=""),"",A620&amp;"|"&amp;B620)</f>
        <v/>
      </c>
      <c r="F620" s="26">
        <f>IF(OR(E620="",C620=""),"",E620&amp;"|"&amp;C620)</f>
        <v/>
      </c>
    </row>
    <row r="621">
      <c r="A621" s="23" t="inlineStr">
        <is>
          <t>Consola</t>
        </is>
      </c>
      <c r="B621" s="24" t="inlineStr">
        <is>
          <t>No enciende</t>
        </is>
      </c>
      <c r="C621" s="24" t="inlineStr">
        <is>
          <t>¿Se calentó mucho antes de dejar de encender?</t>
        </is>
      </c>
      <c r="D621" s="25" t="inlineStr">
        <is>
          <t>YNS</t>
        </is>
      </c>
      <c r="E621" s="26">
        <f>IF(OR(A621="",B621=""),"",A621&amp;"|"&amp;B621)</f>
        <v/>
      </c>
      <c r="F621" s="26">
        <f>IF(OR(E621="",C621=""),"",E621&amp;"|"&amp;C621)</f>
        <v/>
      </c>
    </row>
    <row r="622">
      <c r="A622" s="23" t="inlineStr">
        <is>
          <t>Consola</t>
        </is>
      </c>
      <c r="B622" s="24" t="inlineStr">
        <is>
          <t>No enciende</t>
        </is>
      </c>
      <c r="C622" s="24" t="inlineStr">
        <is>
          <t>¿Huele a quemado?</t>
        </is>
      </c>
      <c r="D622" s="25" t="inlineStr">
        <is>
          <t>YNS</t>
        </is>
      </c>
      <c r="E622" s="26">
        <f>IF(OR(A622="",B622=""),"",A622&amp;"|"&amp;B622)</f>
        <v/>
      </c>
      <c r="F622" s="26">
        <f>IF(OR(E622="",C622=""),"",E622&amp;"|"&amp;C622)</f>
        <v/>
      </c>
    </row>
    <row r="623">
      <c r="A623" s="23" t="inlineStr">
        <is>
          <t>Consola</t>
        </is>
      </c>
      <c r="B623" s="24" t="inlineStr">
        <is>
          <t>No enciende</t>
        </is>
      </c>
      <c r="C623" s="24" t="inlineStr">
        <is>
          <t>¿El ventilador de la consola gira al intentar encender?</t>
        </is>
      </c>
      <c r="D623" s="25" t="inlineStr">
        <is>
          <t>YNS</t>
        </is>
      </c>
      <c r="E623" s="26">
        <f>IF(OR(A623="",B623=""),"",A623&amp;"|"&amp;B623)</f>
        <v/>
      </c>
      <c r="F623" s="26">
        <f>IF(OR(E623="",C623=""),"",E623&amp;"|"&amp;C623)</f>
        <v/>
      </c>
    </row>
    <row r="624">
      <c r="A624" s="23" t="inlineStr">
        <is>
          <t>Consola</t>
        </is>
      </c>
      <c r="B624" s="24" t="inlineStr">
        <is>
          <t>No enciende</t>
        </is>
      </c>
      <c r="C624" s="24" t="inlineStr">
        <is>
          <t>¿Ha cambiado el cable o fuente de poder de la consola?</t>
        </is>
      </c>
      <c r="D624" s="25" t="inlineStr">
        <is>
          <t>YNS</t>
        </is>
      </c>
      <c r="E624" s="26">
        <f>IF(OR(A624="",B624=""),"",A624&amp;"|"&amp;B624)</f>
        <v/>
      </c>
      <c r="F624" s="26">
        <f>IF(OR(E624="",C624=""),"",E624&amp;"|"&amp;C624)</f>
        <v/>
      </c>
    </row>
    <row r="625">
      <c r="A625" s="23" t="inlineStr">
        <is>
          <t>Consola</t>
        </is>
      </c>
      <c r="B625" s="24" t="inlineStr">
        <is>
          <t>Batería / No carga</t>
        </is>
      </c>
      <c r="C625" s="24" t="inlineStr">
        <is>
          <t>¿Carga de manera intermitente?</t>
        </is>
      </c>
      <c r="D625" s="25" t="inlineStr">
        <is>
          <t>YNS</t>
        </is>
      </c>
      <c r="E625" s="26">
        <f>IF(OR(A625="",B625=""),"",A625&amp;"|"&amp;B625)</f>
        <v/>
      </c>
      <c r="F625" s="26">
        <f>IF(OR(E625="",C625=""),"",E625&amp;"|"&amp;C625)</f>
        <v/>
      </c>
    </row>
    <row r="626">
      <c r="A626" s="23" t="inlineStr">
        <is>
          <t>Consola</t>
        </is>
      </c>
      <c r="B626" s="24" t="inlineStr">
        <is>
          <t>Batería / No carga</t>
        </is>
      </c>
      <c r="C626" s="24" t="inlineStr">
        <is>
          <t>¿Se descarga rápidamente?</t>
        </is>
      </c>
      <c r="D626" s="25" t="inlineStr">
        <is>
          <t>YNS</t>
        </is>
      </c>
      <c r="E626" s="26">
        <f>IF(OR(A626="",B626=""),"",A626&amp;"|"&amp;B626)</f>
        <v/>
      </c>
      <c r="F626" s="26">
        <f>IF(OR(E626="",C626=""),"",E626&amp;"|"&amp;C626)</f>
        <v/>
      </c>
    </row>
    <row r="627">
      <c r="A627" s="23" t="inlineStr">
        <is>
          <t>Consola</t>
        </is>
      </c>
      <c r="B627" s="24" t="inlineStr">
        <is>
          <t>Batería / No carga</t>
        </is>
      </c>
      <c r="C627" s="24" t="inlineStr">
        <is>
          <t>¿Se apaga aunque indique que todavía tiene batería?</t>
        </is>
      </c>
      <c r="D627" s="25" t="inlineStr">
        <is>
          <t>YNS</t>
        </is>
      </c>
      <c r="E627" s="26">
        <f>IF(OR(A627="",B627=""),"",A627&amp;"|"&amp;B627)</f>
        <v/>
      </c>
      <c r="F627" s="26">
        <f>IF(OR(E627="",C627=""),"",E627&amp;"|"&amp;C627)</f>
        <v/>
      </c>
    </row>
    <row r="628">
      <c r="A628" s="23" t="inlineStr">
        <is>
          <t>Consola</t>
        </is>
      </c>
      <c r="B628" s="24" t="inlineStr">
        <is>
          <t>Batería / No carga</t>
        </is>
      </c>
      <c r="C628" s="24" t="inlineStr">
        <is>
          <t>¿La batería está inflada o ha deformado el equipo?</t>
        </is>
      </c>
      <c r="D628" s="25" t="inlineStr">
        <is>
          <t>YNS</t>
        </is>
      </c>
      <c r="E628" s="26">
        <f>IF(OR(A628="",B628=""),"",A628&amp;"|"&amp;B628)</f>
        <v/>
      </c>
      <c r="F628" s="26">
        <f>IF(OR(E628="",C628=""),"",E628&amp;"|"&amp;C628)</f>
        <v/>
      </c>
    </row>
    <row r="629">
      <c r="A629" s="23" t="inlineStr">
        <is>
          <t>Consola</t>
        </is>
      </c>
      <c r="B629" s="24" t="inlineStr">
        <is>
          <t>Batería / No carga</t>
        </is>
      </c>
      <c r="C629" s="24" t="inlineStr">
        <is>
          <t>¿Utiliza cargador original?</t>
        </is>
      </c>
      <c r="D629" s="25" t="inlineStr">
        <is>
          <t>YNS</t>
        </is>
      </c>
      <c r="E629" s="26">
        <f>IF(OR(A629="",B629=""),"",A629&amp;"|"&amp;B629)</f>
        <v/>
      </c>
      <c r="F629" s="26">
        <f>IF(OR(E629="",C629=""),"",E629&amp;"|"&amp;C629)</f>
        <v/>
      </c>
    </row>
    <row r="630">
      <c r="A630" s="23" t="inlineStr">
        <is>
          <t>Consola</t>
        </is>
      </c>
      <c r="B630" s="24" t="inlineStr">
        <is>
          <t>Batería / No carga</t>
        </is>
      </c>
      <c r="C630" s="24" t="inlineStr">
        <is>
          <t>¿Ha probado otro cargador?</t>
        </is>
      </c>
      <c r="D630" s="25" t="inlineStr">
        <is>
          <t>YNS</t>
        </is>
      </c>
      <c r="E630" s="26">
        <f>IF(OR(A630="",B630=""),"",A630&amp;"|"&amp;B630)</f>
        <v/>
      </c>
      <c r="F630" s="26">
        <f>IF(OR(E630="",C630=""),"",E630&amp;"|"&amp;C630)</f>
        <v/>
      </c>
    </row>
    <row r="631">
      <c r="A631" s="23" t="inlineStr">
        <is>
          <t>Consola</t>
        </is>
      </c>
      <c r="B631" s="24" t="inlineStr">
        <is>
          <t>Batería / No carga</t>
        </is>
      </c>
      <c r="C631" s="24" t="inlineStr">
        <is>
          <t>¿Es una consola portátil (Switch, Steam Deck, ROG Ally)?</t>
        </is>
      </c>
      <c r="D631" s="25" t="inlineStr">
        <is>
          <t>YNS</t>
        </is>
      </c>
      <c r="E631" s="26">
        <f>IF(OR(A631="",B631=""),"",A631&amp;"|"&amp;B631)</f>
        <v/>
      </c>
      <c r="F631" s="26">
        <f>IF(OR(E631="",C631=""),"",E631&amp;"|"&amp;C631)</f>
        <v/>
      </c>
    </row>
    <row r="632">
      <c r="A632" s="23" t="inlineStr">
        <is>
          <t>Consola</t>
        </is>
      </c>
      <c r="B632" s="24" t="inlineStr">
        <is>
          <t>Batería / No carga</t>
        </is>
      </c>
      <c r="C632" s="24" t="inlineStr">
        <is>
          <t>¿Cuánto dura la batería aproximadamente?</t>
        </is>
      </c>
      <c r="D632" s="25" t="inlineStr">
        <is>
          <t>AUTON</t>
        </is>
      </c>
      <c r="E632" s="26">
        <f>IF(OR(A632="",B632=""),"",A632&amp;"|"&amp;B632)</f>
        <v/>
      </c>
      <c r="F632" s="26">
        <f>IF(OR(E632="",C632=""),"",E632&amp;"|"&amp;C632)</f>
        <v/>
      </c>
    </row>
    <row r="633">
      <c r="A633" s="23" t="inlineStr">
        <is>
          <t>Consola</t>
        </is>
      </c>
      <c r="B633" s="24" t="inlineStr">
        <is>
          <t>Calentamiento / Se apaga</t>
        </is>
      </c>
      <c r="C633" s="24" t="inlineStr">
        <is>
          <t>¿En qué momento se calienta?</t>
        </is>
      </c>
      <c r="D633" s="25" t="inlineStr">
        <is>
          <t>MOM</t>
        </is>
      </c>
      <c r="E633" s="26">
        <f>IF(OR(A633="",B633=""),"",A633&amp;"|"&amp;B633)</f>
        <v/>
      </c>
      <c r="F633" s="26">
        <f>IF(OR(E633="",C633=""),"",E633&amp;"|"&amp;C633)</f>
        <v/>
      </c>
    </row>
    <row r="634">
      <c r="A634" s="23" t="inlineStr">
        <is>
          <t>Consola</t>
        </is>
      </c>
      <c r="B634" s="24" t="inlineStr">
        <is>
          <t>Calentamiento / Se apaga</t>
        </is>
      </c>
      <c r="C634" s="24" t="inlineStr">
        <is>
          <t>¿Se apaga o reinicia cuando se calienta?</t>
        </is>
      </c>
      <c r="D634" s="25" t="inlineStr">
        <is>
          <t>YNS</t>
        </is>
      </c>
      <c r="E634" s="26">
        <f>IF(OR(A634="",B634=""),"",A634&amp;"|"&amp;B634)</f>
        <v/>
      </c>
      <c r="F634" s="26">
        <f>IF(OR(E634="",C634=""),"",E634&amp;"|"&amp;C634)</f>
        <v/>
      </c>
    </row>
    <row r="635">
      <c r="A635" s="23" t="inlineStr">
        <is>
          <t>Consola</t>
        </is>
      </c>
      <c r="B635" s="24" t="inlineStr">
        <is>
          <t>Calentamiento / Se apaga</t>
        </is>
      </c>
      <c r="C635" s="24" t="inlineStr">
        <is>
          <t>¿Ha notado pérdida de rendimiento?</t>
        </is>
      </c>
      <c r="D635" s="25" t="inlineStr">
        <is>
          <t>YNS</t>
        </is>
      </c>
      <c r="E635" s="26">
        <f>IF(OR(A635="",B635=""),"",A635&amp;"|"&amp;B635)</f>
        <v/>
      </c>
      <c r="F635" s="26">
        <f>IF(OR(E635="",C635=""),"",E635&amp;"|"&amp;C635)</f>
        <v/>
      </c>
    </row>
    <row r="636">
      <c r="A636" s="23" t="inlineStr">
        <is>
          <t>Consola</t>
        </is>
      </c>
      <c r="B636" s="24" t="inlineStr">
        <is>
          <t>Calentamiento / Se apaga</t>
        </is>
      </c>
      <c r="C636" s="24" t="inlineStr">
        <is>
          <t>¿Los ventiladores hacen mucho ruido?</t>
        </is>
      </c>
      <c r="D636" s="25" t="inlineStr">
        <is>
          <t>YNS</t>
        </is>
      </c>
      <c r="E636" s="26">
        <f>IF(OR(A636="",B636=""),"",A636&amp;"|"&amp;B636)</f>
        <v/>
      </c>
      <c r="F636" s="26">
        <f>IF(OR(E636="",C636=""),"",E636&amp;"|"&amp;C636)</f>
        <v/>
      </c>
    </row>
    <row r="637">
      <c r="A637" s="23" t="inlineStr">
        <is>
          <t>Consola</t>
        </is>
      </c>
      <c r="B637" s="24" t="inlineStr">
        <is>
          <t>Calentamiento / Se apaga</t>
        </is>
      </c>
      <c r="C637" s="24" t="inlineStr">
        <is>
          <t>¿Las rejillas de ventilación tienen polvo o están tapadas?</t>
        </is>
      </c>
      <c r="D637" s="25" t="inlineStr">
        <is>
          <t>YNS</t>
        </is>
      </c>
      <c r="E637" s="26">
        <f>IF(OR(A637="",B637=""),"",A637&amp;"|"&amp;B637)</f>
        <v/>
      </c>
      <c r="F637" s="26">
        <f>IF(OR(E637="",C637=""),"",E637&amp;"|"&amp;C637)</f>
        <v/>
      </c>
    </row>
    <row r="638">
      <c r="A638" s="23" t="inlineStr">
        <is>
          <t>Consola</t>
        </is>
      </c>
      <c r="B638" s="24" t="inlineStr">
        <is>
          <t>Calentamiento / Se apaga</t>
        </is>
      </c>
      <c r="C638" s="24" t="inlineStr">
        <is>
          <t>¿Cuándo fue el último mantenimiento o limpieza?</t>
        </is>
      </c>
      <c r="D638" s="25" t="inlineStr">
        <is>
          <t>MANT</t>
        </is>
      </c>
      <c r="E638" s="26">
        <f>IF(OR(A638="",B638=""),"",A638&amp;"|"&amp;B638)</f>
        <v/>
      </c>
      <c r="F638" s="26">
        <f>IF(OR(E638="",C638=""),"",E638&amp;"|"&amp;C638)</f>
        <v/>
      </c>
    </row>
    <row r="639">
      <c r="A639" s="23" t="inlineStr">
        <is>
          <t>Consola</t>
        </is>
      </c>
      <c r="B639" s="24" t="inlineStr">
        <is>
          <t>Calentamiento / Se apaga</t>
        </is>
      </c>
      <c r="C639" s="24" t="inlineStr">
        <is>
          <t>¿Está ubicada en un espacio cerrado o sin ventilación?</t>
        </is>
      </c>
      <c r="D639" s="25" t="inlineStr">
        <is>
          <t>YNS</t>
        </is>
      </c>
      <c r="E639" s="26">
        <f>IF(OR(A639="",B639=""),"",A639&amp;"|"&amp;B639)</f>
        <v/>
      </c>
      <c r="F639" s="26">
        <f>IF(OR(E639="",C639=""),"",E639&amp;"|"&amp;C639)</f>
        <v/>
      </c>
    </row>
    <row r="640">
      <c r="A640" s="23" t="inlineStr">
        <is>
          <t>Consola</t>
        </is>
      </c>
      <c r="B640" s="24" t="inlineStr">
        <is>
          <t>Calentamiento / Se apaga</t>
        </is>
      </c>
      <c r="C640" s="24" t="inlineStr">
        <is>
          <t>¿Se apaga durante los juegos?</t>
        </is>
      </c>
      <c r="D640" s="25" t="inlineStr">
        <is>
          <t>YNS</t>
        </is>
      </c>
      <c r="E640" s="26">
        <f>IF(OR(A640="",B640=""),"",A640&amp;"|"&amp;B640)</f>
        <v/>
      </c>
      <c r="F640" s="26">
        <f>IF(OR(E640="",C640=""),"",E640&amp;"|"&amp;C640)</f>
        <v/>
      </c>
    </row>
    <row r="641">
      <c r="A641" s="23" t="inlineStr">
        <is>
          <t>Consola</t>
        </is>
      </c>
      <c r="B641" s="24" t="inlineStr">
        <is>
          <t>Calentamiento / Se apaga</t>
        </is>
      </c>
      <c r="C641" s="24" t="inlineStr">
        <is>
          <t>¿Sale aire muy caliente por las rejillas?</t>
        </is>
      </c>
      <c r="D641" s="25" t="inlineStr">
        <is>
          <t>YNS</t>
        </is>
      </c>
      <c r="E641" s="26">
        <f>IF(OR(A641="",B641=""),"",A641&amp;"|"&amp;B641)</f>
        <v/>
      </c>
      <c r="F641" s="26">
        <f>IF(OR(E641="",C641=""),"",E641&amp;"|"&amp;C641)</f>
        <v/>
      </c>
    </row>
    <row r="642">
      <c r="A642" s="23" t="inlineStr">
        <is>
          <t>Consola</t>
        </is>
      </c>
      <c r="B642" s="24" t="inlineStr">
        <is>
          <t>Calentamiento / Se apaga</t>
        </is>
      </c>
      <c r="C642" s="24" t="inlineStr">
        <is>
          <t>¿Se calienta solo con ciertas apps o juegos?</t>
        </is>
      </c>
      <c r="D642" s="25" t="inlineStr">
        <is>
          <t>YNS</t>
        </is>
      </c>
      <c r="E642" s="26">
        <f>IF(OR(A642="",B642=""),"",A642&amp;"|"&amp;B642)</f>
        <v/>
      </c>
      <c r="F642" s="26">
        <f>IF(OR(E642="",C642=""),"",E642&amp;"|"&amp;C642)</f>
        <v/>
      </c>
    </row>
    <row r="643">
      <c r="A643" s="23" t="inlineStr">
        <is>
          <t>Consola</t>
        </is>
      </c>
      <c r="B643" s="24" t="inlineStr">
        <is>
          <t>Contacto con líquido</t>
        </is>
      </c>
      <c r="C643" s="24" t="inlineStr">
        <is>
          <t>¿Qué tipo de líquido fue?</t>
        </is>
      </c>
      <c r="D643" s="25" t="inlineStr">
        <is>
          <t>LIQ</t>
        </is>
      </c>
      <c r="E643" s="26">
        <f>IF(OR(A643="",B643=""),"",A643&amp;"|"&amp;B643)</f>
        <v/>
      </c>
      <c r="F643" s="26">
        <f>IF(OR(E643="",C643=""),"",E643&amp;"|"&amp;C643)</f>
        <v/>
      </c>
    </row>
    <row r="644">
      <c r="A644" s="23" t="inlineStr">
        <is>
          <t>Consola</t>
        </is>
      </c>
      <c r="B644" s="24" t="inlineStr">
        <is>
          <t>Contacto con líquido</t>
        </is>
      </c>
      <c r="C644" s="24" t="inlineStr">
        <is>
          <t>¿Cuándo ocurrió?</t>
        </is>
      </c>
      <c r="D644" s="25" t="inlineStr">
        <is>
          <t>CUANDO</t>
        </is>
      </c>
      <c r="E644" s="26">
        <f>IF(OR(A644="",B644=""),"",A644&amp;"|"&amp;B644)</f>
        <v/>
      </c>
      <c r="F644" s="26">
        <f>IF(OR(E644="",C644=""),"",E644&amp;"|"&amp;C644)</f>
        <v/>
      </c>
    </row>
    <row r="645">
      <c r="A645" s="23" t="inlineStr">
        <is>
          <t>Consola</t>
        </is>
      </c>
      <c r="B645" s="24" t="inlineStr">
        <is>
          <t>Contacto con líquido</t>
        </is>
      </c>
      <c r="C645" s="24" t="inlineStr">
        <is>
          <t>¿Continuó utilizando el equipo?</t>
        </is>
      </c>
      <c r="D645" s="25" t="inlineStr">
        <is>
          <t>YNS</t>
        </is>
      </c>
      <c r="E645" s="26">
        <f>IF(OR(A645="",B645=""),"",A645&amp;"|"&amp;B645)</f>
        <v/>
      </c>
      <c r="F645" s="26">
        <f>IF(OR(E645="",C645=""),"",E645&amp;"|"&amp;C645)</f>
        <v/>
      </c>
    </row>
    <row r="646">
      <c r="A646" s="23" t="inlineStr">
        <is>
          <t>Consola</t>
        </is>
      </c>
      <c r="B646" s="24" t="inlineStr">
        <is>
          <t>Contacto con líquido</t>
        </is>
      </c>
      <c r="C646" s="24" t="inlineStr">
        <is>
          <t>¿Intentó encenderlo?</t>
        </is>
      </c>
      <c r="D646" s="25" t="inlineStr">
        <is>
          <t>YNS</t>
        </is>
      </c>
      <c r="E646" s="26">
        <f>IF(OR(A646="",B646=""),"",A646&amp;"|"&amp;B646)</f>
        <v/>
      </c>
      <c r="F646" s="26">
        <f>IF(OR(E646="",C646=""),"",E646&amp;"|"&amp;C646)</f>
        <v/>
      </c>
    </row>
    <row r="647">
      <c r="A647" s="23" t="inlineStr">
        <is>
          <t>Consola</t>
        </is>
      </c>
      <c r="B647" s="24" t="inlineStr">
        <is>
          <t>Contacto con líquido</t>
        </is>
      </c>
      <c r="C647" s="24" t="inlineStr">
        <is>
          <t>¿Lo conectó al cargador después de mojarse?</t>
        </is>
      </c>
      <c r="D647" s="25" t="inlineStr">
        <is>
          <t>YNS</t>
        </is>
      </c>
      <c r="E647" s="26">
        <f>IF(OR(A647="",B647=""),"",A647&amp;"|"&amp;B647)</f>
        <v/>
      </c>
      <c r="F647" s="26">
        <f>IF(OR(E647="",C647=""),"",E647&amp;"|"&amp;C647)</f>
        <v/>
      </c>
    </row>
    <row r="648">
      <c r="A648" s="23" t="inlineStr">
        <is>
          <t>Consola</t>
        </is>
      </c>
      <c r="B648" s="24" t="inlineStr">
        <is>
          <t>Contacto con líquido</t>
        </is>
      </c>
      <c r="C648" s="24" t="inlineStr">
        <is>
          <t>¿Fue abierto posteriormente?</t>
        </is>
      </c>
      <c r="D648" s="25" t="inlineStr">
        <is>
          <t>YNS</t>
        </is>
      </c>
      <c r="E648" s="26">
        <f>IF(OR(A648="",B648=""),"",A648&amp;"|"&amp;B648)</f>
        <v/>
      </c>
      <c r="F648" s="26">
        <f>IF(OR(E648="",C648=""),"",E648&amp;"|"&amp;C648)</f>
        <v/>
      </c>
    </row>
    <row r="649">
      <c r="A649" s="23" t="inlineStr">
        <is>
          <t>Consola</t>
        </is>
      </c>
      <c r="B649" s="24" t="inlineStr">
        <is>
          <t>Contacto con líquido</t>
        </is>
      </c>
      <c r="C649" s="24" t="inlineStr">
        <is>
          <t>¿Recibió limpieza o reparación previa?</t>
        </is>
      </c>
      <c r="D649" s="25" t="inlineStr">
        <is>
          <t>YNS</t>
        </is>
      </c>
      <c r="E649" s="26">
        <f>IF(OR(A649="",B649=""),"",A649&amp;"|"&amp;B649)</f>
        <v/>
      </c>
      <c r="F649" s="26">
        <f>IF(OR(E649="",C649=""),"",E649&amp;"|"&amp;C649)</f>
        <v/>
      </c>
    </row>
    <row r="650">
      <c r="A650" s="23" t="inlineStr">
        <is>
          <t>Consola</t>
        </is>
      </c>
      <c r="B650" s="24" t="inlineStr">
        <is>
          <t>Contacto con líquido</t>
        </is>
      </c>
      <c r="C650" s="24" t="inlineStr">
        <is>
          <t>¿Usó arroz, secador u otro método casero?</t>
        </is>
      </c>
      <c r="D650" s="25" t="inlineStr">
        <is>
          <t>YNS</t>
        </is>
      </c>
      <c r="E650" s="26">
        <f>IF(OR(A650="",B650=""),"",A650&amp;"|"&amp;B650)</f>
        <v/>
      </c>
      <c r="F650" s="26">
        <f>IF(OR(E650="",C650=""),"",E650&amp;"|"&amp;C650)</f>
        <v/>
      </c>
    </row>
    <row r="651">
      <c r="A651" s="23" t="inlineStr">
        <is>
          <t>Consola</t>
        </is>
      </c>
      <c r="B651" s="24" t="inlineStr">
        <is>
          <t>Contacto con líquido</t>
        </is>
      </c>
      <c r="C651" s="24" t="inlineStr">
        <is>
          <t>¿Qué cantidad de líquido fue?</t>
        </is>
      </c>
      <c r="D651" s="25" t="inlineStr">
        <is>
          <t>CANT</t>
        </is>
      </c>
      <c r="E651" s="26">
        <f>IF(OR(A651="",B651=""),"",A651&amp;"|"&amp;B651)</f>
        <v/>
      </c>
      <c r="F651" s="26">
        <f>IF(OR(E651="",C651=""),"",E651&amp;"|"&amp;C651)</f>
        <v/>
      </c>
    </row>
    <row r="652">
      <c r="A652" s="23" t="inlineStr">
        <is>
          <t>Consola</t>
        </is>
      </c>
      <c r="B652" s="24" t="inlineStr">
        <is>
          <t>Contacto con líquido</t>
        </is>
      </c>
      <c r="C652" s="24" t="inlineStr">
        <is>
          <t>¿El líquido tenía azúcar (gaseosa, jugo, café con azúcar)?</t>
        </is>
      </c>
      <c r="D652" s="25" t="inlineStr">
        <is>
          <t>YNS</t>
        </is>
      </c>
      <c r="E652" s="26">
        <f>IF(OR(A652="",B652=""),"",A652&amp;"|"&amp;B652)</f>
        <v/>
      </c>
      <c r="F652" s="26">
        <f>IF(OR(E652="",C652=""),"",E652&amp;"|"&amp;C652)</f>
        <v/>
      </c>
    </row>
    <row r="653">
      <c r="A653" s="23" t="inlineStr">
        <is>
          <t>Consola</t>
        </is>
      </c>
      <c r="B653" s="24" t="inlineStr">
        <is>
          <t>Golpe / Caída</t>
        </is>
      </c>
      <c r="C653" s="24" t="inlineStr">
        <is>
          <t>¿Cuándo ocurrió?</t>
        </is>
      </c>
      <c r="D653" s="25" t="inlineStr">
        <is>
          <t>CUANDO</t>
        </is>
      </c>
      <c r="E653" s="26">
        <f>IF(OR(A653="",B653=""),"",A653&amp;"|"&amp;B653)</f>
        <v/>
      </c>
      <c r="F653" s="26">
        <f>IF(OR(E653="",C653=""),"",E653&amp;"|"&amp;C653)</f>
        <v/>
      </c>
    </row>
    <row r="654">
      <c r="A654" s="23" t="inlineStr">
        <is>
          <t>Consola</t>
        </is>
      </c>
      <c r="B654" s="24" t="inlineStr">
        <is>
          <t>Golpe / Caída</t>
        </is>
      </c>
      <c r="C654" s="24" t="inlineStr">
        <is>
          <t>¿Continuó funcionando después del golpe?</t>
        </is>
      </c>
      <c r="D654" s="25" t="inlineStr">
        <is>
          <t>YNS</t>
        </is>
      </c>
      <c r="E654" s="26">
        <f>IF(OR(A654="",B654=""),"",A654&amp;"|"&amp;B654)</f>
        <v/>
      </c>
      <c r="F654" s="26">
        <f>IF(OR(E654="",C654=""),"",E654&amp;"|"&amp;C654)</f>
        <v/>
      </c>
    </row>
    <row r="655">
      <c r="A655" s="23" t="inlineStr">
        <is>
          <t>Consola</t>
        </is>
      </c>
      <c r="B655" s="24" t="inlineStr">
        <is>
          <t>Golpe / Caída</t>
        </is>
      </c>
      <c r="C655" s="24" t="inlineStr">
        <is>
          <t>¿La falla apareció inmediatamente?</t>
        </is>
      </c>
      <c r="D655" s="25" t="inlineStr">
        <is>
          <t>YNS</t>
        </is>
      </c>
      <c r="E655" s="26">
        <f>IF(OR(A655="",B655=""),"",A655&amp;"|"&amp;B655)</f>
        <v/>
      </c>
      <c r="F655" s="26">
        <f>IF(OR(E655="",C655=""),"",E655&amp;"|"&amp;C655)</f>
        <v/>
      </c>
    </row>
    <row r="656">
      <c r="A656" s="23" t="inlineStr">
        <is>
          <t>Consola</t>
        </is>
      </c>
      <c r="B656" s="24" t="inlineStr">
        <is>
          <t>Golpe / Caída</t>
        </is>
      </c>
      <c r="C656" s="24" t="inlineStr">
        <is>
          <t>¿Presentó problemas de imagen?</t>
        </is>
      </c>
      <c r="D656" s="25" t="inlineStr">
        <is>
          <t>YNS</t>
        </is>
      </c>
      <c r="E656" s="26">
        <f>IF(OR(A656="",B656=""),"",A656&amp;"|"&amp;B656)</f>
        <v/>
      </c>
      <c r="F656" s="26">
        <f>IF(OR(E656="",C656=""),"",E656&amp;"|"&amp;C656)</f>
        <v/>
      </c>
    </row>
    <row r="657">
      <c r="A657" s="23" t="inlineStr">
        <is>
          <t>Consola</t>
        </is>
      </c>
      <c r="B657" s="24" t="inlineStr">
        <is>
          <t>Golpe / Caída</t>
        </is>
      </c>
      <c r="C657" s="24" t="inlineStr">
        <is>
          <t>¿Se deformó la carcasa o el chasis?</t>
        </is>
      </c>
      <c r="D657" s="25" t="inlineStr">
        <is>
          <t>YNS</t>
        </is>
      </c>
      <c r="E657" s="26">
        <f>IF(OR(A657="",B657=""),"",A657&amp;"|"&amp;B657)</f>
        <v/>
      </c>
      <c r="F657" s="26">
        <f>IF(OR(E657="",C657=""),"",E657&amp;"|"&amp;C657)</f>
        <v/>
      </c>
    </row>
    <row r="658">
      <c r="A658" s="23" t="inlineStr">
        <is>
          <t>Consola</t>
        </is>
      </c>
      <c r="B658" s="24" t="inlineStr">
        <is>
          <t>Golpe / Caída</t>
        </is>
      </c>
      <c r="C658" s="24" t="inlineStr">
        <is>
          <t>¿Dejó de encender?</t>
        </is>
      </c>
      <c r="D658" s="25" t="inlineStr">
        <is>
          <t>YNS</t>
        </is>
      </c>
      <c r="E658" s="26">
        <f>IF(OR(A658="",B658=""),"",A658&amp;"|"&amp;B658)</f>
        <v/>
      </c>
      <c r="F658" s="26">
        <f>IF(OR(E658="",C658=""),"",E658&amp;"|"&amp;C658)</f>
        <v/>
      </c>
    </row>
    <row r="659">
      <c r="A659" s="23" t="inlineStr">
        <is>
          <t>Consola</t>
        </is>
      </c>
      <c r="B659" s="24" t="inlineStr">
        <is>
          <t>Golpe / Caída</t>
        </is>
      </c>
      <c r="C659" s="24" t="inlineStr">
        <is>
          <t>¿Tenía un disco dentro de la consola al caer?</t>
        </is>
      </c>
      <c r="D659" s="25" t="inlineStr">
        <is>
          <t>YNS</t>
        </is>
      </c>
      <c r="E659" s="26">
        <f>IF(OR(A659="",B659=""),"",A659&amp;"|"&amp;B659)</f>
        <v/>
      </c>
      <c r="F659" s="26">
        <f>IF(OR(E659="",C659=""),"",E659&amp;"|"&amp;C659)</f>
        <v/>
      </c>
    </row>
    <row r="660">
      <c r="A660" s="23" t="inlineStr">
        <is>
          <t>Consola</t>
        </is>
      </c>
      <c r="B660" s="24" t="inlineStr">
        <is>
          <t>Golpe / Caída</t>
        </is>
      </c>
      <c r="C660" s="24" t="inlineStr">
        <is>
          <t>¿En qué zona recibió el impacto?</t>
        </is>
      </c>
      <c r="D660" s="25" t="inlineStr">
        <is>
          <t>ZONAI</t>
        </is>
      </c>
      <c r="E660" s="26">
        <f>IF(OR(A660="",B660=""),"",A660&amp;"|"&amp;B660)</f>
        <v/>
      </c>
      <c r="F660" s="26">
        <f>IF(OR(E660="",C660=""),"",E660&amp;"|"&amp;C660)</f>
        <v/>
      </c>
    </row>
    <row r="661">
      <c r="A661" s="23" t="inlineStr">
        <is>
          <t>Consola</t>
        </is>
      </c>
      <c r="B661" s="24" t="inlineStr">
        <is>
          <t>Golpe / Caída</t>
        </is>
      </c>
      <c r="C661" s="24" t="inlineStr">
        <is>
          <t>¿Cuántas veces ha caído?</t>
        </is>
      </c>
      <c r="D661" s="25" t="inlineStr">
        <is>
          <t>CAID</t>
        </is>
      </c>
      <c r="E661" s="26">
        <f>IF(OR(A661="",B661=""),"",A661&amp;"|"&amp;B661)</f>
        <v/>
      </c>
      <c r="F661" s="26">
        <f>IF(OR(E661="",C661=""),"",E661&amp;"|"&amp;C661)</f>
        <v/>
      </c>
    </row>
    <row r="662">
      <c r="A662" s="23" t="inlineStr">
        <is>
          <t>Consola</t>
        </is>
      </c>
      <c r="B662" s="24" t="inlineStr">
        <is>
          <t>Golpe / Caída</t>
        </is>
      </c>
      <c r="C662" s="24" t="inlineStr">
        <is>
          <t>¿Cayó sobre una superficie dura (piso, cemento)?</t>
        </is>
      </c>
      <c r="D662" s="25" t="inlineStr">
        <is>
          <t>YNS</t>
        </is>
      </c>
      <c r="E662" s="26">
        <f>IF(OR(A662="",B662=""),"",A662&amp;"|"&amp;B662)</f>
        <v/>
      </c>
      <c r="F662" s="26">
        <f>IF(OR(E662="",C662=""),"",E662&amp;"|"&amp;C662)</f>
        <v/>
      </c>
    </row>
    <row r="663">
      <c r="A663" s="23" t="inlineStr">
        <is>
          <t>Consola</t>
        </is>
      </c>
      <c r="B663" s="24" t="inlineStr">
        <is>
          <t>Golpe / Caída</t>
        </is>
      </c>
      <c r="C663" s="24" t="inlineStr">
        <is>
          <t>¿Estaba en uso o encendido al caer?</t>
        </is>
      </c>
      <c r="D663" s="25" t="inlineStr">
        <is>
          <t>YNS</t>
        </is>
      </c>
      <c r="E663" s="26">
        <f>IF(OR(A663="",B663=""),"",A663&amp;"|"&amp;B663)</f>
        <v/>
      </c>
      <c r="F663" s="26">
        <f>IF(OR(E663="",C663=""),"",E663&amp;"|"&amp;C663)</f>
        <v/>
      </c>
    </row>
    <row r="664">
      <c r="A664" s="23" t="inlineStr">
        <is>
          <t>Consola</t>
        </is>
      </c>
      <c r="B664" s="24" t="inlineStr">
        <is>
          <t>Pantalla / Imagen</t>
        </is>
      </c>
      <c r="C664" s="24" t="inlineStr">
        <is>
          <t>¿Sin imagen?</t>
        </is>
      </c>
      <c r="D664" s="25" t="inlineStr">
        <is>
          <t>YNS</t>
        </is>
      </c>
      <c r="E664" s="26">
        <f>IF(OR(A664="",B664=""),"",A664&amp;"|"&amp;B664)</f>
        <v/>
      </c>
      <c r="F664" s="26">
        <f>IF(OR(E664="",C664=""),"",E664&amp;"|"&amp;C664)</f>
        <v/>
      </c>
    </row>
    <row r="665">
      <c r="A665" s="23" t="inlineStr">
        <is>
          <t>Consola</t>
        </is>
      </c>
      <c r="B665" s="24" t="inlineStr">
        <is>
          <t>Pantalla / Imagen</t>
        </is>
      </c>
      <c r="C665" s="24" t="inlineStr">
        <is>
          <t>¿Imagen intermitente?</t>
        </is>
      </c>
      <c r="D665" s="25" t="inlineStr">
        <is>
          <t>YNS</t>
        </is>
      </c>
      <c r="E665" s="26">
        <f>IF(OR(A665="",B665=""),"",A665&amp;"|"&amp;B665)</f>
        <v/>
      </c>
      <c r="F665" s="26">
        <f>IF(OR(E665="",C665=""),"",E665&amp;"|"&amp;C665)</f>
        <v/>
      </c>
    </row>
    <row r="666">
      <c r="A666" s="23" t="inlineStr">
        <is>
          <t>Consola</t>
        </is>
      </c>
      <c r="B666" s="24" t="inlineStr">
        <is>
          <t>Pantalla / Imagen</t>
        </is>
      </c>
      <c r="C666" s="24" t="inlineStr">
        <is>
          <t>¿Líneas en la imagen?</t>
        </is>
      </c>
      <c r="D666" s="25" t="inlineStr">
        <is>
          <t>YNS</t>
        </is>
      </c>
      <c r="E666" s="26">
        <f>IF(OR(A666="",B666=""),"",A666&amp;"|"&amp;B666)</f>
        <v/>
      </c>
      <c r="F666" s="26">
        <f>IF(OR(E666="",C666=""),"",E666&amp;"|"&amp;C666)</f>
        <v/>
      </c>
    </row>
    <row r="667">
      <c r="A667" s="23" t="inlineStr">
        <is>
          <t>Consola</t>
        </is>
      </c>
      <c r="B667" s="24" t="inlineStr">
        <is>
          <t>Pantalla / Imagen</t>
        </is>
      </c>
      <c r="C667" s="24" t="inlineStr">
        <is>
          <t>¿Parpadeo?</t>
        </is>
      </c>
      <c r="D667" s="25" t="inlineStr">
        <is>
          <t>YNS</t>
        </is>
      </c>
      <c r="E667" s="26">
        <f>IF(OR(A667="",B667=""),"",A667&amp;"|"&amp;B667)</f>
        <v/>
      </c>
      <c r="F667" s="26">
        <f>IF(OR(E667="",C667=""),"",E667&amp;"|"&amp;C667)</f>
        <v/>
      </c>
    </row>
    <row r="668">
      <c r="A668" s="23" t="inlineStr">
        <is>
          <t>Consola</t>
        </is>
      </c>
      <c r="B668" s="24" t="inlineStr">
        <is>
          <t>Pantalla / Imagen</t>
        </is>
      </c>
      <c r="C668" s="24" t="inlineStr">
        <is>
          <t>¿Imagen distorsionada?</t>
        </is>
      </c>
      <c r="D668" s="25" t="inlineStr">
        <is>
          <t>YNS</t>
        </is>
      </c>
      <c r="E668" s="26">
        <f>IF(OR(A668="",B668=""),"",A668&amp;"|"&amp;B668)</f>
        <v/>
      </c>
      <c r="F668" s="26">
        <f>IF(OR(E668="",C668=""),"",E668&amp;"|"&amp;C668)</f>
        <v/>
      </c>
    </row>
    <row r="669">
      <c r="A669" s="23" t="inlineStr">
        <is>
          <t>Consola</t>
        </is>
      </c>
      <c r="B669" s="24" t="inlineStr">
        <is>
          <t>Pantalla / Imagen</t>
        </is>
      </c>
      <c r="C669" s="24" t="inlineStr">
        <is>
          <t>¿Ha probado otro cable HDMI y otro puerto del televisor?</t>
        </is>
      </c>
      <c r="D669" s="25" t="inlineStr">
        <is>
          <t>YNS</t>
        </is>
      </c>
      <c r="E669" s="26">
        <f>IF(OR(A669="",B669=""),"",A669&amp;"|"&amp;B669)</f>
        <v/>
      </c>
      <c r="F669" s="26">
        <f>IF(OR(E669="",C669=""),"",E669&amp;"|"&amp;C669)</f>
        <v/>
      </c>
    </row>
    <row r="670">
      <c r="A670" s="23" t="inlineStr">
        <is>
          <t>Consola</t>
        </is>
      </c>
      <c r="B670" s="24" t="inlineStr">
        <is>
          <t>Pantalla / Imagen</t>
        </is>
      </c>
      <c r="C670" s="24" t="inlineStr">
        <is>
          <t>¿Sale imagen pero sin sonido?</t>
        </is>
      </c>
      <c r="D670" s="25" t="inlineStr">
        <is>
          <t>YNS</t>
        </is>
      </c>
      <c r="E670" s="26">
        <f>IF(OR(A670="",B670=""),"",A670&amp;"|"&amp;B670)</f>
        <v/>
      </c>
      <c r="F670" s="26">
        <f>IF(OR(E670="",C670=""),"",E670&amp;"|"&amp;C670)</f>
        <v/>
      </c>
    </row>
    <row r="671">
      <c r="A671" s="23" t="inlineStr">
        <is>
          <t>Consola</t>
        </is>
      </c>
      <c r="B671" s="24" t="inlineStr">
        <is>
          <t>Pantalla / Imagen</t>
        </is>
      </c>
      <c r="C671" s="24" t="inlineStr">
        <is>
          <t>¿La luz de la consola enciende pero no hay señal en pantalla?</t>
        </is>
      </c>
      <c r="D671" s="25" t="inlineStr">
        <is>
          <t>YNS</t>
        </is>
      </c>
      <c r="E671" s="26">
        <f>IF(OR(A671="",B671=""),"",A671&amp;"|"&amp;B671)</f>
        <v/>
      </c>
      <c r="F671" s="26">
        <f>IF(OR(E671="",C671=""),"",E671&amp;"|"&amp;C671)</f>
        <v/>
      </c>
    </row>
    <row r="672">
      <c r="A672" s="23" t="inlineStr">
        <is>
          <t>Consola</t>
        </is>
      </c>
      <c r="B672" s="24" t="inlineStr">
        <is>
          <t>Pantalla / Imagen</t>
        </is>
      </c>
      <c r="C672" s="24" t="inlineStr">
        <is>
          <t>¿Ocurrió después de un golpe o caída?</t>
        </is>
      </c>
      <c r="D672" s="25" t="inlineStr">
        <is>
          <t>YNS</t>
        </is>
      </c>
      <c r="E672" s="26">
        <f>IF(OR(A672="",B672=""),"",A672&amp;"|"&amp;B672)</f>
        <v/>
      </c>
      <c r="F672" s="26">
        <f>IF(OR(E672="",C672=""),"",E672&amp;"|"&amp;C672)</f>
        <v/>
      </c>
    </row>
    <row r="673">
      <c r="A673" s="23" t="inlineStr">
        <is>
          <t>Consola</t>
        </is>
      </c>
      <c r="B673" s="24" t="inlineStr">
        <is>
          <t>Pantalla / Imagen</t>
        </is>
      </c>
      <c r="C673" s="24" t="inlineStr">
        <is>
          <t>¿Los colores se ven raros por HDMI?</t>
        </is>
      </c>
      <c r="D673" s="25" t="inlineStr">
        <is>
          <t>YNS</t>
        </is>
      </c>
      <c r="E673" s="26">
        <f>IF(OR(A673="",B673=""),"",A673&amp;"|"&amp;B673)</f>
        <v/>
      </c>
      <c r="F673" s="26">
        <f>IF(OR(E673="",C673=""),"",E673&amp;"|"&amp;C673)</f>
        <v/>
      </c>
    </row>
    <row r="674">
      <c r="A674" s="23" t="inlineStr">
        <is>
          <t>Consola</t>
        </is>
      </c>
      <c r="B674" s="24" t="inlineStr">
        <is>
          <t>Lentitud / Sistema</t>
        </is>
      </c>
      <c r="C674" s="24" t="inlineStr">
        <is>
          <t>¿Desde cuándo comenzó la lentitud o el problema?</t>
        </is>
      </c>
      <c r="D674" s="25" t="inlineStr">
        <is>
          <t>DESDE</t>
        </is>
      </c>
      <c r="E674" s="26">
        <f>IF(OR(A674="",B674=""),"",A674&amp;"|"&amp;B674)</f>
        <v/>
      </c>
      <c r="F674" s="26">
        <f>IF(OR(E674="",C674=""),"",E674&amp;"|"&amp;C674)</f>
        <v/>
      </c>
    </row>
    <row r="675">
      <c r="A675" s="23" t="inlineStr">
        <is>
          <t>Consola</t>
        </is>
      </c>
      <c r="B675" s="24" t="inlineStr">
        <is>
          <t>Lentitud / Sistema</t>
        </is>
      </c>
      <c r="C675" s="24" t="inlineStr">
        <is>
          <t>¿Se congela?</t>
        </is>
      </c>
      <c r="D675" s="25" t="inlineStr">
        <is>
          <t>YNS</t>
        </is>
      </c>
      <c r="E675" s="26">
        <f>IF(OR(A675="",B675=""),"",A675&amp;"|"&amp;B675)</f>
        <v/>
      </c>
      <c r="F675" s="26">
        <f>IF(OR(E675="",C675=""),"",E675&amp;"|"&amp;C675)</f>
        <v/>
      </c>
    </row>
    <row r="676">
      <c r="A676" s="23" t="inlineStr">
        <is>
          <t>Consola</t>
        </is>
      </c>
      <c r="B676" s="24" t="inlineStr">
        <is>
          <t>Lentitud / Sistema</t>
        </is>
      </c>
      <c r="C676" s="24" t="inlineStr">
        <is>
          <t>¿Se reinicia solo?</t>
        </is>
      </c>
      <c r="D676" s="25" t="inlineStr">
        <is>
          <t>YNS</t>
        </is>
      </c>
      <c r="E676" s="26">
        <f>IF(OR(A676="",B676=""),"",A676&amp;"|"&amp;B676)</f>
        <v/>
      </c>
      <c r="F676" s="26">
        <f>IF(OR(E676="",C676=""),"",E676&amp;"|"&amp;C676)</f>
        <v/>
      </c>
    </row>
    <row r="677">
      <c r="A677" s="23" t="inlineStr">
        <is>
          <t>Consola</t>
        </is>
      </c>
      <c r="B677" s="24" t="inlineStr">
        <is>
          <t>Lentitud / Sistema</t>
        </is>
      </c>
      <c r="C677" s="24" t="inlineStr">
        <is>
          <t>¿Qué tipo de error aparece en la consola?</t>
        </is>
      </c>
      <c r="D677" s="25" t="inlineStr">
        <is>
          <t>ERR</t>
        </is>
      </c>
      <c r="E677" s="26">
        <f>IF(OR(A677="",B677=""),"",A677&amp;"|"&amp;B677)</f>
        <v/>
      </c>
      <c r="F677" s="26">
        <f>IF(OR(E677="",C677=""),"",E677&amp;"|"&amp;C677)</f>
        <v/>
      </c>
    </row>
    <row r="678">
      <c r="A678" s="23" t="inlineStr">
        <is>
          <t>Consola</t>
        </is>
      </c>
      <c r="B678" s="24" t="inlineStr">
        <is>
          <t>Lentitud / Sistema</t>
        </is>
      </c>
      <c r="C678" s="24" t="inlineStr">
        <is>
          <t>¿Qué programa, app o juego falla?</t>
        </is>
      </c>
      <c r="D678" s="25" t="inlineStr">
        <is>
          <t>PROG</t>
        </is>
      </c>
      <c r="E678" s="26">
        <f>IF(OR(A678="",B678=""),"",A678&amp;"|"&amp;B678)</f>
        <v/>
      </c>
      <c r="F678" s="26">
        <f>IF(OR(E678="",C678=""),"",E678&amp;"|"&amp;C678)</f>
        <v/>
      </c>
    </row>
    <row r="679">
      <c r="A679" s="23" t="inlineStr">
        <is>
          <t>Consola</t>
        </is>
      </c>
      <c r="B679" s="24" t="inlineStr">
        <is>
          <t>Lentitud / Sistema</t>
        </is>
      </c>
      <c r="C679" s="24" t="inlineStr">
        <is>
          <t>¿Se realizó recientemente alguna actualización?</t>
        </is>
      </c>
      <c r="D679" s="25" t="inlineStr">
        <is>
          <t>YNS</t>
        </is>
      </c>
      <c r="E679" s="26">
        <f>IF(OR(A679="",B679=""),"",A679&amp;"|"&amp;B679)</f>
        <v/>
      </c>
      <c r="F679" s="26">
        <f>IF(OR(E679="",C679=""),"",E679&amp;"|"&amp;C679)</f>
        <v/>
      </c>
    </row>
    <row r="680">
      <c r="A680" s="23" t="inlineStr">
        <is>
          <t>Consola</t>
        </is>
      </c>
      <c r="B680" s="24" t="inlineStr">
        <is>
          <t>Lentitud / Sistema</t>
        </is>
      </c>
      <c r="C680" s="24" t="inlineStr">
        <is>
          <t>¿Se vuelve lento después de un tiempo de uso?</t>
        </is>
      </c>
      <c r="D680" s="25" t="inlineStr">
        <is>
          <t>YNS</t>
        </is>
      </c>
      <c r="E680" s="26">
        <f>IF(OR(A680="",B680=""),"",A680&amp;"|"&amp;B680)</f>
        <v/>
      </c>
      <c r="F680" s="26">
        <f>IF(OR(E680="",C680=""),"",E680&amp;"|"&amp;C680)</f>
        <v/>
      </c>
    </row>
    <row r="681">
      <c r="A681" s="23" t="inlineStr">
        <is>
          <t>Consola</t>
        </is>
      </c>
      <c r="B681" s="24" t="inlineStr">
        <is>
          <t>Lentitud / Sistema</t>
        </is>
      </c>
      <c r="C681" s="24" t="inlineStr">
        <is>
          <t>¿Descarga o actualiza los juegos muy lento?</t>
        </is>
      </c>
      <c r="D681" s="25" t="inlineStr">
        <is>
          <t>YNS</t>
        </is>
      </c>
      <c r="E681" s="26">
        <f>IF(OR(A681="",B681=""),"",A681&amp;"|"&amp;B681)</f>
        <v/>
      </c>
      <c r="F681" s="26">
        <f>IF(OR(E681="",C681=""),"",E681&amp;"|"&amp;C681)</f>
        <v/>
      </c>
    </row>
    <row r="682">
      <c r="A682" s="23" t="inlineStr">
        <is>
          <t>Consola</t>
        </is>
      </c>
      <c r="B682" s="24" t="inlineStr">
        <is>
          <t>Disco / Almacenamiento</t>
        </is>
      </c>
      <c r="C682" s="24" t="inlineStr">
        <is>
          <t>¿Se escuchan clics o ruidos raros del disco?</t>
        </is>
      </c>
      <c r="D682" s="25" t="inlineStr">
        <is>
          <t>YNS</t>
        </is>
      </c>
      <c r="E682" s="26">
        <f>IF(OR(A682="",B682=""),"",A682&amp;"|"&amp;B682)</f>
        <v/>
      </c>
      <c r="F682" s="26">
        <f>IF(OR(E682="",C682=""),"",E682&amp;"|"&amp;C682)</f>
        <v/>
      </c>
    </row>
    <row r="683">
      <c r="A683" s="23" t="inlineStr">
        <is>
          <t>Consola</t>
        </is>
      </c>
      <c r="B683" s="24" t="inlineStr">
        <is>
          <t>Disco / Almacenamiento</t>
        </is>
      </c>
      <c r="C683" s="24" t="inlineStr">
        <is>
          <t>¿El almacenamiento interno falla o se llena solo?</t>
        </is>
      </c>
      <c r="D683" s="25" t="inlineStr">
        <is>
          <t>YNS</t>
        </is>
      </c>
      <c r="E683" s="26">
        <f>IF(OR(A683="",B683=""),"",A683&amp;"|"&amp;B683)</f>
        <v/>
      </c>
      <c r="F683" s="26">
        <f>IF(OR(E683="",C683=""),"",E683&amp;"|"&amp;C683)</f>
        <v/>
      </c>
    </row>
    <row r="684">
      <c r="A684" s="23" t="inlineStr">
        <is>
          <t>Consola</t>
        </is>
      </c>
      <c r="B684" s="24" t="inlineStr">
        <is>
          <t>Cuenta / Bloqueo</t>
        </is>
      </c>
      <c r="C684" s="24" t="inlineStr">
        <is>
          <t>¿Recuerda usuario y contraseña de su cuenta (Apple ID, Google, PSN, Xbox, Nintendo, Microsoft)?</t>
        </is>
      </c>
      <c r="D684" s="25" t="inlineStr">
        <is>
          <t>YNS</t>
        </is>
      </c>
      <c r="E684" s="26">
        <f>IF(OR(A684="",B684=""),"",A684&amp;"|"&amp;B684)</f>
        <v/>
      </c>
      <c r="F684" s="26">
        <f>IF(OR(E684="",C684=""),"",E684&amp;"|"&amp;C684)</f>
        <v/>
      </c>
    </row>
    <row r="685">
      <c r="A685" s="23" t="inlineStr">
        <is>
          <t>Consola</t>
        </is>
      </c>
      <c r="B685" s="24" t="inlineStr">
        <is>
          <t>Cuenta / Bloqueo</t>
        </is>
      </c>
      <c r="C685" s="24" t="inlineStr">
        <is>
          <t>¿El equipo tiene bloqueo por contraseña, PIN o patrón?</t>
        </is>
      </c>
      <c r="D685" s="25" t="inlineStr">
        <is>
          <t>YNS</t>
        </is>
      </c>
      <c r="E685" s="26">
        <f>IF(OR(A685="",B685=""),"",A685&amp;"|"&amp;B685)</f>
        <v/>
      </c>
      <c r="F685" s="26">
        <f>IF(OR(E685="",C685=""),"",E685&amp;"|"&amp;C685)</f>
        <v/>
      </c>
    </row>
    <row r="686">
      <c r="A686" s="23" t="inlineStr">
        <is>
          <t>Consola</t>
        </is>
      </c>
      <c r="B686" s="24" t="inlineStr">
        <is>
          <t>Cuenta / Bloqueo</t>
        </is>
      </c>
      <c r="C686" s="24" t="inlineStr">
        <is>
          <t>¿Tiene juegos digitales o partidas guardadas que no puede perder?</t>
        </is>
      </c>
      <c r="D686" s="25" t="inlineStr">
        <is>
          <t>YNS</t>
        </is>
      </c>
      <c r="E686" s="26">
        <f>IF(OR(A686="",B686=""),"",A686&amp;"|"&amp;B686)</f>
        <v/>
      </c>
      <c r="F686" s="26">
        <f>IF(OR(E686="",C686=""),"",E686&amp;"|"&amp;C686)</f>
        <v/>
      </c>
    </row>
    <row r="687">
      <c r="A687" s="23" t="inlineStr">
        <is>
          <t>Consola</t>
        </is>
      </c>
      <c r="B687" s="24" t="inlineStr">
        <is>
          <t>Cuenta / Bloqueo</t>
        </is>
      </c>
      <c r="C687" s="24" t="inlineStr">
        <is>
          <t>¿Olvidó la contraseña o el PIN de desbloqueo?</t>
        </is>
      </c>
      <c r="D687" s="25" t="inlineStr">
        <is>
          <t>YNS</t>
        </is>
      </c>
      <c r="E687" s="26">
        <f>IF(OR(A687="",B687=""),"",A687&amp;"|"&amp;B687)</f>
        <v/>
      </c>
      <c r="F687" s="26">
        <f>IF(OR(E687="",C687=""),"",E687&amp;"|"&amp;C687)</f>
        <v/>
      </c>
    </row>
    <row r="688">
      <c r="A688" s="23" t="inlineStr">
        <is>
          <t>Consola</t>
        </is>
      </c>
      <c r="B688" s="24" t="inlineStr">
        <is>
          <t>Cuenta / Bloqueo</t>
        </is>
      </c>
      <c r="C688" s="24" t="inlineStr">
        <is>
          <t>¿Recuerda el correo asociado a la cuenta del equipo?</t>
        </is>
      </c>
      <c r="D688" s="25" t="inlineStr">
        <is>
          <t>YNS</t>
        </is>
      </c>
      <c r="E688" s="26">
        <f>IF(OR(A688="",B688=""),"",A688&amp;"|"&amp;B688)</f>
        <v/>
      </c>
      <c r="F688" s="26">
        <f>IF(OR(E688="",C688=""),"",E688&amp;"|"&amp;C688)</f>
        <v/>
      </c>
    </row>
    <row r="689">
      <c r="A689" s="23" t="inlineStr">
        <is>
          <t>Consola</t>
        </is>
      </c>
      <c r="B689" s="24" t="inlineStr">
        <is>
          <t>Audio / Cámara / Micrófono</t>
        </is>
      </c>
      <c r="C689" s="24" t="inlineStr">
        <is>
          <t>¿La bocina no suena o suena distorsionada?</t>
        </is>
      </c>
      <c r="D689" s="25" t="inlineStr">
        <is>
          <t>YNS</t>
        </is>
      </c>
      <c r="E689" s="26">
        <f>IF(OR(A689="",B689=""),"",A689&amp;"|"&amp;B689)</f>
        <v/>
      </c>
      <c r="F689" s="26">
        <f>IF(OR(E689="",C689=""),"",E689&amp;"|"&amp;C689)</f>
        <v/>
      </c>
    </row>
    <row r="690">
      <c r="A690" s="23" t="inlineStr">
        <is>
          <t>Consola</t>
        </is>
      </c>
      <c r="B690" s="24" t="inlineStr">
        <is>
          <t>Audio / Cámara / Micrófono</t>
        </is>
      </c>
      <c r="C690" s="24" t="inlineStr">
        <is>
          <t>¿Se escucha solo de un lado?</t>
        </is>
      </c>
      <c r="D690" s="25" t="inlineStr">
        <is>
          <t>YNS</t>
        </is>
      </c>
      <c r="E690" s="26">
        <f>IF(OR(A690="",B690=""),"",A690&amp;"|"&amp;B690)</f>
        <v/>
      </c>
      <c r="F690" s="26">
        <f>IF(OR(E690="",C690=""),"",E690&amp;"|"&amp;C690)</f>
        <v/>
      </c>
    </row>
    <row r="691">
      <c r="A691" s="23" t="inlineStr">
        <is>
          <t>Consola</t>
        </is>
      </c>
      <c r="B691" s="24" t="inlineStr">
        <is>
          <t>Audio / Cámara / Micrófono</t>
        </is>
      </c>
      <c r="C691" s="24" t="inlineStr">
        <is>
          <t>¿El audio se corta o suena con ruido estático?</t>
        </is>
      </c>
      <c r="D691" s="25" t="inlineStr">
        <is>
          <t>YNS</t>
        </is>
      </c>
      <c r="E691" s="26">
        <f>IF(OR(A691="",B691=""),"",A691&amp;"|"&amp;B691)</f>
        <v/>
      </c>
      <c r="F691" s="26">
        <f>IF(OR(E691="",C691=""),"",E691&amp;"|"&amp;C691)</f>
        <v/>
      </c>
    </row>
    <row r="692">
      <c r="A692" s="23" t="inlineStr">
        <is>
          <t>Consola</t>
        </is>
      </c>
      <c r="B692" s="24" t="inlineStr">
        <is>
          <t>Red / Señal / Conectividad</t>
        </is>
      </c>
      <c r="C692" s="24" t="inlineStr">
        <is>
          <t>¿El Wi-Fi no conecta o se desconecta?</t>
        </is>
      </c>
      <c r="D692" s="25" t="inlineStr">
        <is>
          <t>YNS</t>
        </is>
      </c>
      <c r="E692" s="26">
        <f>IF(OR(A692="",B692=""),"",A692&amp;"|"&amp;B692)</f>
        <v/>
      </c>
      <c r="F692" s="26">
        <f>IF(OR(E692="",C692=""),"",E692&amp;"|"&amp;C692)</f>
        <v/>
      </c>
    </row>
    <row r="693">
      <c r="A693" s="23" t="inlineStr">
        <is>
          <t>Consola</t>
        </is>
      </c>
      <c r="B693" s="24" t="inlineStr">
        <is>
          <t>Red / Señal / Conectividad</t>
        </is>
      </c>
      <c r="C693" s="24" t="inlineStr">
        <is>
          <t>¿El Bluetooth no funciona?</t>
        </is>
      </c>
      <c r="D693" s="25" t="inlineStr">
        <is>
          <t>YNS</t>
        </is>
      </c>
      <c r="E693" s="26">
        <f>IF(OR(A693="",B693=""),"",A693&amp;"|"&amp;B693)</f>
        <v/>
      </c>
      <c r="F693" s="26">
        <f>IF(OR(E693="",C693=""),"",E693&amp;"|"&amp;C693)</f>
        <v/>
      </c>
    </row>
    <row r="694">
      <c r="A694" s="23" t="inlineStr">
        <is>
          <t>Consola</t>
        </is>
      </c>
      <c r="B694" s="24" t="inlineStr">
        <is>
          <t>Red / Señal / Conectividad</t>
        </is>
      </c>
      <c r="C694" s="24" t="inlineStr">
        <is>
          <t>¿No conecta a los servicios en línea (PSN, Xbox Live, Nintendo)?</t>
        </is>
      </c>
      <c r="D694" s="25" t="inlineStr">
        <is>
          <t>YNS</t>
        </is>
      </c>
      <c r="E694" s="26">
        <f>IF(OR(A694="",B694=""),"",A694&amp;"|"&amp;B694)</f>
        <v/>
      </c>
      <c r="F694" s="26">
        <f>IF(OR(E694="",C694=""),"",E694&amp;"|"&amp;C694)</f>
        <v/>
      </c>
    </row>
    <row r="695">
      <c r="A695" s="23" t="inlineStr">
        <is>
          <t>Consola</t>
        </is>
      </c>
      <c r="B695" s="24" t="inlineStr">
        <is>
          <t>Red / Señal / Conectividad</t>
        </is>
      </c>
      <c r="C695" s="24" t="inlineStr">
        <is>
          <t>¿Se conecta al Wi-Fi pero no tiene internet?</t>
        </is>
      </c>
      <c r="D695" s="25" t="inlineStr">
        <is>
          <t>YNS</t>
        </is>
      </c>
      <c r="E695" s="26">
        <f>IF(OR(A695="",B695=""),"",A695&amp;"|"&amp;B695)</f>
        <v/>
      </c>
      <c r="F695" s="26">
        <f>IF(OR(E695="",C695=""),"",E695&amp;"|"&amp;C695)</f>
        <v/>
      </c>
    </row>
    <row r="696">
      <c r="A696" s="23" t="inlineStr">
        <is>
          <t>Consola</t>
        </is>
      </c>
      <c r="B696" s="24" t="inlineStr">
        <is>
          <t>Red / Señal / Conectividad</t>
        </is>
      </c>
      <c r="C696" s="24" t="inlineStr">
        <is>
          <t>¿Funciona el Wi-Fi en otro lugar o con otra red?</t>
        </is>
      </c>
      <c r="D696" s="25" t="inlineStr">
        <is>
          <t>YNS</t>
        </is>
      </c>
      <c r="E696" s="26">
        <f>IF(OR(A696="",B696=""),"",A696&amp;"|"&amp;B696)</f>
        <v/>
      </c>
      <c r="F696" s="26">
        <f>IF(OR(E696="",C696=""),"",E696&amp;"|"&amp;C696)</f>
        <v/>
      </c>
    </row>
    <row r="697">
      <c r="A697" s="23" t="inlineStr">
        <is>
          <t>Consola</t>
        </is>
      </c>
      <c r="B697" s="24" t="inlineStr">
        <is>
          <t>Red / Señal / Conectividad</t>
        </is>
      </c>
      <c r="C697" s="24" t="inlineStr">
        <is>
          <t>¿Se desconecta al jugar en línea?</t>
        </is>
      </c>
      <c r="D697" s="25" t="inlineStr">
        <is>
          <t>YNS</t>
        </is>
      </c>
      <c r="E697" s="26">
        <f>IF(OR(A697="",B697=""),"",A697&amp;"|"&amp;B697)</f>
        <v/>
      </c>
      <c r="F697" s="26">
        <f>IF(OR(E697="",C697=""),"",E697&amp;"|"&amp;C697)</f>
        <v/>
      </c>
    </row>
    <row r="698">
      <c r="A698" s="23" t="inlineStr">
        <is>
          <t>Consola</t>
        </is>
      </c>
      <c r="B698" s="24" t="inlineStr">
        <is>
          <t>Lector de disco / Juegos</t>
        </is>
      </c>
      <c r="C698" s="24" t="inlineStr">
        <is>
          <t>¿No lee los discos?</t>
        </is>
      </c>
      <c r="D698" s="25" t="inlineStr">
        <is>
          <t>YNS</t>
        </is>
      </c>
      <c r="E698" s="26">
        <f>IF(OR(A698="",B698=""),"",A698&amp;"|"&amp;B698)</f>
        <v/>
      </c>
      <c r="F698" s="26">
        <f>IF(OR(E698="",C698=""),"",E698&amp;"|"&amp;C698)</f>
        <v/>
      </c>
    </row>
    <row r="699">
      <c r="A699" s="23" t="inlineStr">
        <is>
          <t>Consola</t>
        </is>
      </c>
      <c r="B699" s="24" t="inlineStr">
        <is>
          <t>Lector de disco / Juegos</t>
        </is>
      </c>
      <c r="C699" s="24" t="inlineStr">
        <is>
          <t>¿Expulsa el disco solo?</t>
        </is>
      </c>
      <c r="D699" s="25" t="inlineStr">
        <is>
          <t>YNS</t>
        </is>
      </c>
      <c r="E699" s="26">
        <f>IF(OR(A699="",B699=""),"",A699&amp;"|"&amp;B699)</f>
        <v/>
      </c>
      <c r="F699" s="26">
        <f>IF(OR(E699="",C699=""),"",E699&amp;"|"&amp;C699)</f>
        <v/>
      </c>
    </row>
    <row r="700">
      <c r="A700" s="23" t="inlineStr">
        <is>
          <t>Consola</t>
        </is>
      </c>
      <c r="B700" s="24" t="inlineStr">
        <is>
          <t>Lector de disco / Juegos</t>
        </is>
      </c>
      <c r="C700" s="24" t="inlineStr">
        <is>
          <t>¿Hace ruido al leer el disco?</t>
        </is>
      </c>
      <c r="D700" s="25" t="inlineStr">
        <is>
          <t>YNS</t>
        </is>
      </c>
      <c r="E700" s="26">
        <f>IF(OR(A700="",B700=""),"",A700&amp;"|"&amp;B700)</f>
        <v/>
      </c>
      <c r="F700" s="26">
        <f>IF(OR(E700="",C700=""),"",E700&amp;"|"&amp;C700)</f>
        <v/>
      </c>
    </row>
    <row r="701">
      <c r="A701" s="23" t="inlineStr">
        <is>
          <t>Consola</t>
        </is>
      </c>
      <c r="B701" s="24" t="inlineStr">
        <is>
          <t>Lector de disco / Juegos</t>
        </is>
      </c>
      <c r="C701" s="24" t="inlineStr">
        <is>
          <t>¿Falla con todos los discos o solo con algunos?</t>
        </is>
      </c>
      <c r="D701" s="25" t="inlineStr">
        <is>
          <t>JUE</t>
        </is>
      </c>
      <c r="E701" s="26">
        <f>IF(OR(A701="",B701=""),"",A701&amp;"|"&amp;B701)</f>
        <v/>
      </c>
      <c r="F701" s="26">
        <f>IF(OR(E701="",C701=""),"",E701&amp;"|"&amp;C701)</f>
        <v/>
      </c>
    </row>
    <row r="702">
      <c r="A702" s="23" t="inlineStr">
        <is>
          <t>Consola</t>
        </is>
      </c>
      <c r="B702" s="24" t="inlineStr">
        <is>
          <t>Lector de disco / Juegos</t>
        </is>
      </c>
      <c r="C702" s="24" t="inlineStr">
        <is>
          <t>¿Hay un disco dentro actualmente?</t>
        </is>
      </c>
      <c r="D702" s="25" t="inlineStr">
        <is>
          <t>YNS</t>
        </is>
      </c>
      <c r="E702" s="26">
        <f>IF(OR(A702="",B702=""),"",A702&amp;"|"&amp;B702)</f>
        <v/>
      </c>
      <c r="F702" s="26">
        <f>IF(OR(E702="",C702=""),"",E702&amp;"|"&amp;C702)</f>
        <v/>
      </c>
    </row>
    <row r="703">
      <c r="A703" s="23" t="inlineStr">
        <is>
          <t>Consola</t>
        </is>
      </c>
      <c r="B703" s="24" t="inlineStr">
        <is>
          <t>Control / Mando</t>
        </is>
      </c>
      <c r="C703" s="24" t="inlineStr">
        <is>
          <t>¿El control no carga?</t>
        </is>
      </c>
      <c r="D703" s="25" t="inlineStr">
        <is>
          <t>YNS</t>
        </is>
      </c>
      <c r="E703" s="26">
        <f>IF(OR(A703="",B703=""),"",A703&amp;"|"&amp;B703)</f>
        <v/>
      </c>
      <c r="F703" s="26">
        <f>IF(OR(E703="",C703=""),"",E703&amp;"|"&amp;C703)</f>
        <v/>
      </c>
    </row>
    <row r="704">
      <c r="A704" s="23" t="inlineStr">
        <is>
          <t>Consola</t>
        </is>
      </c>
      <c r="B704" s="24" t="inlineStr">
        <is>
          <t>Control / Mando</t>
        </is>
      </c>
      <c r="C704" s="24" t="inlineStr">
        <is>
          <t>¿El control no sincroniza?</t>
        </is>
      </c>
      <c r="D704" s="25" t="inlineStr">
        <is>
          <t>YNS</t>
        </is>
      </c>
      <c r="E704" s="26">
        <f>IF(OR(A704="",B704=""),"",A704&amp;"|"&amp;B704)</f>
        <v/>
      </c>
      <c r="F704" s="26">
        <f>IF(OR(E704="",C704=""),"",E704&amp;"|"&amp;C704)</f>
        <v/>
      </c>
    </row>
    <row r="705">
      <c r="A705" s="23" t="inlineStr">
        <is>
          <t>Consola</t>
        </is>
      </c>
      <c r="B705" s="24" t="inlineStr">
        <is>
          <t>Control / Mando</t>
        </is>
      </c>
      <c r="C705" s="24" t="inlineStr">
        <is>
          <t>¿Tiene «drift» (el stick se mueve solo)?</t>
        </is>
      </c>
      <c r="D705" s="25" t="inlineStr">
        <is>
          <t>YNS</t>
        </is>
      </c>
      <c r="E705" s="26">
        <f>IF(OR(A705="",B705=""),"",A705&amp;"|"&amp;B705)</f>
        <v/>
      </c>
      <c r="F705" s="26">
        <f>IF(OR(E705="",C705=""),"",E705&amp;"|"&amp;C705)</f>
        <v/>
      </c>
    </row>
    <row r="706">
      <c r="A706" s="23" t="inlineStr">
        <is>
          <t>Consola</t>
        </is>
      </c>
      <c r="B706" s="24" t="inlineStr">
        <is>
          <t>Control / Mando</t>
        </is>
      </c>
      <c r="C706" s="24" t="inlineStr">
        <is>
          <t>¿Fallan botones o gatillos?</t>
        </is>
      </c>
      <c r="D706" s="25" t="inlineStr">
        <is>
          <t>YNS</t>
        </is>
      </c>
      <c r="E706" s="26">
        <f>IF(OR(A706="",B706=""),"",A706&amp;"|"&amp;B706)</f>
        <v/>
      </c>
      <c r="F706" s="26">
        <f>IF(OR(E706="",C706=""),"",E706&amp;"|"&amp;C706)</f>
        <v/>
      </c>
    </row>
    <row r="707">
      <c r="A707" s="23" t="inlineStr">
        <is>
          <t>Consola</t>
        </is>
      </c>
      <c r="B707" s="24" t="inlineStr">
        <is>
          <t>Control / Mando</t>
        </is>
      </c>
      <c r="C707" s="24" t="inlineStr">
        <is>
          <t>¿Ha probado con otro control?</t>
        </is>
      </c>
      <c r="D707" s="25" t="inlineStr">
        <is>
          <t>YNS</t>
        </is>
      </c>
      <c r="E707" s="26">
        <f>IF(OR(A707="",B707=""),"",A707&amp;"|"&amp;B707)</f>
        <v/>
      </c>
      <c r="F707" s="26">
        <f>IF(OR(E707="",C707=""),"",E707&amp;"|"&amp;C707)</f>
        <v/>
      </c>
    </row>
    <row r="708">
      <c r="A708" s="23" t="inlineStr">
        <is>
          <t>Consola</t>
        </is>
      </c>
      <c r="B708" s="24" t="inlineStr">
        <is>
          <t>Control / Mando</t>
        </is>
      </c>
      <c r="C708" s="24" t="inlineStr">
        <is>
          <t>¿Cuántos controles trae?</t>
        </is>
      </c>
      <c r="D708" s="25" t="inlineStr">
        <is>
          <t>NCTRL</t>
        </is>
      </c>
      <c r="E708" s="26">
        <f>IF(OR(A708="",B708=""),"",A708&amp;"|"&amp;B708)</f>
        <v/>
      </c>
      <c r="F708" s="26">
        <f>IF(OR(E708="",C708=""),"",E708&amp;"|"&amp;C708)</f>
        <v/>
      </c>
    </row>
    <row r="709">
      <c r="A709" s="23" t="inlineStr">
        <is>
          <t>Consola</t>
        </is>
      </c>
      <c r="B709" s="24" t="inlineStr">
        <is>
          <t>Control / Mando</t>
        </is>
      </c>
      <c r="C709" s="24" t="inlineStr">
        <is>
          <t>¿La vibración del control falla?</t>
        </is>
      </c>
      <c r="D709" s="25" t="inlineStr">
        <is>
          <t>YNS</t>
        </is>
      </c>
      <c r="E709" s="26">
        <f>IF(OR(A709="",B709=""),"",A709&amp;"|"&amp;B709)</f>
        <v/>
      </c>
      <c r="F709" s="26">
        <f>IF(OR(E709="",C709=""),"",E709&amp;"|"&amp;C709)</f>
        <v/>
      </c>
    </row>
    <row r="710">
      <c r="A710" s="23" t="inlineStr">
        <is>
          <t>Consola</t>
        </is>
      </c>
      <c r="B710" s="24" t="inlineStr">
        <is>
          <t>Control / Mando</t>
        </is>
      </c>
      <c r="C710" s="24" t="inlineStr">
        <is>
          <t>¿El control funciona conectado por cable?</t>
        </is>
      </c>
      <c r="D710" s="25" t="inlineStr">
        <is>
          <t>YNS</t>
        </is>
      </c>
      <c r="E710" s="26">
        <f>IF(OR(A710="",B710=""),"",A710&amp;"|"&amp;B710)</f>
        <v/>
      </c>
      <c r="F710" s="26">
        <f>IF(OR(E710="",C710=""),"",E710&amp;"|"&amp;C710)</f>
        <v/>
      </c>
    </row>
    <row r="711">
      <c r="A711" s="23" t="inlineStr">
        <is>
          <t>Consola</t>
        </is>
      </c>
      <c r="B711" s="24" t="inlineStr">
        <is>
          <t>Control / Mando</t>
        </is>
      </c>
      <c r="C711" s="24" t="inlineStr">
        <is>
          <t>¿La batería del control se agota muy rápido?</t>
        </is>
      </c>
      <c r="D711" s="25" t="inlineStr">
        <is>
          <t>YNS</t>
        </is>
      </c>
      <c r="E711" s="26">
        <f>IF(OR(A711="",B711=""),"",A711&amp;"|"&amp;B711)</f>
        <v/>
      </c>
      <c r="F711" s="26">
        <f>IF(OR(E711="",C711=""),"",E711&amp;"|"&amp;C711)</f>
        <v/>
      </c>
    </row>
    <row r="712">
      <c r="A712" s="23" t="inlineStr">
        <is>
          <t>Consola</t>
        </is>
      </c>
      <c r="B712" s="24" t="inlineStr">
        <is>
          <t>Otra falla</t>
        </is>
      </c>
      <c r="C712" s="24" t="inlineStr">
        <is>
          <t>¿Cuál es la otra falla o condición?</t>
        </is>
      </c>
      <c r="D712" s="25" t="inlineStr">
        <is>
          <t>OTRAF</t>
        </is>
      </c>
      <c r="E712" s="26">
        <f>IF(OR(A712="",B712=""),"",A712&amp;"|"&amp;B712)</f>
        <v/>
      </c>
      <c r="F712" s="26">
        <f>IF(OR(E712="",C712=""),"",E712&amp;"|"&amp;C712)</f>
        <v/>
      </c>
    </row>
    <row r="713">
      <c r="A713" s="23" t="inlineStr">
        <is>
          <t>Consola</t>
        </is>
      </c>
      <c r="B713" s="24" t="inlineStr">
        <is>
          <t>Otra falla</t>
        </is>
      </c>
      <c r="C713" s="24" t="inlineStr">
        <is>
          <t>¿Qué solución ya intentó el cliente?</t>
        </is>
      </c>
      <c r="D713" s="25" t="inlineStr">
        <is>
          <t>SOL</t>
        </is>
      </c>
      <c r="E713" s="26">
        <f>IF(OR(A713="",B713=""),"",A713&amp;"|"&amp;B713)</f>
        <v/>
      </c>
      <c r="F713" s="26">
        <f>IF(OR(E713="",C713=""),"",E713&amp;"|"&amp;C713)</f>
        <v/>
      </c>
    </row>
    <row r="714">
      <c r="A714" s="23" t="inlineStr">
        <is>
          <t>Consola</t>
        </is>
      </c>
      <c r="B714" s="24" t="inlineStr">
        <is>
          <t>Botones / Puertos</t>
        </is>
      </c>
      <c r="C714" s="24" t="inlineStr">
        <is>
          <t>¿El botón de encendido no responde bien?</t>
        </is>
      </c>
      <c r="D714" s="25" t="inlineStr">
        <is>
          <t>YNS</t>
        </is>
      </c>
      <c r="E714" s="26">
        <f>IF(OR(A714="",B714=""),"",A714&amp;"|"&amp;B714)</f>
        <v/>
      </c>
      <c r="F714" s="26">
        <f>IF(OR(E714="",C714=""),"",E714&amp;"|"&amp;C714)</f>
        <v/>
      </c>
    </row>
    <row r="715">
      <c r="A715" s="23" t="inlineStr">
        <is>
          <t>Consola</t>
        </is>
      </c>
      <c r="B715" s="24" t="inlineStr">
        <is>
          <t>Botones / Puertos</t>
        </is>
      </c>
      <c r="C715" s="24" t="inlineStr">
        <is>
          <t>¿El botón de expulsar disco no responde?</t>
        </is>
      </c>
      <c r="D715" s="25" t="inlineStr">
        <is>
          <t>YNS</t>
        </is>
      </c>
      <c r="E715" s="26">
        <f>IF(OR(A715="",B715=""),"",A715&amp;"|"&amp;B715)</f>
        <v/>
      </c>
      <c r="F715" s="26">
        <f>IF(OR(E715="",C715=""),"",E715&amp;"|"&amp;C715)</f>
        <v/>
      </c>
    </row>
    <row r="716">
      <c r="A716" s="23" t="inlineStr">
        <is>
          <t>Consola</t>
        </is>
      </c>
      <c r="B716" s="24" t="inlineStr">
        <is>
          <t>Botones / Puertos</t>
        </is>
      </c>
      <c r="C716" s="24" t="inlineStr">
        <is>
          <t>¿Fallan los puertos USB o HDMI de la consola?</t>
        </is>
      </c>
      <c r="D716" s="25" t="inlineStr">
        <is>
          <t>YNS</t>
        </is>
      </c>
      <c r="E716" s="26">
        <f>IF(OR(A716="",B716=""),"",A716&amp;"|"&amp;B716)</f>
        <v/>
      </c>
      <c r="F716" s="26">
        <f>IF(OR(E716="",C716=""),"",E716&amp;"|"&amp;C716)</f>
        <v/>
      </c>
    </row>
    <row r="717">
      <c r="A717" s="23" t="inlineStr">
        <is>
          <t>Consola</t>
        </is>
      </c>
      <c r="B717" s="24" t="inlineStr">
        <is>
          <t>Software / Actualización</t>
        </is>
      </c>
      <c r="C717" s="24" t="inlineStr">
        <is>
          <t>¿Falló durante una actualización?</t>
        </is>
      </c>
      <c r="D717" s="25" t="inlineStr">
        <is>
          <t>YNS</t>
        </is>
      </c>
      <c r="E717" s="26">
        <f>IF(OR(A717="",B717=""),"",A717&amp;"|"&amp;B717)</f>
        <v/>
      </c>
      <c r="F717" s="26">
        <f>IF(OR(E717="",C717=""),"",E717&amp;"|"&amp;C717)</f>
        <v/>
      </c>
    </row>
    <row r="718">
      <c r="A718" s="23" t="inlineStr">
        <is>
          <t>Consola</t>
        </is>
      </c>
      <c r="B718" s="24" t="inlineStr">
        <is>
          <t>Software / Actualización</t>
        </is>
      </c>
      <c r="C718" s="24" t="inlineStr">
        <is>
          <t>¿Se queda cargando o en el logo después de actualizar?</t>
        </is>
      </c>
      <c r="D718" s="25" t="inlineStr">
        <is>
          <t>YNS</t>
        </is>
      </c>
      <c r="E718" s="26">
        <f>IF(OR(A718="",B718=""),"",A718&amp;"|"&amp;B718)</f>
        <v/>
      </c>
      <c r="F718" s="26">
        <f>IF(OR(E718="",C718=""),"",E718&amp;"|"&amp;C718)</f>
        <v/>
      </c>
    </row>
    <row r="719">
      <c r="A719" s="23" t="inlineStr">
        <is>
          <t>Consola</t>
        </is>
      </c>
      <c r="B719" s="24" t="inlineStr">
        <is>
          <t>Software / Actualización</t>
        </is>
      </c>
      <c r="C719" s="24" t="inlineStr">
        <is>
          <t>¿Necesita restaurarse o formatearse?</t>
        </is>
      </c>
      <c r="D719" s="25" t="inlineStr">
        <is>
          <t>YNS</t>
        </is>
      </c>
      <c r="E719" s="26">
        <f>IF(OR(A719="",B719=""),"",A719&amp;"|"&amp;B719)</f>
        <v/>
      </c>
      <c r="F719" s="26">
        <f>IF(OR(E719="",C719=""),"",E719&amp;"|"&amp;C719)</f>
        <v/>
      </c>
    </row>
    <row r="720">
      <c r="A720" s="23" t="inlineStr">
        <is>
          <t>Consola</t>
        </is>
      </c>
      <c r="B720" s="24" t="inlineStr">
        <is>
          <t>Software / Actualización</t>
        </is>
      </c>
      <c r="C720" s="24" t="inlineStr">
        <is>
          <t>¿Tiene una versión muy antigua del sistema?</t>
        </is>
      </c>
      <c r="D720" s="25" t="inlineStr">
        <is>
          <t>YNS</t>
        </is>
      </c>
      <c r="E720" s="26">
        <f>IF(OR(A720="",B720=""),"",A720&amp;"|"&amp;B720)</f>
        <v/>
      </c>
      <c r="F720" s="26">
        <f>IF(OR(E720="",C720=""),"",E720&amp;"|"&amp;C720)</f>
        <v/>
      </c>
    </row>
    <row r="721">
      <c r="A721" s="23" t="inlineStr">
        <is>
          <t>Consola</t>
        </is>
      </c>
      <c r="B721" s="24" t="inlineStr">
        <is>
          <t>Estado físico</t>
        </is>
      </c>
      <c r="C721" s="24" t="inlineStr">
        <is>
          <t>Estado de la carcasa / chasis</t>
        </is>
      </c>
      <c r="D721" s="25" t="inlineStr">
        <is>
          <t>E_CARC</t>
        </is>
      </c>
      <c r="E721" s="26">
        <f>IF(OR(A721="",B721=""),"",A721&amp;"|"&amp;B721)</f>
        <v/>
      </c>
      <c r="F721" s="26">
        <f>IF(OR(E721="",C721=""),"",E721&amp;"|"&amp;C721)</f>
        <v/>
      </c>
    </row>
    <row r="722">
      <c r="A722" s="23" t="inlineStr">
        <is>
          <t>Consola</t>
        </is>
      </c>
      <c r="B722" s="24" t="inlineStr">
        <is>
          <t>Estado físico</t>
        </is>
      </c>
      <c r="C722" s="24" t="inlineStr">
        <is>
          <t>¿Faltan tornillos?</t>
        </is>
      </c>
      <c r="D722" s="25" t="inlineStr">
        <is>
          <t>YN</t>
        </is>
      </c>
      <c r="E722" s="26">
        <f>IF(OR(A722="",B722=""),"",A722&amp;"|"&amp;B722)</f>
        <v/>
      </c>
      <c r="F722" s="26">
        <f>IF(OR(E722="",C722=""),"",E722&amp;"|"&amp;C722)</f>
        <v/>
      </c>
    </row>
    <row r="723">
      <c r="A723" s="23" t="inlineStr">
        <is>
          <t>Consola</t>
        </is>
      </c>
      <c r="B723" s="24" t="inlineStr">
        <is>
          <t>Estado físico</t>
        </is>
      </c>
      <c r="C723" s="24" t="inlineStr">
        <is>
          <t>¿Hay botones o puertos dañados?</t>
        </is>
      </c>
      <c r="D723" s="25" t="inlineStr">
        <is>
          <t>YN</t>
        </is>
      </c>
      <c r="E723" s="26">
        <f>IF(OR(A723="",B723=""),"",A723&amp;"|"&amp;B723)</f>
        <v/>
      </c>
      <c r="F723" s="26">
        <f>IF(OR(E723="",C723=""),"",E723&amp;"|"&amp;C723)</f>
        <v/>
      </c>
    </row>
    <row r="724">
      <c r="A724" s="23" t="inlineStr">
        <is>
          <t>Consola</t>
        </is>
      </c>
      <c r="B724" s="24" t="inlineStr">
        <is>
          <t>Estado físico</t>
        </is>
      </c>
      <c r="C724" s="24" t="inlineStr">
        <is>
          <t>¿La ventilación / rejillas están tapadas o dañadas?</t>
        </is>
      </c>
      <c r="D724" s="25" t="inlineStr">
        <is>
          <t>YN</t>
        </is>
      </c>
      <c r="E724" s="26">
        <f>IF(OR(A724="",B724=""),"",A724&amp;"|"&amp;B724)</f>
        <v/>
      </c>
      <c r="F724" s="26">
        <f>IF(OR(E724="",C724=""),"",E724&amp;"|"&amp;C724)</f>
        <v/>
      </c>
    </row>
    <row r="725">
      <c r="A725" s="23" t="inlineStr">
        <is>
          <t>Consola</t>
        </is>
      </c>
      <c r="B725" s="24" t="inlineStr">
        <is>
          <t>Estado físico</t>
        </is>
      </c>
      <c r="C725" s="24" t="inlineStr">
        <is>
          <t>¿Hay señales de apertura previa?</t>
        </is>
      </c>
      <c r="D725" s="25" t="inlineStr">
        <is>
          <t>YN</t>
        </is>
      </c>
      <c r="E725" s="26">
        <f>IF(OR(A725="",B725=""),"",A725&amp;"|"&amp;B725)</f>
        <v/>
      </c>
      <c r="F725" s="26">
        <f>IF(OR(E725="",C725=""),"",E725&amp;"|"&amp;C725)</f>
        <v/>
      </c>
    </row>
    <row r="726">
      <c r="A726" s="23" t="inlineStr">
        <is>
          <t>Consola</t>
        </is>
      </c>
      <c r="B726" s="24" t="inlineStr">
        <is>
          <t>Estado físico</t>
        </is>
      </c>
      <c r="C726" s="24" t="inlineStr">
        <is>
          <t>¿Hay señales visibles de humedad?</t>
        </is>
      </c>
      <c r="D726" s="25" t="inlineStr">
        <is>
          <t>YN</t>
        </is>
      </c>
      <c r="E726" s="26">
        <f>IF(OR(A726="",B726=""),"",A726&amp;"|"&amp;B726)</f>
        <v/>
      </c>
      <c r="F726" s="26">
        <f>IF(OR(E726="",C726=""),"",E726&amp;"|"&amp;C726)</f>
        <v/>
      </c>
    </row>
    <row r="727">
      <c r="A727" s="23" t="inlineStr">
        <is>
          <t>Consola</t>
        </is>
      </c>
      <c r="B727" s="24" t="inlineStr">
        <is>
          <t>Estado físico</t>
        </is>
      </c>
      <c r="C727" s="24" t="inlineStr">
        <is>
          <t>¿Qué otro daño visible tiene?</t>
        </is>
      </c>
      <c r="D727" s="25" t="inlineStr">
        <is>
          <t>DANO</t>
        </is>
      </c>
      <c r="E727" s="26">
        <f>IF(OR(A727="",B727=""),"",A727&amp;"|"&amp;B727)</f>
        <v/>
      </c>
      <c r="F727" s="26">
        <f>IF(OR(E727="",C727=""),"",E727&amp;"|"&amp;C727)</f>
        <v/>
      </c>
    </row>
    <row r="728">
      <c r="A728" s="23" t="inlineStr">
        <is>
          <t>Consola</t>
        </is>
      </c>
      <c r="B728" s="24" t="inlineStr">
        <is>
          <t>Estado físico</t>
        </is>
      </c>
      <c r="C728" s="24" t="inlineStr">
        <is>
          <t>¿Faltan gomas o patas de apoyo?</t>
        </is>
      </c>
      <c r="D728" s="25" t="inlineStr">
        <is>
          <t>YN</t>
        </is>
      </c>
      <c r="E728" s="26">
        <f>IF(OR(A728="",B728=""),"",A728&amp;"|"&amp;B728)</f>
        <v/>
      </c>
      <c r="F728" s="26">
        <f>IF(OR(E728="",C728=""),"",E728&amp;"|"&amp;C728)</f>
        <v/>
      </c>
    </row>
    <row r="729">
      <c r="A729" s="23" t="inlineStr">
        <is>
          <t>Consola</t>
        </is>
      </c>
      <c r="B729" s="24" t="inlineStr">
        <is>
          <t>Estado físico</t>
        </is>
      </c>
      <c r="C729" s="24" t="inlineStr">
        <is>
          <t>¿Los sellos de garantía están intactos?</t>
        </is>
      </c>
      <c r="D729" s="25" t="inlineStr">
        <is>
          <t>YN</t>
        </is>
      </c>
      <c r="E729" s="26">
        <f>IF(OR(A729="",B729=""),"",A729&amp;"|"&amp;B729)</f>
        <v/>
      </c>
      <c r="F729" s="26">
        <f>IF(OR(E729="",C729=""),"",E729&amp;"|"&amp;C729)</f>
        <v/>
      </c>
    </row>
    <row r="730">
      <c r="A730" s="23" t="inlineStr">
        <is>
          <t>Consola</t>
        </is>
      </c>
      <c r="B730" s="24" t="inlineStr">
        <is>
          <t>Estado físico</t>
        </is>
      </c>
      <c r="C730" s="24" t="inlineStr">
        <is>
          <t>¿Hay señales de corrosión en puertos o en la bandeja SIM?</t>
        </is>
      </c>
      <c r="D730" s="25" t="inlineStr">
        <is>
          <t>YN</t>
        </is>
      </c>
      <c r="E730" s="26">
        <f>IF(OR(A730="",B730=""),"",A730&amp;"|"&amp;B730)</f>
        <v/>
      </c>
      <c r="F730" s="26">
        <f>IF(OR(E730="",C730=""),"",E730&amp;"|"&amp;C730)</f>
        <v/>
      </c>
    </row>
    <row r="731">
      <c r="A731" s="23" t="inlineStr">
        <is>
          <t>Consola</t>
        </is>
      </c>
      <c r="B731" s="24" t="inlineStr">
        <is>
          <t>Estado al ingresar</t>
        </is>
      </c>
      <c r="C731" s="24" t="inlineStr">
        <is>
          <t>¿Enciende?</t>
        </is>
      </c>
      <c r="D731" s="25" t="inlineStr">
        <is>
          <t>YNC</t>
        </is>
      </c>
      <c r="E731" s="26">
        <f>IF(OR(A731="",B731=""),"",A731&amp;"|"&amp;B731)</f>
        <v/>
      </c>
      <c r="F731" s="26">
        <f>IF(OR(E731="",C731=""),"",E731&amp;"|"&amp;C731)</f>
        <v/>
      </c>
    </row>
    <row r="732">
      <c r="A732" s="23" t="inlineStr">
        <is>
          <t>Consola</t>
        </is>
      </c>
      <c r="B732" s="24" t="inlineStr">
        <is>
          <t>Estado al ingresar</t>
        </is>
      </c>
      <c r="C732" s="24" t="inlineStr">
        <is>
          <t>¿Da imagen?</t>
        </is>
      </c>
      <c r="D732" s="25" t="inlineStr">
        <is>
          <t>YNC</t>
        </is>
      </c>
      <c r="E732" s="26">
        <f>IF(OR(A732="",B732=""),"",A732&amp;"|"&amp;B732)</f>
        <v/>
      </c>
      <c r="F732" s="26">
        <f>IF(OR(E732="",C732=""),"",E732&amp;"|"&amp;C732)</f>
        <v/>
      </c>
    </row>
    <row r="733">
      <c r="A733" s="23" t="inlineStr">
        <is>
          <t>Consola</t>
        </is>
      </c>
      <c r="B733" s="24" t="inlineStr">
        <is>
          <t>Estado al ingresar</t>
        </is>
      </c>
      <c r="C733" s="24" t="inlineStr">
        <is>
          <t>¿Inicia el sistema operativo?</t>
        </is>
      </c>
      <c r="D733" s="25" t="inlineStr">
        <is>
          <t>YNC</t>
        </is>
      </c>
      <c r="E733" s="26">
        <f>IF(OR(A733="",B733=""),"",A733&amp;"|"&amp;B733)</f>
        <v/>
      </c>
      <c r="F733" s="26">
        <f>IF(OR(E733="",C733=""),"",E733&amp;"|"&amp;C733)</f>
        <v/>
      </c>
    </row>
    <row r="734">
      <c r="A734" s="23" t="inlineStr">
        <is>
          <t>Consola</t>
        </is>
      </c>
      <c r="B734" s="24" t="inlineStr">
        <is>
          <t>Estado al ingresar</t>
        </is>
      </c>
      <c r="C734" s="24" t="inlineStr">
        <is>
          <t>¿Carga al conectarlo?</t>
        </is>
      </c>
      <c r="D734" s="25" t="inlineStr">
        <is>
          <t>YNC</t>
        </is>
      </c>
      <c r="E734" s="26">
        <f>IF(OR(A734="",B734=""),"",A734&amp;"|"&amp;B734)</f>
        <v/>
      </c>
      <c r="F734" s="26">
        <f>IF(OR(E734="",C734=""),"",E734&amp;"|"&amp;C734)</f>
        <v/>
      </c>
    </row>
    <row r="735">
      <c r="A735" s="23" t="inlineStr">
        <is>
          <t>Consola</t>
        </is>
      </c>
      <c r="B735" s="24" t="inlineStr">
        <is>
          <t>Estado al ingresar</t>
        </is>
      </c>
      <c r="C735" s="24" t="inlineStr">
        <is>
          <t>¿Reconoce el cargador o la fuente de poder?</t>
        </is>
      </c>
      <c r="D735" s="25" t="inlineStr">
        <is>
          <t>YNC</t>
        </is>
      </c>
      <c r="E735" s="26">
        <f>IF(OR(A735="",B735=""),"",A735&amp;"|"&amp;B735)</f>
        <v/>
      </c>
      <c r="F735" s="26">
        <f>IF(OR(E735="",C735=""),"",E735&amp;"|"&amp;C735)</f>
        <v/>
      </c>
    </row>
    <row r="736">
      <c r="A736" s="23" t="inlineStr">
        <is>
          <t>Consola</t>
        </is>
      </c>
      <c r="B736" s="24" t="inlineStr">
        <is>
          <t>Estado al ingresar</t>
        </is>
      </c>
      <c r="C736" s="24" t="inlineStr">
        <is>
          <t>¿Muestra errores o mensajes al iniciar?</t>
        </is>
      </c>
      <c r="D736" s="25" t="inlineStr">
        <is>
          <t>YNC</t>
        </is>
      </c>
      <c r="E736" s="26">
        <f>IF(OR(A736="",B736=""),"",A736&amp;"|"&amp;B736)</f>
        <v/>
      </c>
      <c r="F736" s="26">
        <f>IF(OR(E736="",C736=""),"",E736&amp;"|"&amp;C736)</f>
        <v/>
      </c>
    </row>
    <row r="737">
      <c r="A737" s="23" t="inlineStr">
        <is>
          <t>Consola</t>
        </is>
      </c>
      <c r="B737" s="24" t="inlineStr">
        <is>
          <t>Accesorios entregados</t>
        </is>
      </c>
      <c r="C737" s="24" t="inlineStr">
        <is>
          <t>¿Entregó cable de poder?</t>
        </is>
      </c>
      <c r="D737" s="25" t="inlineStr">
        <is>
          <t>YN</t>
        </is>
      </c>
      <c r="E737" s="26">
        <f>IF(OR(A737="",B737=""),"",A737&amp;"|"&amp;B737)</f>
        <v/>
      </c>
      <c r="F737" s="26">
        <f>IF(OR(E737="",C737=""),"",E737&amp;"|"&amp;C737)</f>
        <v/>
      </c>
    </row>
    <row r="738">
      <c r="A738" s="23" t="inlineStr">
        <is>
          <t>Consola</t>
        </is>
      </c>
      <c r="B738" s="24" t="inlineStr">
        <is>
          <t>Accesorios entregados</t>
        </is>
      </c>
      <c r="C738" s="24" t="inlineStr">
        <is>
          <t>¿Entregó cable HDMI?</t>
        </is>
      </c>
      <c r="D738" s="25" t="inlineStr">
        <is>
          <t>YN</t>
        </is>
      </c>
      <c r="E738" s="26">
        <f>IF(OR(A738="",B738=""),"",A738&amp;"|"&amp;B738)</f>
        <v/>
      </c>
      <c r="F738" s="26">
        <f>IF(OR(E738="",C738=""),"",E738&amp;"|"&amp;C738)</f>
        <v/>
      </c>
    </row>
    <row r="739">
      <c r="A739" s="23" t="inlineStr">
        <is>
          <t>Consola</t>
        </is>
      </c>
      <c r="B739" s="24" t="inlineStr">
        <is>
          <t>Accesorios entregados</t>
        </is>
      </c>
      <c r="C739" s="24" t="inlineStr">
        <is>
          <t>¿Entregó control(es)?</t>
        </is>
      </c>
      <c r="D739" s="25" t="inlineStr">
        <is>
          <t>YN</t>
        </is>
      </c>
      <c r="E739" s="26">
        <f>IF(OR(A739="",B739=""),"",A739&amp;"|"&amp;B739)</f>
        <v/>
      </c>
      <c r="F739" s="26">
        <f>IF(OR(E739="",C739=""),"",E739&amp;"|"&amp;C739)</f>
        <v/>
      </c>
    </row>
    <row r="740">
      <c r="A740" s="23" t="inlineStr">
        <is>
          <t>Consola</t>
        </is>
      </c>
      <c r="B740" s="24" t="inlineStr">
        <is>
          <t>Accesorios entregados</t>
        </is>
      </c>
      <c r="C740" s="24" t="inlineStr">
        <is>
          <t>¿Entregó base / dock?</t>
        </is>
      </c>
      <c r="D740" s="25" t="inlineStr">
        <is>
          <t>YN</t>
        </is>
      </c>
      <c r="E740" s="26">
        <f>IF(OR(A740="",B740=""),"",A740&amp;"|"&amp;B740)</f>
        <v/>
      </c>
      <c r="F740" s="26">
        <f>IF(OR(E740="",C740=""),"",E740&amp;"|"&amp;C740)</f>
        <v/>
      </c>
    </row>
    <row r="741">
      <c r="A741" s="23" t="inlineStr">
        <is>
          <t>Consola</t>
        </is>
      </c>
      <c r="B741" s="24" t="inlineStr">
        <is>
          <t>Accesorios entregados</t>
        </is>
      </c>
      <c r="C741" s="24" t="inlineStr">
        <is>
          <t>¿Entregó discos o juegos?</t>
        </is>
      </c>
      <c r="D741" s="25" t="inlineStr">
        <is>
          <t>YN</t>
        </is>
      </c>
      <c r="E741" s="26">
        <f>IF(OR(A741="",B741=""),"",A741&amp;"|"&amp;B741)</f>
        <v/>
      </c>
      <c r="F741" s="26">
        <f>IF(OR(E741="",C741=""),"",E741&amp;"|"&amp;C741)</f>
        <v/>
      </c>
    </row>
    <row r="742">
      <c r="A742" s="23" t="inlineStr">
        <is>
          <t>Consola</t>
        </is>
      </c>
      <c r="B742" s="24" t="inlineStr">
        <is>
          <t>Accesorios entregados</t>
        </is>
      </c>
      <c r="C742" s="24" t="inlineStr">
        <is>
          <t>¿Entregó cable USB / carga?</t>
        </is>
      </c>
      <c r="D742" s="25" t="inlineStr">
        <is>
          <t>YN</t>
        </is>
      </c>
      <c r="E742" s="26">
        <f>IF(OR(A742="",B742=""),"",A742&amp;"|"&amp;B742)</f>
        <v/>
      </c>
      <c r="F742" s="26">
        <f>IF(OR(E742="",C742=""),"",E742&amp;"|"&amp;C742)</f>
        <v/>
      </c>
    </row>
    <row r="743">
      <c r="A743" s="23" t="inlineStr">
        <is>
          <t>Consola</t>
        </is>
      </c>
      <c r="B743" s="24" t="inlineStr">
        <is>
          <t>Accesorios entregados</t>
        </is>
      </c>
      <c r="C743" s="24" t="inlineStr">
        <is>
          <t>¿Entregó otro accesorio?</t>
        </is>
      </c>
      <c r="D743" s="25" t="inlineStr">
        <is>
          <t>YN</t>
        </is>
      </c>
      <c r="E743" s="26">
        <f>IF(OR(A743="",B743=""),"",A743&amp;"|"&amp;B743)</f>
        <v/>
      </c>
      <c r="F743" s="26">
        <f>IF(OR(E743="",C743=""),"",E743&amp;"|"&amp;C743)</f>
        <v/>
      </c>
    </row>
    <row r="744">
      <c r="A744" s="23" t="inlineStr">
        <is>
          <t>Consola</t>
        </is>
      </c>
      <c r="B744" s="24" t="inlineStr">
        <is>
          <t>Accesorios entregados</t>
        </is>
      </c>
      <c r="C744" s="24" t="inlineStr">
        <is>
          <t>¿Entregó la caja original?</t>
        </is>
      </c>
      <c r="D744" s="25" t="inlineStr">
        <is>
          <t>YN</t>
        </is>
      </c>
      <c r="E744" s="26">
        <f>IF(OR(A744="",B744=""),"",A744&amp;"|"&amp;B744)</f>
        <v/>
      </c>
      <c r="F744" s="26">
        <f>IF(OR(E744="",C744=""),"",E744&amp;"|"&amp;C744)</f>
        <v/>
      </c>
    </row>
    <row r="745">
      <c r="A745" s="23" t="inlineStr">
        <is>
          <t>Consola</t>
        </is>
      </c>
      <c r="B745" s="24" t="inlineStr">
        <is>
          <t>Accesorios entregados</t>
        </is>
      </c>
      <c r="C745" s="24" t="inlineStr">
        <is>
          <t>¿Entregó factura o comprobante de compra?</t>
        </is>
      </c>
      <c r="D745" s="25" t="inlineStr">
        <is>
          <t>YN</t>
        </is>
      </c>
      <c r="E745" s="26">
        <f>IF(OR(A745="",B745=""),"",A745&amp;"|"&amp;B745)</f>
        <v/>
      </c>
      <c r="F745" s="26">
        <f>IF(OR(E745="",C745=""),"",E745&amp;"|"&amp;C745)</f>
        <v/>
      </c>
    </row>
    <row r="746">
      <c r="A746" s="23" t="inlineStr">
        <is>
          <t>Consola</t>
        </is>
      </c>
      <c r="B746" s="24" t="inlineStr">
        <is>
          <t>Accesorios entregados</t>
        </is>
      </c>
      <c r="C746" s="24" t="inlineStr">
        <is>
          <t>¿Entregó la tarjeta de garantía?</t>
        </is>
      </c>
      <c r="D746" s="25" t="inlineStr">
        <is>
          <t>YN</t>
        </is>
      </c>
      <c r="E746" s="26">
        <f>IF(OR(A746="",B746=""),"",A746&amp;"|"&amp;B746)</f>
        <v/>
      </c>
      <c r="F746" s="26">
        <f>IF(OR(E746="",C746=""),"",E746&amp;"|"&amp;C746)</f>
        <v/>
      </c>
    </row>
    <row r="747">
      <c r="A747" s="23" t="inlineStr">
        <is>
          <t>Consola</t>
        </is>
      </c>
      <c r="B747" s="24" t="inlineStr">
        <is>
          <t>Accesorios entregados</t>
        </is>
      </c>
      <c r="C747" s="24" t="inlineStr">
        <is>
          <t>¿Entregó memoria externa o disco duro?</t>
        </is>
      </c>
      <c r="D747" s="25" t="inlineStr">
        <is>
          <t>YN</t>
        </is>
      </c>
      <c r="E747" s="26">
        <f>IF(OR(A747="",B747=""),"",A747&amp;"|"&amp;B747)</f>
        <v/>
      </c>
      <c r="F747" s="26">
        <f>IF(OR(E747="",C747=""),"",E747&amp;"|"&amp;C747)</f>
        <v/>
      </c>
    </row>
    <row r="748">
      <c r="A748" s="23" t="inlineStr">
        <is>
          <t>Consola</t>
        </is>
      </c>
      <c r="B748" s="24" t="inlineStr">
        <is>
          <t>Fotografías de recepción</t>
        </is>
      </c>
      <c r="C748" s="24" t="inlineStr">
        <is>
          <t>¿Se tomó la foto frontal?</t>
        </is>
      </c>
      <c r="D748" s="25" t="inlineStr">
        <is>
          <t>YN</t>
        </is>
      </c>
      <c r="E748" s="26">
        <f>IF(OR(A748="",B748=""),"",A748&amp;"|"&amp;B748)</f>
        <v/>
      </c>
      <c r="F748" s="26">
        <f>IF(OR(E748="",C748=""),"",E748&amp;"|"&amp;C748)</f>
        <v/>
      </c>
    </row>
    <row r="749">
      <c r="A749" s="23" t="inlineStr">
        <is>
          <t>Consola</t>
        </is>
      </c>
      <c r="B749" s="24" t="inlineStr">
        <is>
          <t>Fotografías de recepción</t>
        </is>
      </c>
      <c r="C749" s="24" t="inlineStr">
        <is>
          <t>¿Se tomó la foto posterior?</t>
        </is>
      </c>
      <c r="D749" s="25" t="inlineStr">
        <is>
          <t>YN</t>
        </is>
      </c>
      <c r="E749" s="26">
        <f>IF(OR(A749="",B749=""),"",A749&amp;"|"&amp;B749)</f>
        <v/>
      </c>
      <c r="F749" s="26">
        <f>IF(OR(E749="",C749=""),"",E749&amp;"|"&amp;C749)</f>
        <v/>
      </c>
    </row>
    <row r="750">
      <c r="A750" s="23" t="inlineStr">
        <is>
          <t>Consola</t>
        </is>
      </c>
      <c r="B750" s="24" t="inlineStr">
        <is>
          <t>Fotografías de recepción</t>
        </is>
      </c>
      <c r="C750" s="24" t="inlineStr">
        <is>
          <t>¿Se tomaron las fotos laterales?</t>
        </is>
      </c>
      <c r="D750" s="25" t="inlineStr">
        <is>
          <t>YN</t>
        </is>
      </c>
      <c r="E750" s="26">
        <f>IF(OR(A750="",B750=""),"",A750&amp;"|"&amp;B750)</f>
        <v/>
      </c>
      <c r="F750" s="26">
        <f>IF(OR(E750="",C750=""),"",E750&amp;"|"&amp;C750)</f>
        <v/>
      </c>
    </row>
    <row r="751">
      <c r="A751" s="23" t="inlineStr">
        <is>
          <t>Consola</t>
        </is>
      </c>
      <c r="B751" s="24" t="inlineStr">
        <is>
          <t>Fotografías de recepción</t>
        </is>
      </c>
      <c r="C751" s="24" t="inlineStr">
        <is>
          <t>¿Se tomó la foto del serial / IMEI?</t>
        </is>
      </c>
      <c r="D751" s="25" t="inlineStr">
        <is>
          <t>YN</t>
        </is>
      </c>
      <c r="E751" s="26">
        <f>IF(OR(A751="",B751=""),"",A751&amp;"|"&amp;B751)</f>
        <v/>
      </c>
      <c r="F751" s="26">
        <f>IF(OR(E751="",C751=""),"",E751&amp;"|"&amp;C751)</f>
        <v/>
      </c>
    </row>
    <row r="752">
      <c r="A752" s="23" t="inlineStr">
        <is>
          <t>Consola</t>
        </is>
      </c>
      <c r="B752" s="24" t="inlineStr">
        <is>
          <t>Fotografías de recepción</t>
        </is>
      </c>
      <c r="C752" s="24" t="inlineStr">
        <is>
          <t>¿Se tomó la foto de los daños existentes?</t>
        </is>
      </c>
      <c r="D752" s="25" t="inlineStr">
        <is>
          <t>YN</t>
        </is>
      </c>
      <c r="E752" s="26">
        <f>IF(OR(A752="",B752=""),"",A752&amp;"|"&amp;B752)</f>
        <v/>
      </c>
      <c r="F752" s="26">
        <f>IF(OR(E752="",C752=""),"",E752&amp;"|"&amp;C752)</f>
        <v/>
      </c>
    </row>
    <row r="753">
      <c r="A753" s="23" t="inlineStr">
        <is>
          <t>Consola</t>
        </is>
      </c>
      <c r="B753" s="24" t="inlineStr">
        <is>
          <t>Fotografías de recepción</t>
        </is>
      </c>
      <c r="C753" s="24" t="inlineStr">
        <is>
          <t>¿Se tomó un video del equipo al ingresar?</t>
        </is>
      </c>
      <c r="D753" s="25" t="inlineStr">
        <is>
          <t>YN</t>
        </is>
      </c>
      <c r="E753" s="26">
        <f>IF(OR(A753="",B753=""),"",A753&amp;"|"&amp;B753)</f>
        <v/>
      </c>
      <c r="F753" s="26">
        <f>IF(OR(E753="",C753=""),"",E753&amp;"|"&amp;C753)</f>
        <v/>
      </c>
    </row>
    <row r="754">
      <c r="A754" s="23" t="inlineStr">
        <is>
          <t>Consola</t>
        </is>
      </c>
      <c r="B754" s="24" t="inlineStr">
        <is>
          <t>Fotografías de recepción</t>
        </is>
      </c>
      <c r="C754" s="24" t="inlineStr">
        <is>
          <t>¿Se fotografiaron los accesorios entregados?</t>
        </is>
      </c>
      <c r="D754" s="25" t="inlineStr">
        <is>
          <t>YN</t>
        </is>
      </c>
      <c r="E754" s="26">
        <f>IF(OR(A754="",B754=""),"",A754&amp;"|"&amp;B754)</f>
        <v/>
      </c>
      <c r="F754" s="26">
        <f>IF(OR(E754="",C754=""),"",E754&amp;"|"&amp;C754)</f>
        <v/>
      </c>
    </row>
    <row r="755">
      <c r="A755" s="23" t="inlineStr">
        <is>
          <t>Consola</t>
        </is>
      </c>
      <c r="B755" s="24" t="inlineStr">
        <is>
          <t>Pruebas funcionales de ingreso</t>
        </is>
      </c>
      <c r="C755" s="24" t="inlineStr">
        <is>
          <t>¿Funciona: lector de disco?</t>
        </is>
      </c>
      <c r="D755" s="25" t="inlineStr">
        <is>
          <t>FUN</t>
        </is>
      </c>
      <c r="E755" s="26">
        <f>IF(OR(A755="",B755=""),"",A755&amp;"|"&amp;B755)</f>
        <v/>
      </c>
      <c r="F755" s="26">
        <f>IF(OR(E755="",C755=""),"",E755&amp;"|"&amp;C755)</f>
        <v/>
      </c>
    </row>
    <row r="756">
      <c r="A756" s="23" t="inlineStr">
        <is>
          <t>Consola</t>
        </is>
      </c>
      <c r="B756" s="24" t="inlineStr">
        <is>
          <t>Pruebas funcionales de ingreso</t>
        </is>
      </c>
      <c r="C756" s="24" t="inlineStr">
        <is>
          <t>¿Funciona: salida HDMI / video?</t>
        </is>
      </c>
      <c r="D756" s="25" t="inlineStr">
        <is>
          <t>FUN</t>
        </is>
      </c>
      <c r="E756" s="26">
        <f>IF(OR(A756="",B756=""),"",A756&amp;"|"&amp;B756)</f>
        <v/>
      </c>
      <c r="F756" s="26">
        <f>IF(OR(E756="",C756=""),"",E756&amp;"|"&amp;C756)</f>
        <v/>
      </c>
    </row>
    <row r="757">
      <c r="A757" s="23" t="inlineStr">
        <is>
          <t>Consola</t>
        </is>
      </c>
      <c r="B757" s="24" t="inlineStr">
        <is>
          <t>Pruebas funcionales de ingreso</t>
        </is>
      </c>
      <c r="C757" s="24" t="inlineStr">
        <is>
          <t>¿Funciona: puertos USB?</t>
        </is>
      </c>
      <c r="D757" s="25" t="inlineStr">
        <is>
          <t>FUN</t>
        </is>
      </c>
      <c r="E757" s="26">
        <f>IF(OR(A757="",B757=""),"",A757&amp;"|"&amp;B757)</f>
        <v/>
      </c>
      <c r="F757" s="26">
        <f>IF(OR(E757="",C757=""),"",E757&amp;"|"&amp;C757)</f>
        <v/>
      </c>
    </row>
    <row r="758">
      <c r="A758" s="23" t="inlineStr">
        <is>
          <t>Consola</t>
        </is>
      </c>
      <c r="B758" s="24" t="inlineStr">
        <is>
          <t>Pruebas funcionales de ingreso</t>
        </is>
      </c>
      <c r="C758" s="24" t="inlineStr">
        <is>
          <t>¿Funciona: Wi-Fi?</t>
        </is>
      </c>
      <c r="D758" s="25" t="inlineStr">
        <is>
          <t>FUN</t>
        </is>
      </c>
      <c r="E758" s="26">
        <f>IF(OR(A758="",B758=""),"",A758&amp;"|"&amp;B758)</f>
        <v/>
      </c>
      <c r="F758" s="26">
        <f>IF(OR(E758="",C758=""),"",E758&amp;"|"&amp;C758)</f>
        <v/>
      </c>
    </row>
    <row r="759">
      <c r="A759" s="23" t="inlineStr">
        <is>
          <t>Consola</t>
        </is>
      </c>
      <c r="B759" s="24" t="inlineStr">
        <is>
          <t>Pruebas funcionales de ingreso</t>
        </is>
      </c>
      <c r="C759" s="24" t="inlineStr">
        <is>
          <t>¿Funciona: control(es)?</t>
        </is>
      </c>
      <c r="D759" s="25" t="inlineStr">
        <is>
          <t>FUN</t>
        </is>
      </c>
      <c r="E759" s="26">
        <f>IF(OR(A759="",B759=""),"",A759&amp;"|"&amp;B759)</f>
        <v/>
      </c>
      <c r="F759" s="26">
        <f>IF(OR(E759="",C759=""),"",E759&amp;"|"&amp;C759)</f>
        <v/>
      </c>
    </row>
    <row r="760">
      <c r="A760" s="23" t="inlineStr">
        <is>
          <t>Consola</t>
        </is>
      </c>
      <c r="B760" s="24" t="inlineStr">
        <is>
          <t>Pruebas funcionales de ingreso</t>
        </is>
      </c>
      <c r="C760" s="24" t="inlineStr">
        <is>
          <t>¿Funciona: ventilador (sin ruido anormal)?</t>
        </is>
      </c>
      <c r="D760" s="25" t="inlineStr">
        <is>
          <t>FUN</t>
        </is>
      </c>
      <c r="E760" s="26">
        <f>IF(OR(A760="",B760=""),"",A760&amp;"|"&amp;B760)</f>
        <v/>
      </c>
      <c r="F760" s="26">
        <f>IF(OR(E760="",C760=""),"",E760&amp;"|"&amp;C760)</f>
        <v/>
      </c>
    </row>
    <row r="761">
      <c r="A761" s="23" t="inlineStr">
        <is>
          <t>Consola</t>
        </is>
      </c>
      <c r="B761" s="24" t="inlineStr">
        <is>
          <t>Pruebas funcionales de ingreso</t>
        </is>
      </c>
      <c r="C761" s="24" t="inlineStr">
        <is>
          <t>¿Funciona: audio?</t>
        </is>
      </c>
      <c r="D761" s="25" t="inlineStr">
        <is>
          <t>FUN</t>
        </is>
      </c>
      <c r="E761" s="26">
        <f>IF(OR(A761="",B761=""),"",A761&amp;"|"&amp;B761)</f>
        <v/>
      </c>
      <c r="F761" s="26">
        <f>IF(OR(E761="",C761=""),"",E761&amp;"|"&amp;C761)</f>
        <v/>
      </c>
    </row>
    <row r="762">
      <c r="A762" s="23" t="inlineStr">
        <is>
          <t>Consola</t>
        </is>
      </c>
      <c r="B762" s="24" t="inlineStr">
        <is>
          <t>Pruebas funcionales de ingreso</t>
        </is>
      </c>
      <c r="C762" s="24" t="inlineStr">
        <is>
          <t>¿Funciona: Bluetooth?</t>
        </is>
      </c>
      <c r="D762" s="25" t="inlineStr">
        <is>
          <t>FUN</t>
        </is>
      </c>
      <c r="E762" s="26">
        <f>IF(OR(A762="",B762=""),"",A762&amp;"|"&amp;B762)</f>
        <v/>
      </c>
      <c r="F762" s="26">
        <f>IF(OR(E762="",C762=""),"",E762&amp;"|"&amp;C762)</f>
        <v/>
      </c>
    </row>
    <row r="763">
      <c r="A763" s="23" t="inlineStr">
        <is>
          <t>Consola</t>
        </is>
      </c>
      <c r="B763" s="24" t="inlineStr">
        <is>
          <t>Pruebas funcionales de ingreso</t>
        </is>
      </c>
      <c r="C763" s="24" t="inlineStr">
        <is>
          <t>¿Funciona: lector de memoria o disco externo?</t>
        </is>
      </c>
      <c r="D763" s="25" t="inlineStr">
        <is>
          <t>FUN</t>
        </is>
      </c>
      <c r="E763" s="26">
        <f>IF(OR(A763="",B763=""),"",A763&amp;"|"&amp;B763)</f>
        <v/>
      </c>
      <c r="F763" s="26">
        <f>IF(OR(E763="",C763=""),"",E763&amp;"|"&amp;C763)</f>
        <v/>
      </c>
    </row>
    <row r="764">
      <c r="A764" s="23" t="inlineStr">
        <is>
          <t>Consola</t>
        </is>
      </c>
      <c r="B764" s="24" t="inlineStr">
        <is>
          <t>Pruebas funcionales de ingreso</t>
        </is>
      </c>
      <c r="C764" s="24" t="inlineStr">
        <is>
          <t>¿Funciona: sincronización del control?</t>
        </is>
      </c>
      <c r="D764" s="25" t="inlineStr">
        <is>
          <t>FUN</t>
        </is>
      </c>
      <c r="E764" s="26">
        <f>IF(OR(A764="",B764=""),"",A764&amp;"|"&amp;B764)</f>
        <v/>
      </c>
      <c r="F764" s="26">
        <f>IF(OR(E764="",C764=""),"",E764&amp;"|"&amp;C764)</f>
        <v/>
      </c>
    </row>
    <row r="765">
      <c r="A765" s="23" t="inlineStr">
        <is>
          <t>Consola</t>
        </is>
      </c>
      <c r="B765" s="24" t="inlineStr">
        <is>
          <t>Autorizaciones</t>
        </is>
      </c>
      <c r="C765" s="24" t="inlineStr">
        <is>
          <t>¿El cliente autoriza el contacto por WhatsApp para informar el diagnóstico?</t>
        </is>
      </c>
      <c r="D765" s="25" t="inlineStr">
        <is>
          <t>YN</t>
        </is>
      </c>
      <c r="E765" s="26">
        <f>IF(OR(A765="",B765=""),"",A765&amp;"|"&amp;B765)</f>
        <v/>
      </c>
      <c r="F765" s="26">
        <f>IF(OR(E765="",C765=""),"",E765&amp;"|"&amp;C765)</f>
        <v/>
      </c>
    </row>
    <row r="766">
      <c r="A766" s="23" t="inlineStr">
        <is>
          <t>Consola</t>
        </is>
      </c>
      <c r="B766" s="24" t="inlineStr">
        <is>
          <t>Autorizaciones</t>
        </is>
      </c>
      <c r="C766" s="24" t="inlineStr">
        <is>
          <t>¿El cliente autoriza el envío de fotos del equipo?</t>
        </is>
      </c>
      <c r="D766" s="25" t="inlineStr">
        <is>
          <t>YN</t>
        </is>
      </c>
      <c r="E766" s="26">
        <f>IF(OR(A766="",B766=""),"",A766&amp;"|"&amp;B766)</f>
        <v/>
      </c>
      <c r="F766" s="26">
        <f>IF(OR(E766="",C766=""),"",E766&amp;"|"&amp;C766)</f>
        <v/>
      </c>
    </row>
    <row r="767">
      <c r="A767" s="23" t="inlineStr">
        <is>
          <t>Consola</t>
        </is>
      </c>
      <c r="B767" s="24" t="inlineStr">
        <is>
          <t>Autorizaciones</t>
        </is>
      </c>
      <c r="C767" s="24" t="inlineStr">
        <is>
          <t>¿Se le informó al cliente si el diagnóstico tiene costo?</t>
        </is>
      </c>
      <c r="D767" s="25" t="inlineStr">
        <is>
          <t>YN</t>
        </is>
      </c>
      <c r="E767" s="26">
        <f>IF(OR(A767="",B767=""),"",A767&amp;"|"&amp;B767)</f>
        <v/>
      </c>
      <c r="F767" s="26">
        <f>IF(OR(E767="",C767=""),"",E767&amp;"|"&amp;C767)</f>
        <v/>
      </c>
    </row>
    <row r="768">
      <c r="A768" s="23" t="inlineStr">
        <is>
          <t>Consola</t>
        </is>
      </c>
      <c r="B768" s="24" t="inlineStr">
        <is>
          <t>Autorizaciones</t>
        </is>
      </c>
      <c r="C768" s="24" t="inlineStr">
        <is>
          <t>¿Se le entregó copia de la orden de recepción?</t>
        </is>
      </c>
      <c r="D768" s="25" t="inlineStr">
        <is>
          <t>YN</t>
        </is>
      </c>
      <c r="E768" s="26">
        <f>IF(OR(A768="",B768=""),"",A768&amp;"|"&amp;B768)</f>
        <v/>
      </c>
      <c r="F768" s="26">
        <f>IF(OR(E768="",C768=""),"",E768&amp;"|"&amp;C768)</f>
        <v/>
      </c>
    </row>
    <row r="769">
      <c r="A769" s="23" t="inlineStr">
        <is>
          <t>Consola</t>
        </is>
      </c>
      <c r="B769" s="24" t="inlineStr">
        <is>
          <t>Autorizaciones</t>
        </is>
      </c>
      <c r="C769" s="24" t="inlineStr">
        <is>
          <t>¿El cliente autoriza el diagnóstico técnico del equipo?</t>
        </is>
      </c>
      <c r="D769" s="25" t="inlineStr">
        <is>
          <t>YN</t>
        </is>
      </c>
      <c r="E769" s="26">
        <f>IF(OR(A769="",B769=""),"",A769&amp;"|"&amp;B769)</f>
        <v/>
      </c>
      <c r="F769" s="26">
        <f>IF(OR(E769="",C769=""),"",E769&amp;"|"&amp;C769)</f>
        <v/>
      </c>
    </row>
    <row r="770">
      <c r="A770" s="23" t="inlineStr">
        <is>
          <t>Consola</t>
        </is>
      </c>
      <c r="B770" s="24" t="inlineStr">
        <is>
          <t>Autorizaciones</t>
        </is>
      </c>
      <c r="C770" s="24" t="inlineStr">
        <is>
          <t>¿El cliente declara haber informado golpes, líquidos, reparaciones anteriores y fallas conocidas?</t>
        </is>
      </c>
      <c r="D770" s="25" t="inlineStr">
        <is>
          <t>YN</t>
        </is>
      </c>
      <c r="E770" s="26">
        <f>IF(OR(A770="",B770=""),"",A770&amp;"|"&amp;B770)</f>
        <v/>
      </c>
      <c r="F770" s="26">
        <f>IF(OR(E770="",C770=""),"",E770&amp;"|"&amp;C770)</f>
        <v/>
      </c>
    </row>
    <row r="771">
      <c r="A771" s="23" t="inlineStr">
        <is>
          <t>Consola</t>
        </is>
      </c>
      <c r="B771" s="24" t="inlineStr">
        <is>
          <t>Autorizaciones</t>
        </is>
      </c>
      <c r="C771" s="24" t="inlineStr">
        <is>
          <t>¿El cliente entiende que RCP no responde por información sin respaldo cuando se intervenga almacenamiento o sistema operativo?</t>
        </is>
      </c>
      <c r="D771" s="25" t="inlineStr">
        <is>
          <t>YN</t>
        </is>
      </c>
      <c r="E771" s="26">
        <f>IF(OR(A771="",B771=""),"",A771&amp;"|"&amp;B771)</f>
        <v/>
      </c>
      <c r="F771" s="26">
        <f>IF(OR(E771="",C771=""),"",E771&amp;"|"&amp;C771)</f>
        <v/>
      </c>
    </row>
    <row r="772">
      <c r="A772" s="23" t="inlineStr">
        <is>
          <t>Consola</t>
        </is>
      </c>
      <c r="B772" s="24" t="inlineStr">
        <is>
          <t>Autorizaciones</t>
        </is>
      </c>
      <c r="C772" s="24" t="inlineStr">
        <is>
          <t>¿El cliente autoriza las pruebas funcionales necesarias para comprobar la reparación?</t>
        </is>
      </c>
      <c r="D772" s="25" t="inlineStr">
        <is>
          <t>YN</t>
        </is>
      </c>
      <c r="E772" s="26">
        <f>IF(OR(A772="",B772=""),"",A772&amp;"|"&amp;B772)</f>
        <v/>
      </c>
      <c r="F772" s="26">
        <f>IF(OR(E772="",C772=""),"",E772&amp;"|"&amp;C772)</f>
        <v/>
      </c>
    </row>
    <row r="773">
      <c r="A773" s="23" t="inlineStr">
        <is>
          <t>Consola</t>
        </is>
      </c>
      <c r="B773" s="24" t="inlineStr">
        <is>
          <t>Autorizaciones</t>
        </is>
      </c>
      <c r="C773" s="24" t="inlineStr">
        <is>
          <t>¿Cómo se maneja la contraseña / PIN para las pruebas?</t>
        </is>
      </c>
      <c r="D773" s="25" t="inlineStr">
        <is>
          <t>PIN</t>
        </is>
      </c>
      <c r="E773" s="26">
        <f>IF(OR(A773="",B773=""),"",A773&amp;"|"&amp;B773)</f>
        <v/>
      </c>
      <c r="F773" s="26">
        <f>IF(OR(E773="",C773=""),"",E773&amp;"|"&amp;C773)</f>
        <v/>
      </c>
    </row>
    <row r="774">
      <c r="A774" s="23" t="inlineStr">
        <is>
          <t>Consola</t>
        </is>
      </c>
      <c r="B774" s="24" t="inlineStr">
        <is>
          <t>Autorizaciones</t>
        </is>
      </c>
      <c r="C774" s="24" t="inlineStr">
        <is>
          <t>¿El cliente firmó la orden de recepción?</t>
        </is>
      </c>
      <c r="D774" s="25" t="inlineStr">
        <is>
          <t>YN</t>
        </is>
      </c>
      <c r="E774" s="26">
        <f>IF(OR(A774="",B774=""),"",A774&amp;"|"&amp;B774)</f>
        <v/>
      </c>
      <c r="F774" s="26">
        <f>IF(OR(E774="",C774=""),"",E774&amp;"|"&amp;C774)</f>
        <v/>
      </c>
    </row>
    <row r="775">
      <c r="A775" s="23" t="inlineStr">
        <is>
          <t>Consola</t>
        </is>
      </c>
      <c r="B775" s="24" t="inlineStr">
        <is>
          <t>Autorizaciones</t>
        </is>
      </c>
      <c r="C775" s="24" t="inlineStr">
        <is>
          <t>Contraseña / PIN (escríbalo solo si el cliente lo proporciona)</t>
        </is>
      </c>
      <c r="D775" s="25" t="inlineStr">
        <is>
          <t>TXT</t>
        </is>
      </c>
      <c r="E775" s="26">
        <f>IF(OR(A775="",B775=""),"",A775&amp;"|"&amp;B775)</f>
        <v/>
      </c>
      <c r="F775" s="26">
        <f>IF(OR(E775="",C775=""),"",E775&amp;"|"&amp;C775)</f>
        <v/>
      </c>
    </row>
    <row r="776">
      <c r="E776" s="26">
        <f>IF(OR(A776="",B776=""),"",A776&amp;"|"&amp;B776)</f>
        <v/>
      </c>
      <c r="F776" s="26">
        <f>IF(OR(E776="",C776=""),"",E776&amp;"|"&amp;C776)</f>
        <v/>
      </c>
    </row>
    <row r="777">
      <c r="E777" s="26">
        <f>IF(OR(A777="",B777=""),"",A777&amp;"|"&amp;B777)</f>
        <v/>
      </c>
      <c r="F777" s="26">
        <f>IF(OR(E777="",C777=""),"",E777&amp;"|"&amp;C777)</f>
        <v/>
      </c>
    </row>
    <row r="778">
      <c r="E778" s="26">
        <f>IF(OR(A778="",B778=""),"",A778&amp;"|"&amp;B778)</f>
        <v/>
      </c>
      <c r="F778" s="26">
        <f>IF(OR(E778="",C778=""),"",E778&amp;"|"&amp;C778)</f>
        <v/>
      </c>
    </row>
    <row r="779">
      <c r="E779" s="26">
        <f>IF(OR(A779="",B779=""),"",A779&amp;"|"&amp;B779)</f>
        <v/>
      </c>
      <c r="F779" s="26">
        <f>IF(OR(E779="",C779=""),"",E779&amp;"|"&amp;C779)</f>
        <v/>
      </c>
    </row>
    <row r="780">
      <c r="E780" s="26">
        <f>IF(OR(A780="",B780=""),"",A780&amp;"|"&amp;B780)</f>
        <v/>
      </c>
      <c r="F780" s="26">
        <f>IF(OR(E780="",C780=""),"",E780&amp;"|"&amp;C780)</f>
        <v/>
      </c>
    </row>
    <row r="781">
      <c r="E781" s="26">
        <f>IF(OR(A781="",B781=""),"",A781&amp;"|"&amp;B781)</f>
        <v/>
      </c>
      <c r="F781" s="26">
        <f>IF(OR(E781="",C781=""),"",E781&amp;"|"&amp;C781)</f>
        <v/>
      </c>
    </row>
    <row r="782">
      <c r="E782" s="26">
        <f>IF(OR(A782="",B782=""),"",A782&amp;"|"&amp;B782)</f>
        <v/>
      </c>
      <c r="F782" s="26">
        <f>IF(OR(E782="",C782=""),"",E782&amp;"|"&amp;C782)</f>
        <v/>
      </c>
    </row>
    <row r="783">
      <c r="E783" s="26">
        <f>IF(OR(A783="",B783=""),"",A783&amp;"|"&amp;B783)</f>
        <v/>
      </c>
      <c r="F783" s="26">
        <f>IF(OR(E783="",C783=""),"",E783&amp;"|"&amp;C783)</f>
        <v/>
      </c>
    </row>
    <row r="784">
      <c r="E784" s="26">
        <f>IF(OR(A784="",B784=""),"",A784&amp;"|"&amp;B784)</f>
        <v/>
      </c>
      <c r="F784" s="26">
        <f>IF(OR(E784="",C784=""),"",E784&amp;"|"&amp;C784)</f>
        <v/>
      </c>
    </row>
    <row r="785">
      <c r="E785" s="26">
        <f>IF(OR(A785="",B785=""),"",A785&amp;"|"&amp;B785)</f>
        <v/>
      </c>
      <c r="F785" s="26">
        <f>IF(OR(E785="",C785=""),"",E785&amp;"|"&amp;C785)</f>
        <v/>
      </c>
    </row>
    <row r="786">
      <c r="E786" s="26">
        <f>IF(OR(A786="",B786=""),"",A786&amp;"|"&amp;B786)</f>
        <v/>
      </c>
      <c r="F786" s="26">
        <f>IF(OR(E786="",C786=""),"",E786&amp;"|"&amp;C786)</f>
        <v/>
      </c>
    </row>
    <row r="787">
      <c r="E787" s="26">
        <f>IF(OR(A787="",B787=""),"",A787&amp;"|"&amp;B787)</f>
        <v/>
      </c>
      <c r="F787" s="26">
        <f>IF(OR(E787="",C787=""),"",E787&amp;"|"&amp;C787)</f>
        <v/>
      </c>
    </row>
    <row r="788">
      <c r="E788" s="26">
        <f>IF(OR(A788="",B788=""),"",A788&amp;"|"&amp;B788)</f>
        <v/>
      </c>
      <c r="F788" s="26">
        <f>IF(OR(E788="",C788=""),"",E788&amp;"|"&amp;C788)</f>
        <v/>
      </c>
    </row>
    <row r="789">
      <c r="E789" s="26">
        <f>IF(OR(A789="",B789=""),"",A789&amp;"|"&amp;B789)</f>
        <v/>
      </c>
      <c r="F789" s="26">
        <f>IF(OR(E789="",C789=""),"",E789&amp;"|"&amp;C789)</f>
        <v/>
      </c>
    </row>
    <row r="790">
      <c r="E790" s="26">
        <f>IF(OR(A790="",B790=""),"",A790&amp;"|"&amp;B790)</f>
        <v/>
      </c>
      <c r="F790" s="26">
        <f>IF(OR(E790="",C790=""),"",E790&amp;"|"&amp;C790)</f>
        <v/>
      </c>
    </row>
    <row r="791">
      <c r="E791" s="26">
        <f>IF(OR(A791="",B791=""),"",A791&amp;"|"&amp;B791)</f>
        <v/>
      </c>
      <c r="F791" s="26">
        <f>IF(OR(E791="",C791=""),"",E791&amp;"|"&amp;C791)</f>
        <v/>
      </c>
    </row>
    <row r="792">
      <c r="E792" s="26">
        <f>IF(OR(A792="",B792=""),"",A792&amp;"|"&amp;B792)</f>
        <v/>
      </c>
      <c r="F792" s="26">
        <f>IF(OR(E792="",C792=""),"",E792&amp;"|"&amp;C792)</f>
        <v/>
      </c>
    </row>
    <row r="793">
      <c r="E793" s="26">
        <f>IF(OR(A793="",B793=""),"",A793&amp;"|"&amp;B793)</f>
        <v/>
      </c>
      <c r="F793" s="26">
        <f>IF(OR(E793="",C793=""),"",E793&amp;"|"&amp;C793)</f>
        <v/>
      </c>
    </row>
    <row r="794">
      <c r="E794" s="26">
        <f>IF(OR(A794="",B794=""),"",A794&amp;"|"&amp;B794)</f>
        <v/>
      </c>
      <c r="F794" s="26">
        <f>IF(OR(E794="",C794=""),"",E794&amp;"|"&amp;C794)</f>
        <v/>
      </c>
    </row>
    <row r="795">
      <c r="E795" s="26">
        <f>IF(OR(A795="",B795=""),"",A795&amp;"|"&amp;B795)</f>
        <v/>
      </c>
      <c r="F795" s="26">
        <f>IF(OR(E795="",C795=""),"",E795&amp;"|"&amp;C795)</f>
        <v/>
      </c>
    </row>
    <row r="796">
      <c r="E796" s="26">
        <f>IF(OR(A796="",B796=""),"",A796&amp;"|"&amp;B796)</f>
        <v/>
      </c>
      <c r="F796" s="26">
        <f>IF(OR(E796="",C796=""),"",E796&amp;"|"&amp;C796)</f>
        <v/>
      </c>
    </row>
    <row r="797">
      <c r="E797" s="26">
        <f>IF(OR(A797="",B797=""),"",A797&amp;"|"&amp;B797)</f>
        <v/>
      </c>
      <c r="F797" s="26">
        <f>IF(OR(E797="",C797=""),"",E797&amp;"|"&amp;C797)</f>
        <v/>
      </c>
    </row>
    <row r="798">
      <c r="E798" s="26">
        <f>IF(OR(A798="",B798=""),"",A798&amp;"|"&amp;B798)</f>
        <v/>
      </c>
      <c r="F798" s="26">
        <f>IF(OR(E798="",C798=""),"",E798&amp;"|"&amp;C798)</f>
        <v/>
      </c>
    </row>
    <row r="799">
      <c r="E799" s="26">
        <f>IF(OR(A799="",B799=""),"",A799&amp;"|"&amp;B799)</f>
        <v/>
      </c>
      <c r="F799" s="26">
        <f>IF(OR(E799="",C799=""),"",E799&amp;"|"&amp;C799)</f>
        <v/>
      </c>
    </row>
    <row r="800">
      <c r="E800" s="26">
        <f>IF(OR(A800="",B800=""),"",A800&amp;"|"&amp;B800)</f>
        <v/>
      </c>
      <c r="F800" s="26">
        <f>IF(OR(E800="",C800=""),"",E800&amp;"|"&amp;C800)</f>
        <v/>
      </c>
    </row>
    <row r="801">
      <c r="E801" s="26">
        <f>IF(OR(A801="",B801=""),"",A801&amp;"|"&amp;B801)</f>
        <v/>
      </c>
      <c r="F801" s="26">
        <f>IF(OR(E801="",C801=""),"",E801&amp;"|"&amp;C801)</f>
        <v/>
      </c>
    </row>
    <row r="802">
      <c r="E802" s="26">
        <f>IF(OR(A802="",B802=""),"",A802&amp;"|"&amp;B802)</f>
        <v/>
      </c>
      <c r="F802" s="26">
        <f>IF(OR(E802="",C802=""),"",E802&amp;"|"&amp;C802)</f>
        <v/>
      </c>
    </row>
    <row r="803">
      <c r="E803" s="26">
        <f>IF(OR(A803="",B803=""),"",A803&amp;"|"&amp;B803)</f>
        <v/>
      </c>
      <c r="F803" s="26">
        <f>IF(OR(E803="",C803=""),"",E803&amp;"|"&amp;C803)</f>
        <v/>
      </c>
    </row>
    <row r="804">
      <c r="E804" s="26">
        <f>IF(OR(A804="",B804=""),"",A804&amp;"|"&amp;B804)</f>
        <v/>
      </c>
      <c r="F804" s="26">
        <f>IF(OR(E804="",C804=""),"",E804&amp;"|"&amp;C804)</f>
        <v/>
      </c>
    </row>
    <row r="805">
      <c r="E805" s="26">
        <f>IF(OR(A805="",B805=""),"",A805&amp;"|"&amp;B805)</f>
        <v/>
      </c>
      <c r="F805" s="26">
        <f>IF(OR(E805="",C805=""),"",E805&amp;"|"&amp;C805)</f>
        <v/>
      </c>
    </row>
    <row r="806">
      <c r="E806" s="26">
        <f>IF(OR(A806="",B806=""),"",A806&amp;"|"&amp;B806)</f>
        <v/>
      </c>
      <c r="F806" s="26">
        <f>IF(OR(E806="",C806=""),"",E806&amp;"|"&amp;C806)</f>
        <v/>
      </c>
    </row>
    <row r="807">
      <c r="E807" s="26">
        <f>IF(OR(A807="",B807=""),"",A807&amp;"|"&amp;B807)</f>
        <v/>
      </c>
      <c r="F807" s="26">
        <f>IF(OR(E807="",C807=""),"",E807&amp;"|"&amp;C807)</f>
        <v/>
      </c>
    </row>
    <row r="808">
      <c r="E808" s="26">
        <f>IF(OR(A808="",B808=""),"",A808&amp;"|"&amp;B808)</f>
        <v/>
      </c>
      <c r="F808" s="26">
        <f>IF(OR(E808="",C808=""),"",E808&amp;"|"&amp;C808)</f>
        <v/>
      </c>
    </row>
    <row r="809">
      <c r="E809" s="26">
        <f>IF(OR(A809="",B809=""),"",A809&amp;"|"&amp;B809)</f>
        <v/>
      </c>
      <c r="F809" s="26">
        <f>IF(OR(E809="",C809=""),"",E809&amp;"|"&amp;C809)</f>
        <v/>
      </c>
    </row>
    <row r="810">
      <c r="E810" s="26">
        <f>IF(OR(A810="",B810=""),"",A810&amp;"|"&amp;B810)</f>
        <v/>
      </c>
      <c r="F810" s="26">
        <f>IF(OR(E810="",C810=""),"",E810&amp;"|"&amp;C810)</f>
        <v/>
      </c>
    </row>
    <row r="811">
      <c r="E811" s="26">
        <f>IF(OR(A811="",B811=""),"",A811&amp;"|"&amp;B811)</f>
        <v/>
      </c>
      <c r="F811" s="26">
        <f>IF(OR(E811="",C811=""),"",E811&amp;"|"&amp;C811)</f>
        <v/>
      </c>
    </row>
    <row r="812">
      <c r="E812" s="26">
        <f>IF(OR(A812="",B812=""),"",A812&amp;"|"&amp;B812)</f>
        <v/>
      </c>
      <c r="F812" s="26">
        <f>IF(OR(E812="",C812=""),"",E812&amp;"|"&amp;C812)</f>
        <v/>
      </c>
    </row>
    <row r="813">
      <c r="E813" s="26">
        <f>IF(OR(A813="",B813=""),"",A813&amp;"|"&amp;B813)</f>
        <v/>
      </c>
      <c r="F813" s="26">
        <f>IF(OR(E813="",C813=""),"",E813&amp;"|"&amp;C813)</f>
        <v/>
      </c>
    </row>
    <row r="814">
      <c r="E814" s="26">
        <f>IF(OR(A814="",B814=""),"",A814&amp;"|"&amp;B814)</f>
        <v/>
      </c>
      <c r="F814" s="26">
        <f>IF(OR(E814="",C814=""),"",E814&amp;"|"&amp;C814)</f>
        <v/>
      </c>
    </row>
    <row r="815">
      <c r="E815" s="26">
        <f>IF(OR(A815="",B815=""),"",A815&amp;"|"&amp;B815)</f>
        <v/>
      </c>
      <c r="F815" s="26">
        <f>IF(OR(E815="",C815=""),"",E815&amp;"|"&amp;C815)</f>
        <v/>
      </c>
    </row>
    <row r="816">
      <c r="E816" s="26">
        <f>IF(OR(A816="",B816=""),"",A816&amp;"|"&amp;B816)</f>
        <v/>
      </c>
      <c r="F816" s="26">
        <f>IF(OR(E816="",C816=""),"",E816&amp;"|"&amp;C816)</f>
        <v/>
      </c>
    </row>
    <row r="817">
      <c r="E817" s="26">
        <f>IF(OR(A817="",B817=""),"",A817&amp;"|"&amp;B817)</f>
        <v/>
      </c>
      <c r="F817" s="26">
        <f>IF(OR(E817="",C817=""),"",E817&amp;"|"&amp;C817)</f>
        <v/>
      </c>
    </row>
    <row r="818">
      <c r="E818" s="26">
        <f>IF(OR(A818="",B818=""),"",A818&amp;"|"&amp;B818)</f>
        <v/>
      </c>
      <c r="F818" s="26">
        <f>IF(OR(E818="",C818=""),"",E818&amp;"|"&amp;C818)</f>
        <v/>
      </c>
    </row>
    <row r="819">
      <c r="E819" s="26">
        <f>IF(OR(A819="",B819=""),"",A819&amp;"|"&amp;B819)</f>
        <v/>
      </c>
      <c r="F819" s="26">
        <f>IF(OR(E819="",C819=""),"",E819&amp;"|"&amp;C819)</f>
        <v/>
      </c>
    </row>
    <row r="820">
      <c r="E820" s="26">
        <f>IF(OR(A820="",B820=""),"",A820&amp;"|"&amp;B820)</f>
        <v/>
      </c>
      <c r="F820" s="26">
        <f>IF(OR(E820="",C820=""),"",E820&amp;"|"&amp;C820)</f>
        <v/>
      </c>
    </row>
    <row r="821">
      <c r="E821" s="26">
        <f>IF(OR(A821="",B821=""),"",A821&amp;"|"&amp;B821)</f>
        <v/>
      </c>
      <c r="F821" s="26">
        <f>IF(OR(E821="",C821=""),"",E821&amp;"|"&amp;C821)</f>
        <v/>
      </c>
    </row>
    <row r="822">
      <c r="E822" s="26">
        <f>IF(OR(A822="",B822=""),"",A822&amp;"|"&amp;B822)</f>
        <v/>
      </c>
      <c r="F822" s="26">
        <f>IF(OR(E822="",C822=""),"",E822&amp;"|"&amp;C822)</f>
        <v/>
      </c>
    </row>
    <row r="823">
      <c r="E823" s="26">
        <f>IF(OR(A823="",B823=""),"",A823&amp;"|"&amp;B823)</f>
        <v/>
      </c>
      <c r="F823" s="26">
        <f>IF(OR(E823="",C823=""),"",E823&amp;"|"&amp;C823)</f>
        <v/>
      </c>
    </row>
    <row r="824">
      <c r="E824" s="26">
        <f>IF(OR(A824="",B824=""),"",A824&amp;"|"&amp;B824)</f>
        <v/>
      </c>
      <c r="F824" s="26">
        <f>IF(OR(E824="",C824=""),"",E824&amp;"|"&amp;C824)</f>
        <v/>
      </c>
    </row>
    <row r="825">
      <c r="E825" s="26">
        <f>IF(OR(A825="",B825=""),"",A825&amp;"|"&amp;B825)</f>
        <v/>
      </c>
      <c r="F825" s="26">
        <f>IF(OR(E825="",C825=""),"",E825&amp;"|"&amp;C825)</f>
        <v/>
      </c>
    </row>
    <row r="826">
      <c r="E826" s="26">
        <f>IF(OR(A826="",B826=""),"",A826&amp;"|"&amp;B826)</f>
        <v/>
      </c>
      <c r="F826" s="26">
        <f>IF(OR(E826="",C826=""),"",E826&amp;"|"&amp;C826)</f>
        <v/>
      </c>
    </row>
    <row r="827">
      <c r="E827" s="26">
        <f>IF(OR(A827="",B827=""),"",A827&amp;"|"&amp;B827)</f>
        <v/>
      </c>
      <c r="F827" s="26">
        <f>IF(OR(E827="",C827=""),"",E827&amp;"|"&amp;C827)</f>
        <v/>
      </c>
    </row>
    <row r="828">
      <c r="E828" s="26">
        <f>IF(OR(A828="",B828=""),"",A828&amp;"|"&amp;B828)</f>
        <v/>
      </c>
      <c r="F828" s="26">
        <f>IF(OR(E828="",C828=""),"",E828&amp;"|"&amp;C828)</f>
        <v/>
      </c>
    </row>
    <row r="829">
      <c r="E829" s="26">
        <f>IF(OR(A829="",B829=""),"",A829&amp;"|"&amp;B829)</f>
        <v/>
      </c>
      <c r="F829" s="26">
        <f>IF(OR(E829="",C829=""),"",E829&amp;"|"&amp;C829)</f>
        <v/>
      </c>
    </row>
    <row r="830">
      <c r="E830" s="26">
        <f>IF(OR(A830="",B830=""),"",A830&amp;"|"&amp;B830)</f>
        <v/>
      </c>
      <c r="F830" s="26">
        <f>IF(OR(E830="",C830=""),"",E830&amp;"|"&amp;C830)</f>
        <v/>
      </c>
    </row>
    <row r="831">
      <c r="E831" s="26">
        <f>IF(OR(A831="",B831=""),"",A831&amp;"|"&amp;B831)</f>
        <v/>
      </c>
      <c r="F831" s="26">
        <f>IF(OR(E831="",C831=""),"",E831&amp;"|"&amp;C831)</f>
        <v/>
      </c>
    </row>
    <row r="832">
      <c r="E832" s="26">
        <f>IF(OR(A832="",B832=""),"",A832&amp;"|"&amp;B832)</f>
        <v/>
      </c>
      <c r="F832" s="26">
        <f>IF(OR(E832="",C832=""),"",E832&amp;"|"&amp;C832)</f>
        <v/>
      </c>
    </row>
    <row r="833">
      <c r="E833" s="26">
        <f>IF(OR(A833="",B833=""),"",A833&amp;"|"&amp;B833)</f>
        <v/>
      </c>
      <c r="F833" s="26">
        <f>IF(OR(E833="",C833=""),"",E833&amp;"|"&amp;C833)</f>
        <v/>
      </c>
    </row>
    <row r="834">
      <c r="E834" s="26">
        <f>IF(OR(A834="",B834=""),"",A834&amp;"|"&amp;B834)</f>
        <v/>
      </c>
      <c r="F834" s="26">
        <f>IF(OR(E834="",C834=""),"",E834&amp;"|"&amp;C834)</f>
        <v/>
      </c>
    </row>
    <row r="835">
      <c r="E835" s="26">
        <f>IF(OR(A835="",B835=""),"",A835&amp;"|"&amp;B835)</f>
        <v/>
      </c>
      <c r="F835" s="26">
        <f>IF(OR(E835="",C835=""),"",E835&amp;"|"&amp;C835)</f>
        <v/>
      </c>
    </row>
    <row r="836">
      <c r="E836" s="26">
        <f>IF(OR(A836="",B836=""),"",A836&amp;"|"&amp;B836)</f>
        <v/>
      </c>
      <c r="F836" s="26">
        <f>IF(OR(E836="",C836=""),"",E836&amp;"|"&amp;C836)</f>
        <v/>
      </c>
    </row>
    <row r="837">
      <c r="E837" s="26">
        <f>IF(OR(A837="",B837=""),"",A837&amp;"|"&amp;B837)</f>
        <v/>
      </c>
      <c r="F837" s="26">
        <f>IF(OR(E837="",C837=""),"",E837&amp;"|"&amp;C837)</f>
        <v/>
      </c>
    </row>
    <row r="838">
      <c r="E838" s="26">
        <f>IF(OR(A838="",B838=""),"",A838&amp;"|"&amp;B838)</f>
        <v/>
      </c>
      <c r="F838" s="26">
        <f>IF(OR(E838="",C838=""),"",E838&amp;"|"&amp;C838)</f>
        <v/>
      </c>
    </row>
    <row r="839">
      <c r="E839" s="26">
        <f>IF(OR(A839="",B839=""),"",A839&amp;"|"&amp;B839)</f>
        <v/>
      </c>
      <c r="F839" s="26">
        <f>IF(OR(E839="",C839=""),"",E839&amp;"|"&amp;C839)</f>
        <v/>
      </c>
    </row>
    <row r="840">
      <c r="E840" s="26">
        <f>IF(OR(A840="",B840=""),"",A840&amp;"|"&amp;B840)</f>
        <v/>
      </c>
      <c r="F840" s="26">
        <f>IF(OR(E840="",C840=""),"",E840&amp;"|"&amp;C840)</f>
        <v/>
      </c>
    </row>
    <row r="841">
      <c r="E841" s="26">
        <f>IF(OR(A841="",B841=""),"",A841&amp;"|"&amp;B841)</f>
        <v/>
      </c>
      <c r="F841" s="26">
        <f>IF(OR(E841="",C841=""),"",E841&amp;"|"&amp;C841)</f>
        <v/>
      </c>
    </row>
    <row r="842">
      <c r="E842" s="26">
        <f>IF(OR(A842="",B842=""),"",A842&amp;"|"&amp;B842)</f>
        <v/>
      </c>
      <c r="F842" s="26">
        <f>IF(OR(E842="",C842=""),"",E842&amp;"|"&amp;C842)</f>
        <v/>
      </c>
    </row>
    <row r="843">
      <c r="E843" s="26">
        <f>IF(OR(A843="",B843=""),"",A843&amp;"|"&amp;B843)</f>
        <v/>
      </c>
      <c r="F843" s="26">
        <f>IF(OR(E843="",C843=""),"",E843&amp;"|"&amp;C843)</f>
        <v/>
      </c>
    </row>
    <row r="844">
      <c r="E844" s="26">
        <f>IF(OR(A844="",B844=""),"",A844&amp;"|"&amp;B844)</f>
        <v/>
      </c>
      <c r="F844" s="26">
        <f>IF(OR(E844="",C844=""),"",E844&amp;"|"&amp;C844)</f>
        <v/>
      </c>
    </row>
    <row r="845">
      <c r="E845" s="26">
        <f>IF(OR(A845="",B845=""),"",A845&amp;"|"&amp;B845)</f>
        <v/>
      </c>
      <c r="F845" s="26">
        <f>IF(OR(E845="",C845=""),"",E845&amp;"|"&amp;C845)</f>
        <v/>
      </c>
    </row>
    <row r="846">
      <c r="E846" s="26">
        <f>IF(OR(A846="",B846=""),"",A846&amp;"|"&amp;B846)</f>
        <v/>
      </c>
      <c r="F846" s="26">
        <f>IF(OR(E846="",C846=""),"",E846&amp;"|"&amp;C846)</f>
        <v/>
      </c>
    </row>
    <row r="847">
      <c r="E847" s="26">
        <f>IF(OR(A847="",B847=""),"",A847&amp;"|"&amp;B847)</f>
        <v/>
      </c>
      <c r="F847" s="26">
        <f>IF(OR(E847="",C847=""),"",E847&amp;"|"&amp;C847)</f>
        <v/>
      </c>
    </row>
    <row r="848">
      <c r="E848" s="26">
        <f>IF(OR(A848="",B848=""),"",A848&amp;"|"&amp;B848)</f>
        <v/>
      </c>
      <c r="F848" s="26">
        <f>IF(OR(E848="",C848=""),"",E848&amp;"|"&amp;C848)</f>
        <v/>
      </c>
    </row>
    <row r="849">
      <c r="E849" s="26">
        <f>IF(OR(A849="",B849=""),"",A849&amp;"|"&amp;B849)</f>
        <v/>
      </c>
      <c r="F849" s="26">
        <f>IF(OR(E849="",C849=""),"",E849&amp;"|"&amp;C849)</f>
        <v/>
      </c>
    </row>
    <row r="850">
      <c r="E850" s="26">
        <f>IF(OR(A850="",B850=""),"",A850&amp;"|"&amp;B850)</f>
        <v/>
      </c>
      <c r="F850" s="26">
        <f>IF(OR(E850="",C850=""),"",E850&amp;"|"&amp;C850)</f>
        <v/>
      </c>
    </row>
    <row r="851">
      <c r="E851" s="26">
        <f>IF(OR(A851="",B851=""),"",A851&amp;"|"&amp;B851)</f>
        <v/>
      </c>
      <c r="F851" s="26">
        <f>IF(OR(E851="",C851=""),"",E851&amp;"|"&amp;C851)</f>
        <v/>
      </c>
    </row>
    <row r="852">
      <c r="E852" s="26">
        <f>IF(OR(A852="",B852=""),"",A852&amp;"|"&amp;B852)</f>
        <v/>
      </c>
      <c r="F852" s="26">
        <f>IF(OR(E852="",C852=""),"",E852&amp;"|"&amp;C852)</f>
        <v/>
      </c>
    </row>
    <row r="853">
      <c r="E853" s="26">
        <f>IF(OR(A853="",B853=""),"",A853&amp;"|"&amp;B853)</f>
        <v/>
      </c>
      <c r="F853" s="26">
        <f>IF(OR(E853="",C853=""),"",E853&amp;"|"&amp;C853)</f>
        <v/>
      </c>
    </row>
    <row r="854">
      <c r="E854" s="26">
        <f>IF(OR(A854="",B854=""),"",A854&amp;"|"&amp;B854)</f>
        <v/>
      </c>
      <c r="F854" s="26">
        <f>IF(OR(E854="",C854=""),"",E854&amp;"|"&amp;C854)</f>
        <v/>
      </c>
    </row>
    <row r="855">
      <c r="E855" s="26">
        <f>IF(OR(A855="",B855=""),"",A855&amp;"|"&amp;B855)</f>
        <v/>
      </c>
      <c r="F855" s="26">
        <f>IF(OR(E855="",C855=""),"",E855&amp;"|"&amp;C855)</f>
        <v/>
      </c>
    </row>
    <row r="856">
      <c r="E856" s="26">
        <f>IF(OR(A856="",B856=""),"",A856&amp;"|"&amp;B856)</f>
        <v/>
      </c>
      <c r="F856" s="26">
        <f>IF(OR(E856="",C856=""),"",E856&amp;"|"&amp;C856)</f>
        <v/>
      </c>
    </row>
    <row r="857">
      <c r="E857" s="26">
        <f>IF(OR(A857="",B857=""),"",A857&amp;"|"&amp;B857)</f>
        <v/>
      </c>
      <c r="F857" s="26">
        <f>IF(OR(E857="",C857=""),"",E857&amp;"|"&amp;C857)</f>
        <v/>
      </c>
    </row>
    <row r="858">
      <c r="E858" s="26">
        <f>IF(OR(A858="",B858=""),"",A858&amp;"|"&amp;B858)</f>
        <v/>
      </c>
      <c r="F858" s="26">
        <f>IF(OR(E858="",C858=""),"",E858&amp;"|"&amp;C858)</f>
        <v/>
      </c>
    </row>
    <row r="859">
      <c r="E859" s="26">
        <f>IF(OR(A859="",B859=""),"",A859&amp;"|"&amp;B859)</f>
        <v/>
      </c>
      <c r="F859" s="26">
        <f>IF(OR(E859="",C859=""),"",E859&amp;"|"&amp;C859)</f>
        <v/>
      </c>
    </row>
    <row r="860">
      <c r="E860" s="26">
        <f>IF(OR(A860="",B860=""),"",A860&amp;"|"&amp;B860)</f>
        <v/>
      </c>
      <c r="F860" s="26">
        <f>IF(OR(E860="",C860=""),"",E860&amp;"|"&amp;C860)</f>
        <v/>
      </c>
    </row>
    <row r="861">
      <c r="E861" s="26">
        <f>IF(OR(A861="",B861=""),"",A861&amp;"|"&amp;B861)</f>
        <v/>
      </c>
      <c r="F861" s="26">
        <f>IF(OR(E861="",C861=""),"",E861&amp;"|"&amp;C861)</f>
        <v/>
      </c>
    </row>
    <row r="862">
      <c r="E862" s="26">
        <f>IF(OR(A862="",B862=""),"",A862&amp;"|"&amp;B862)</f>
        <v/>
      </c>
      <c r="F862" s="26">
        <f>IF(OR(E862="",C862=""),"",E862&amp;"|"&amp;C862)</f>
        <v/>
      </c>
    </row>
    <row r="863">
      <c r="E863" s="26">
        <f>IF(OR(A863="",B863=""),"",A863&amp;"|"&amp;B863)</f>
        <v/>
      </c>
      <c r="F863" s="26">
        <f>IF(OR(E863="",C863=""),"",E863&amp;"|"&amp;C863)</f>
        <v/>
      </c>
    </row>
    <row r="864">
      <c r="E864" s="26">
        <f>IF(OR(A864="",B864=""),"",A864&amp;"|"&amp;B864)</f>
        <v/>
      </c>
      <c r="F864" s="26">
        <f>IF(OR(E864="",C864=""),"",E864&amp;"|"&amp;C864)</f>
        <v/>
      </c>
    </row>
    <row r="865">
      <c r="E865" s="26">
        <f>IF(OR(A865="",B865=""),"",A865&amp;"|"&amp;B865)</f>
        <v/>
      </c>
      <c r="F865" s="26">
        <f>IF(OR(E865="",C865=""),"",E865&amp;"|"&amp;C865)</f>
        <v/>
      </c>
    </row>
    <row r="866">
      <c r="E866" s="26">
        <f>IF(OR(A866="",B866=""),"",A866&amp;"|"&amp;B866)</f>
        <v/>
      </c>
      <c r="F866" s="26">
        <f>IF(OR(E866="",C866=""),"",E866&amp;"|"&amp;C866)</f>
        <v/>
      </c>
    </row>
    <row r="867">
      <c r="E867" s="26">
        <f>IF(OR(A867="",B867=""),"",A867&amp;"|"&amp;B867)</f>
        <v/>
      </c>
      <c r="F867" s="26">
        <f>IF(OR(E867="",C867=""),"",E867&amp;"|"&amp;C867)</f>
        <v/>
      </c>
    </row>
    <row r="868">
      <c r="E868" s="26">
        <f>IF(OR(A868="",B868=""),"",A868&amp;"|"&amp;B868)</f>
        <v/>
      </c>
      <c r="F868" s="26">
        <f>IF(OR(E868="",C868=""),"",E868&amp;"|"&amp;C868)</f>
        <v/>
      </c>
    </row>
    <row r="869">
      <c r="E869" s="26">
        <f>IF(OR(A869="",B869=""),"",A869&amp;"|"&amp;B869)</f>
        <v/>
      </c>
      <c r="F869" s="26">
        <f>IF(OR(E869="",C869=""),"",E869&amp;"|"&amp;C869)</f>
        <v/>
      </c>
    </row>
    <row r="870">
      <c r="E870" s="26">
        <f>IF(OR(A870="",B870=""),"",A870&amp;"|"&amp;B870)</f>
        <v/>
      </c>
      <c r="F870" s="26">
        <f>IF(OR(E870="",C870=""),"",E870&amp;"|"&amp;C870)</f>
        <v/>
      </c>
    </row>
    <row r="871">
      <c r="E871" s="26">
        <f>IF(OR(A871="",B871=""),"",A871&amp;"|"&amp;B871)</f>
        <v/>
      </c>
      <c r="F871" s="26">
        <f>IF(OR(E871="",C871=""),"",E871&amp;"|"&amp;C871)</f>
        <v/>
      </c>
    </row>
    <row r="872">
      <c r="E872" s="26">
        <f>IF(OR(A872="",B872=""),"",A872&amp;"|"&amp;B872)</f>
        <v/>
      </c>
      <c r="F872" s="26">
        <f>IF(OR(E872="",C872=""),"",E872&amp;"|"&amp;C872)</f>
        <v/>
      </c>
    </row>
    <row r="873">
      <c r="E873" s="26">
        <f>IF(OR(A873="",B873=""),"",A873&amp;"|"&amp;B873)</f>
        <v/>
      </c>
      <c r="F873" s="26">
        <f>IF(OR(E873="",C873=""),"",E873&amp;"|"&amp;C873)</f>
        <v/>
      </c>
    </row>
    <row r="874">
      <c r="E874" s="26">
        <f>IF(OR(A874="",B874=""),"",A874&amp;"|"&amp;B874)</f>
        <v/>
      </c>
      <c r="F874" s="26">
        <f>IF(OR(E874="",C874=""),"",E874&amp;"|"&amp;C874)</f>
        <v/>
      </c>
    </row>
    <row r="875">
      <c r="E875" s="26">
        <f>IF(OR(A875="",B875=""),"",A875&amp;"|"&amp;B875)</f>
        <v/>
      </c>
      <c r="F875" s="26">
        <f>IF(OR(E875="",C875=""),"",E875&amp;"|"&amp;C875)</f>
        <v/>
      </c>
    </row>
    <row r="876">
      <c r="E876" s="26">
        <f>IF(OR(A876="",B876=""),"",A876&amp;"|"&amp;B876)</f>
        <v/>
      </c>
      <c r="F876" s="26">
        <f>IF(OR(E876="",C876=""),"",E876&amp;"|"&amp;C876)</f>
        <v/>
      </c>
    </row>
    <row r="877">
      <c r="E877" s="26">
        <f>IF(OR(A877="",B877=""),"",A877&amp;"|"&amp;B877)</f>
        <v/>
      </c>
      <c r="F877" s="26">
        <f>IF(OR(E877="",C877=""),"",E877&amp;"|"&amp;C877)</f>
        <v/>
      </c>
    </row>
    <row r="878">
      <c r="E878" s="26">
        <f>IF(OR(A878="",B878=""),"",A878&amp;"|"&amp;B878)</f>
        <v/>
      </c>
      <c r="F878" s="26">
        <f>IF(OR(E878="",C878=""),"",E878&amp;"|"&amp;C878)</f>
        <v/>
      </c>
    </row>
    <row r="879">
      <c r="E879" s="26">
        <f>IF(OR(A879="",B879=""),"",A879&amp;"|"&amp;B879)</f>
        <v/>
      </c>
      <c r="F879" s="26">
        <f>IF(OR(E879="",C879=""),"",E879&amp;"|"&amp;C879)</f>
        <v/>
      </c>
    </row>
    <row r="880">
      <c r="E880" s="26">
        <f>IF(OR(A880="",B880=""),"",A880&amp;"|"&amp;B880)</f>
        <v/>
      </c>
      <c r="F880" s="26">
        <f>IF(OR(E880="",C880=""),"",E880&amp;"|"&amp;C880)</f>
        <v/>
      </c>
    </row>
    <row r="881">
      <c r="E881" s="26">
        <f>IF(OR(A881="",B881=""),"",A881&amp;"|"&amp;B881)</f>
        <v/>
      </c>
      <c r="F881" s="26">
        <f>IF(OR(E881="",C881=""),"",E881&amp;"|"&amp;C881)</f>
        <v/>
      </c>
    </row>
    <row r="882">
      <c r="E882" s="26">
        <f>IF(OR(A882="",B882=""),"",A882&amp;"|"&amp;B882)</f>
        <v/>
      </c>
      <c r="F882" s="26">
        <f>IF(OR(E882="",C882=""),"",E882&amp;"|"&amp;C882)</f>
        <v/>
      </c>
    </row>
    <row r="883">
      <c r="E883" s="26">
        <f>IF(OR(A883="",B883=""),"",A883&amp;"|"&amp;B883)</f>
        <v/>
      </c>
      <c r="F883" s="26">
        <f>IF(OR(E883="",C883=""),"",E883&amp;"|"&amp;C883)</f>
        <v/>
      </c>
    </row>
    <row r="884">
      <c r="E884" s="26">
        <f>IF(OR(A884="",B884=""),"",A884&amp;"|"&amp;B884)</f>
        <v/>
      </c>
      <c r="F884" s="26">
        <f>IF(OR(E884="",C884=""),"",E884&amp;"|"&amp;C884)</f>
        <v/>
      </c>
    </row>
    <row r="885">
      <c r="E885" s="26">
        <f>IF(OR(A885="",B885=""),"",A885&amp;"|"&amp;B885)</f>
        <v/>
      </c>
      <c r="F885" s="26">
        <f>IF(OR(E885="",C885=""),"",E885&amp;"|"&amp;C885)</f>
        <v/>
      </c>
    </row>
    <row r="886">
      <c r="E886" s="26">
        <f>IF(OR(A886="",B886=""),"",A886&amp;"|"&amp;B886)</f>
        <v/>
      </c>
      <c r="F886" s="26">
        <f>IF(OR(E886="",C886=""),"",E886&amp;"|"&amp;C886)</f>
        <v/>
      </c>
    </row>
    <row r="887">
      <c r="E887" s="26">
        <f>IF(OR(A887="",B887=""),"",A887&amp;"|"&amp;B887)</f>
        <v/>
      </c>
      <c r="F887" s="26">
        <f>IF(OR(E887="",C887=""),"",E887&amp;"|"&amp;C887)</f>
        <v/>
      </c>
    </row>
    <row r="888">
      <c r="E888" s="26">
        <f>IF(OR(A888="",B888=""),"",A888&amp;"|"&amp;B888)</f>
        <v/>
      </c>
      <c r="F888" s="26">
        <f>IF(OR(E888="",C888=""),"",E888&amp;"|"&amp;C888)</f>
        <v/>
      </c>
    </row>
    <row r="889">
      <c r="E889" s="26">
        <f>IF(OR(A889="",B889=""),"",A889&amp;"|"&amp;B889)</f>
        <v/>
      </c>
      <c r="F889" s="26">
        <f>IF(OR(E889="",C889=""),"",E889&amp;"|"&amp;C889)</f>
        <v/>
      </c>
    </row>
    <row r="890">
      <c r="E890" s="26">
        <f>IF(OR(A890="",B890=""),"",A890&amp;"|"&amp;B890)</f>
        <v/>
      </c>
      <c r="F890" s="26">
        <f>IF(OR(E890="",C890=""),"",E890&amp;"|"&amp;C890)</f>
        <v/>
      </c>
    </row>
    <row r="891">
      <c r="E891" s="26">
        <f>IF(OR(A891="",B891=""),"",A891&amp;"|"&amp;B891)</f>
        <v/>
      </c>
      <c r="F891" s="26">
        <f>IF(OR(E891="",C891=""),"",E891&amp;"|"&amp;C891)</f>
        <v/>
      </c>
    </row>
    <row r="892">
      <c r="E892" s="26">
        <f>IF(OR(A892="",B892=""),"",A892&amp;"|"&amp;B892)</f>
        <v/>
      </c>
      <c r="F892" s="26">
        <f>IF(OR(E892="",C892=""),"",E892&amp;"|"&amp;C892)</f>
        <v/>
      </c>
    </row>
    <row r="893">
      <c r="E893" s="26">
        <f>IF(OR(A893="",B893=""),"",A893&amp;"|"&amp;B893)</f>
        <v/>
      </c>
      <c r="F893" s="26">
        <f>IF(OR(E893="",C893=""),"",E893&amp;"|"&amp;C893)</f>
        <v/>
      </c>
    </row>
    <row r="894">
      <c r="E894" s="26">
        <f>IF(OR(A894="",B894=""),"",A894&amp;"|"&amp;B894)</f>
        <v/>
      </c>
      <c r="F894" s="26">
        <f>IF(OR(E894="",C894=""),"",E894&amp;"|"&amp;C894)</f>
        <v/>
      </c>
    </row>
    <row r="895">
      <c r="E895" s="26">
        <f>IF(OR(A895="",B895=""),"",A895&amp;"|"&amp;B895)</f>
        <v/>
      </c>
      <c r="F895" s="26">
        <f>IF(OR(E895="",C895=""),"",E895&amp;"|"&amp;C895)</f>
        <v/>
      </c>
    </row>
    <row r="896">
      <c r="E896" s="26">
        <f>IF(OR(A896="",B896=""),"",A896&amp;"|"&amp;B896)</f>
        <v/>
      </c>
      <c r="F896" s="26">
        <f>IF(OR(E896="",C896=""),"",E896&amp;"|"&amp;C896)</f>
        <v/>
      </c>
    </row>
    <row r="897">
      <c r="E897" s="26">
        <f>IF(OR(A897="",B897=""),"",A897&amp;"|"&amp;B897)</f>
        <v/>
      </c>
      <c r="F897" s="26">
        <f>IF(OR(E897="",C897=""),"",E897&amp;"|"&amp;C897)</f>
        <v/>
      </c>
    </row>
    <row r="898">
      <c r="E898" s="26">
        <f>IF(OR(A898="",B898=""),"",A898&amp;"|"&amp;B898)</f>
        <v/>
      </c>
      <c r="F898" s="26">
        <f>IF(OR(E898="",C898=""),"",E898&amp;"|"&amp;C898)</f>
        <v/>
      </c>
    </row>
    <row r="899">
      <c r="E899" s="26">
        <f>IF(OR(A899="",B899=""),"",A899&amp;"|"&amp;B899)</f>
        <v/>
      </c>
      <c r="F899" s="26">
        <f>IF(OR(E899="",C899=""),"",E899&amp;"|"&amp;C899)</f>
        <v/>
      </c>
    </row>
    <row r="900">
      <c r="E900" s="26">
        <f>IF(OR(A900="",B900=""),"",A900&amp;"|"&amp;B900)</f>
        <v/>
      </c>
      <c r="F900" s="26">
        <f>IF(OR(E900="",C900=""),"",E900&amp;"|"&amp;C900)</f>
        <v/>
      </c>
    </row>
    <row r="901">
      <c r="E901" s="26">
        <f>IF(OR(A901="",B901=""),"",A901&amp;"|"&amp;B901)</f>
        <v/>
      </c>
      <c r="F901" s="26">
        <f>IF(OR(E901="",C901=""),"",E901&amp;"|"&amp;C901)</f>
        <v/>
      </c>
    </row>
    <row r="902">
      <c r="E902" s="26">
        <f>IF(OR(A902="",B902=""),"",A902&amp;"|"&amp;B902)</f>
        <v/>
      </c>
      <c r="F902" s="26">
        <f>IF(OR(E902="",C902=""),"",E902&amp;"|"&amp;C902)</f>
        <v/>
      </c>
    </row>
    <row r="903">
      <c r="E903" s="26">
        <f>IF(OR(A903="",B903=""),"",A903&amp;"|"&amp;B903)</f>
        <v/>
      </c>
      <c r="F903" s="26">
        <f>IF(OR(E903="",C903=""),"",E903&amp;"|"&amp;C903)</f>
        <v/>
      </c>
    </row>
    <row r="904">
      <c r="E904" s="26">
        <f>IF(OR(A904="",B904=""),"",A904&amp;"|"&amp;B904)</f>
        <v/>
      </c>
      <c r="F904" s="26">
        <f>IF(OR(E904="",C904=""),"",E904&amp;"|"&amp;C904)</f>
        <v/>
      </c>
    </row>
    <row r="905">
      <c r="E905" s="26">
        <f>IF(OR(A905="",B905=""),"",A905&amp;"|"&amp;B905)</f>
        <v/>
      </c>
      <c r="F905" s="26">
        <f>IF(OR(E905="",C905=""),"",E905&amp;"|"&amp;C905)</f>
        <v/>
      </c>
    </row>
    <row r="906">
      <c r="E906" s="26">
        <f>IF(OR(A906="",B906=""),"",A906&amp;"|"&amp;B906)</f>
        <v/>
      </c>
      <c r="F906" s="26">
        <f>IF(OR(E906="",C906=""),"",E906&amp;"|"&amp;C906)</f>
        <v/>
      </c>
    </row>
    <row r="907">
      <c r="E907" s="26">
        <f>IF(OR(A907="",B907=""),"",A907&amp;"|"&amp;B907)</f>
        <v/>
      </c>
      <c r="F907" s="26">
        <f>IF(OR(E907="",C907=""),"",E907&amp;"|"&amp;C907)</f>
        <v/>
      </c>
    </row>
    <row r="908">
      <c r="E908" s="26">
        <f>IF(OR(A908="",B908=""),"",A908&amp;"|"&amp;B908)</f>
        <v/>
      </c>
      <c r="F908" s="26">
        <f>IF(OR(E908="",C908=""),"",E908&amp;"|"&amp;C908)</f>
        <v/>
      </c>
    </row>
    <row r="909">
      <c r="E909" s="26">
        <f>IF(OR(A909="",B909=""),"",A909&amp;"|"&amp;B909)</f>
        <v/>
      </c>
      <c r="F909" s="26">
        <f>IF(OR(E909="",C909=""),"",E909&amp;"|"&amp;C909)</f>
        <v/>
      </c>
    </row>
    <row r="910">
      <c r="E910" s="26">
        <f>IF(OR(A910="",B910=""),"",A910&amp;"|"&amp;B910)</f>
        <v/>
      </c>
      <c r="F910" s="26">
        <f>IF(OR(E910="",C910=""),"",E910&amp;"|"&amp;C910)</f>
        <v/>
      </c>
    </row>
    <row r="911">
      <c r="E911" s="26">
        <f>IF(OR(A911="",B911=""),"",A911&amp;"|"&amp;B911)</f>
        <v/>
      </c>
      <c r="F911" s="26">
        <f>IF(OR(E911="",C911=""),"",E911&amp;"|"&amp;C911)</f>
        <v/>
      </c>
    </row>
    <row r="912">
      <c r="E912" s="26">
        <f>IF(OR(A912="",B912=""),"",A912&amp;"|"&amp;B912)</f>
        <v/>
      </c>
      <c r="F912" s="26">
        <f>IF(OR(E912="",C912=""),"",E912&amp;"|"&amp;C912)</f>
        <v/>
      </c>
    </row>
    <row r="913">
      <c r="E913" s="26">
        <f>IF(OR(A913="",B913=""),"",A913&amp;"|"&amp;B913)</f>
        <v/>
      </c>
      <c r="F913" s="26">
        <f>IF(OR(E913="",C913=""),"",E913&amp;"|"&amp;C913)</f>
        <v/>
      </c>
    </row>
    <row r="914">
      <c r="E914" s="26">
        <f>IF(OR(A914="",B914=""),"",A914&amp;"|"&amp;B914)</f>
        <v/>
      </c>
      <c r="F914" s="26">
        <f>IF(OR(E914="",C914=""),"",E914&amp;"|"&amp;C914)</f>
        <v/>
      </c>
    </row>
    <row r="915">
      <c r="E915" s="26">
        <f>IF(OR(A915="",B915=""),"",A915&amp;"|"&amp;B915)</f>
        <v/>
      </c>
      <c r="F915" s="26">
        <f>IF(OR(E915="",C915=""),"",E915&amp;"|"&amp;C915)</f>
        <v/>
      </c>
    </row>
    <row r="916">
      <c r="E916" s="26">
        <f>IF(OR(A916="",B916=""),"",A916&amp;"|"&amp;B916)</f>
        <v/>
      </c>
      <c r="F916" s="26">
        <f>IF(OR(E916="",C916=""),"",E916&amp;"|"&amp;C916)</f>
        <v/>
      </c>
    </row>
    <row r="917">
      <c r="E917" s="26">
        <f>IF(OR(A917="",B917=""),"",A917&amp;"|"&amp;B917)</f>
        <v/>
      </c>
      <c r="F917" s="26">
        <f>IF(OR(E917="",C917=""),"",E917&amp;"|"&amp;C917)</f>
        <v/>
      </c>
    </row>
    <row r="918">
      <c r="E918" s="26">
        <f>IF(OR(A918="",B918=""),"",A918&amp;"|"&amp;B918)</f>
        <v/>
      </c>
      <c r="F918" s="26">
        <f>IF(OR(E918="",C918=""),"",E918&amp;"|"&amp;C918)</f>
        <v/>
      </c>
    </row>
    <row r="919">
      <c r="E919" s="26">
        <f>IF(OR(A919="",B919=""),"",A919&amp;"|"&amp;B919)</f>
        <v/>
      </c>
      <c r="F919" s="26">
        <f>IF(OR(E919="",C919=""),"",E919&amp;"|"&amp;C919)</f>
        <v/>
      </c>
    </row>
    <row r="920">
      <c r="E920" s="26">
        <f>IF(OR(A920="",B920=""),"",A920&amp;"|"&amp;B920)</f>
        <v/>
      </c>
      <c r="F920" s="26">
        <f>IF(OR(E920="",C920=""),"",E920&amp;"|"&amp;C920)</f>
        <v/>
      </c>
    </row>
    <row r="921">
      <c r="E921" s="26">
        <f>IF(OR(A921="",B921=""),"",A921&amp;"|"&amp;B921)</f>
        <v/>
      </c>
      <c r="F921" s="26">
        <f>IF(OR(E921="",C921=""),"",E921&amp;"|"&amp;C921)</f>
        <v/>
      </c>
    </row>
    <row r="922">
      <c r="E922" s="26">
        <f>IF(OR(A922="",B922=""),"",A922&amp;"|"&amp;B922)</f>
        <v/>
      </c>
      <c r="F922" s="26">
        <f>IF(OR(E922="",C922=""),"",E922&amp;"|"&amp;C922)</f>
        <v/>
      </c>
    </row>
    <row r="923">
      <c r="E923" s="26">
        <f>IF(OR(A923="",B923=""),"",A923&amp;"|"&amp;B923)</f>
        <v/>
      </c>
      <c r="F923" s="26">
        <f>IF(OR(E923="",C923=""),"",E923&amp;"|"&amp;C923)</f>
        <v/>
      </c>
    </row>
    <row r="924">
      <c r="E924" s="26">
        <f>IF(OR(A924="",B924=""),"",A924&amp;"|"&amp;B924)</f>
        <v/>
      </c>
      <c r="F924" s="26">
        <f>IF(OR(E924="",C924=""),"",E924&amp;"|"&amp;C924)</f>
        <v/>
      </c>
    </row>
    <row r="925">
      <c r="E925" s="26">
        <f>IF(OR(A925="",B925=""),"",A925&amp;"|"&amp;B925)</f>
        <v/>
      </c>
      <c r="F925" s="26">
        <f>IF(OR(E925="",C925=""),"",E925&amp;"|"&amp;C925)</f>
        <v/>
      </c>
    </row>
    <row r="926">
      <c r="E926" s="26">
        <f>IF(OR(A926="",B926=""),"",A926&amp;"|"&amp;B926)</f>
        <v/>
      </c>
      <c r="F926" s="26">
        <f>IF(OR(E926="",C926=""),"",E926&amp;"|"&amp;C926)</f>
        <v/>
      </c>
    </row>
    <row r="927">
      <c r="E927" s="26">
        <f>IF(OR(A927="",B927=""),"",A927&amp;"|"&amp;B927)</f>
        <v/>
      </c>
      <c r="F927" s="26">
        <f>IF(OR(E927="",C927=""),"",E927&amp;"|"&amp;C927)</f>
        <v/>
      </c>
    </row>
    <row r="928">
      <c r="E928" s="26">
        <f>IF(OR(A928="",B928=""),"",A928&amp;"|"&amp;B928)</f>
        <v/>
      </c>
      <c r="F928" s="26">
        <f>IF(OR(E928="",C928=""),"",E928&amp;"|"&amp;C928)</f>
        <v/>
      </c>
    </row>
    <row r="929">
      <c r="E929" s="26">
        <f>IF(OR(A929="",B929=""),"",A929&amp;"|"&amp;B929)</f>
        <v/>
      </c>
      <c r="F929" s="26">
        <f>IF(OR(E929="",C929=""),"",E929&amp;"|"&amp;C929)</f>
        <v/>
      </c>
    </row>
    <row r="930">
      <c r="E930" s="26">
        <f>IF(OR(A930="",B930=""),"",A930&amp;"|"&amp;B930)</f>
        <v/>
      </c>
      <c r="F930" s="26">
        <f>IF(OR(E930="",C930=""),"",E930&amp;"|"&amp;C930)</f>
        <v/>
      </c>
    </row>
    <row r="931">
      <c r="E931" s="26">
        <f>IF(OR(A931="",B931=""),"",A931&amp;"|"&amp;B931)</f>
        <v/>
      </c>
      <c r="F931" s="26">
        <f>IF(OR(E931="",C931=""),"",E931&amp;"|"&amp;C931)</f>
        <v/>
      </c>
    </row>
    <row r="932">
      <c r="E932" s="26">
        <f>IF(OR(A932="",B932=""),"",A932&amp;"|"&amp;B932)</f>
        <v/>
      </c>
      <c r="F932" s="26">
        <f>IF(OR(E932="",C932=""),"",E932&amp;"|"&amp;C932)</f>
        <v/>
      </c>
    </row>
    <row r="933">
      <c r="E933" s="26">
        <f>IF(OR(A933="",B933=""),"",A933&amp;"|"&amp;B933)</f>
        <v/>
      </c>
      <c r="F933" s="26">
        <f>IF(OR(E933="",C933=""),"",E933&amp;"|"&amp;C933)</f>
        <v/>
      </c>
    </row>
    <row r="934">
      <c r="E934" s="26">
        <f>IF(OR(A934="",B934=""),"",A934&amp;"|"&amp;B934)</f>
        <v/>
      </c>
      <c r="F934" s="26">
        <f>IF(OR(E934="",C934=""),"",E934&amp;"|"&amp;C934)</f>
        <v/>
      </c>
    </row>
    <row r="935">
      <c r="E935" s="26">
        <f>IF(OR(A935="",B935=""),"",A935&amp;"|"&amp;B935)</f>
        <v/>
      </c>
      <c r="F935" s="26">
        <f>IF(OR(E935="",C935=""),"",E935&amp;"|"&amp;C935)</f>
        <v/>
      </c>
    </row>
    <row r="936">
      <c r="E936" s="26">
        <f>IF(OR(A936="",B936=""),"",A936&amp;"|"&amp;B936)</f>
        <v/>
      </c>
      <c r="F936" s="26">
        <f>IF(OR(E936="",C936=""),"",E936&amp;"|"&amp;C936)</f>
        <v/>
      </c>
    </row>
    <row r="937">
      <c r="E937" s="26">
        <f>IF(OR(A937="",B937=""),"",A937&amp;"|"&amp;B937)</f>
        <v/>
      </c>
      <c r="F937" s="26">
        <f>IF(OR(E937="",C937=""),"",E937&amp;"|"&amp;C937)</f>
        <v/>
      </c>
    </row>
    <row r="938">
      <c r="E938" s="26">
        <f>IF(OR(A938="",B938=""),"",A938&amp;"|"&amp;B938)</f>
        <v/>
      </c>
      <c r="F938" s="26">
        <f>IF(OR(E938="",C938=""),"",E938&amp;"|"&amp;C938)</f>
        <v/>
      </c>
    </row>
    <row r="939">
      <c r="E939" s="26">
        <f>IF(OR(A939="",B939=""),"",A939&amp;"|"&amp;B939)</f>
        <v/>
      </c>
      <c r="F939" s="26">
        <f>IF(OR(E939="",C939=""),"",E939&amp;"|"&amp;C939)</f>
        <v/>
      </c>
    </row>
    <row r="940">
      <c r="E940" s="26">
        <f>IF(OR(A940="",B940=""),"",A940&amp;"|"&amp;B940)</f>
        <v/>
      </c>
      <c r="F940" s="26">
        <f>IF(OR(E940="",C940=""),"",E940&amp;"|"&amp;C940)</f>
        <v/>
      </c>
    </row>
    <row r="941">
      <c r="E941" s="26">
        <f>IF(OR(A941="",B941=""),"",A941&amp;"|"&amp;B941)</f>
        <v/>
      </c>
      <c r="F941" s="26">
        <f>IF(OR(E941="",C941=""),"",E941&amp;"|"&amp;C941)</f>
        <v/>
      </c>
    </row>
    <row r="942">
      <c r="E942" s="26">
        <f>IF(OR(A942="",B942=""),"",A942&amp;"|"&amp;B942)</f>
        <v/>
      </c>
      <c r="F942" s="26">
        <f>IF(OR(E942="",C942=""),"",E942&amp;"|"&amp;C942)</f>
        <v/>
      </c>
    </row>
    <row r="943">
      <c r="E943" s="26">
        <f>IF(OR(A943="",B943=""),"",A943&amp;"|"&amp;B943)</f>
        <v/>
      </c>
      <c r="F943" s="26">
        <f>IF(OR(E943="",C943=""),"",E943&amp;"|"&amp;C943)</f>
        <v/>
      </c>
    </row>
    <row r="944">
      <c r="E944" s="26">
        <f>IF(OR(A944="",B944=""),"",A944&amp;"|"&amp;B944)</f>
        <v/>
      </c>
      <c r="F944" s="26">
        <f>IF(OR(E944="",C944=""),"",E944&amp;"|"&amp;C944)</f>
        <v/>
      </c>
    </row>
    <row r="945">
      <c r="E945" s="26">
        <f>IF(OR(A945="",B945=""),"",A945&amp;"|"&amp;B945)</f>
        <v/>
      </c>
      <c r="F945" s="26">
        <f>IF(OR(E945="",C945=""),"",E945&amp;"|"&amp;C945)</f>
        <v/>
      </c>
    </row>
    <row r="946">
      <c r="E946" s="26">
        <f>IF(OR(A946="",B946=""),"",A946&amp;"|"&amp;B946)</f>
        <v/>
      </c>
      <c r="F946" s="26">
        <f>IF(OR(E946="",C946=""),"",E946&amp;"|"&amp;C946)</f>
        <v/>
      </c>
    </row>
    <row r="947">
      <c r="E947" s="26">
        <f>IF(OR(A947="",B947=""),"",A947&amp;"|"&amp;B947)</f>
        <v/>
      </c>
      <c r="F947" s="26">
        <f>IF(OR(E947="",C947=""),"",E947&amp;"|"&amp;C947)</f>
        <v/>
      </c>
    </row>
    <row r="948">
      <c r="E948" s="26">
        <f>IF(OR(A948="",B948=""),"",A948&amp;"|"&amp;B948)</f>
        <v/>
      </c>
      <c r="F948" s="26">
        <f>IF(OR(E948="",C948=""),"",E948&amp;"|"&amp;C948)</f>
        <v/>
      </c>
    </row>
    <row r="949">
      <c r="E949" s="26">
        <f>IF(OR(A949="",B949=""),"",A949&amp;"|"&amp;B949)</f>
        <v/>
      </c>
      <c r="F949" s="26">
        <f>IF(OR(E949="",C949=""),"",E949&amp;"|"&amp;C949)</f>
        <v/>
      </c>
    </row>
    <row r="950">
      <c r="E950" s="26">
        <f>IF(OR(A950="",B950=""),"",A950&amp;"|"&amp;B950)</f>
        <v/>
      </c>
      <c r="F950" s="26">
        <f>IF(OR(E950="",C950=""),"",E950&amp;"|"&amp;C950)</f>
        <v/>
      </c>
    </row>
    <row r="951">
      <c r="E951" s="26">
        <f>IF(OR(A951="",B951=""),"",A951&amp;"|"&amp;B951)</f>
        <v/>
      </c>
      <c r="F951" s="26">
        <f>IF(OR(E951="",C951=""),"",E951&amp;"|"&amp;C951)</f>
        <v/>
      </c>
    </row>
    <row r="952">
      <c r="E952" s="26">
        <f>IF(OR(A952="",B952=""),"",A952&amp;"|"&amp;B952)</f>
        <v/>
      </c>
      <c r="F952" s="26">
        <f>IF(OR(E952="",C952=""),"",E952&amp;"|"&amp;C952)</f>
        <v/>
      </c>
    </row>
    <row r="953">
      <c r="E953" s="26">
        <f>IF(OR(A953="",B953=""),"",A953&amp;"|"&amp;B953)</f>
        <v/>
      </c>
      <c r="F953" s="26">
        <f>IF(OR(E953="",C953=""),"",E953&amp;"|"&amp;C953)</f>
        <v/>
      </c>
    </row>
    <row r="954">
      <c r="E954" s="26">
        <f>IF(OR(A954="",B954=""),"",A954&amp;"|"&amp;B954)</f>
        <v/>
      </c>
      <c r="F954" s="26">
        <f>IF(OR(E954="",C954=""),"",E954&amp;"|"&amp;C954)</f>
        <v/>
      </c>
    </row>
    <row r="955">
      <c r="E955" s="26">
        <f>IF(OR(A955="",B955=""),"",A955&amp;"|"&amp;B955)</f>
        <v/>
      </c>
      <c r="F955" s="26">
        <f>IF(OR(E955="",C955=""),"",E955&amp;"|"&amp;C955)</f>
        <v/>
      </c>
    </row>
    <row r="956">
      <c r="E956" s="26">
        <f>IF(OR(A956="",B956=""),"",A956&amp;"|"&amp;B956)</f>
        <v/>
      </c>
      <c r="F956" s="26">
        <f>IF(OR(E956="",C956=""),"",E956&amp;"|"&amp;C956)</f>
        <v/>
      </c>
    </row>
    <row r="957">
      <c r="E957" s="26">
        <f>IF(OR(A957="",B957=""),"",A957&amp;"|"&amp;B957)</f>
        <v/>
      </c>
      <c r="F957" s="26">
        <f>IF(OR(E957="",C957=""),"",E957&amp;"|"&amp;C957)</f>
        <v/>
      </c>
    </row>
    <row r="958">
      <c r="E958" s="26">
        <f>IF(OR(A958="",B958=""),"",A958&amp;"|"&amp;B958)</f>
        <v/>
      </c>
      <c r="F958" s="26">
        <f>IF(OR(E958="",C958=""),"",E958&amp;"|"&amp;C958)</f>
        <v/>
      </c>
    </row>
    <row r="959">
      <c r="E959" s="26">
        <f>IF(OR(A959="",B959=""),"",A959&amp;"|"&amp;B959)</f>
        <v/>
      </c>
      <c r="F959" s="26">
        <f>IF(OR(E959="",C959=""),"",E959&amp;"|"&amp;C959)</f>
        <v/>
      </c>
    </row>
    <row r="960">
      <c r="E960" s="26">
        <f>IF(OR(A960="",B960=""),"",A960&amp;"|"&amp;B960)</f>
        <v/>
      </c>
      <c r="F960" s="26">
        <f>IF(OR(E960="",C960=""),"",E960&amp;"|"&amp;C960)</f>
        <v/>
      </c>
    </row>
    <row r="961">
      <c r="E961" s="26">
        <f>IF(OR(A961="",B961=""),"",A961&amp;"|"&amp;B961)</f>
        <v/>
      </c>
      <c r="F961" s="26">
        <f>IF(OR(E961="",C961=""),"",E961&amp;"|"&amp;C961)</f>
        <v/>
      </c>
    </row>
    <row r="962">
      <c r="E962" s="26">
        <f>IF(OR(A962="",B962=""),"",A962&amp;"|"&amp;B962)</f>
        <v/>
      </c>
      <c r="F962" s="26">
        <f>IF(OR(E962="",C962=""),"",E962&amp;"|"&amp;C962)</f>
        <v/>
      </c>
    </row>
    <row r="963">
      <c r="E963" s="26">
        <f>IF(OR(A963="",B963=""),"",A963&amp;"|"&amp;B963)</f>
        <v/>
      </c>
      <c r="F963" s="26">
        <f>IF(OR(E963="",C963=""),"",E963&amp;"|"&amp;C963)</f>
        <v/>
      </c>
    </row>
    <row r="964">
      <c r="E964" s="26">
        <f>IF(OR(A964="",B964=""),"",A964&amp;"|"&amp;B964)</f>
        <v/>
      </c>
      <c r="F964" s="26">
        <f>IF(OR(E964="",C964=""),"",E964&amp;"|"&amp;C964)</f>
        <v/>
      </c>
    </row>
    <row r="965">
      <c r="E965" s="26">
        <f>IF(OR(A965="",B965=""),"",A965&amp;"|"&amp;B965)</f>
        <v/>
      </c>
      <c r="F965" s="26">
        <f>IF(OR(E965="",C965=""),"",E965&amp;"|"&amp;C965)</f>
        <v/>
      </c>
    </row>
    <row r="966">
      <c r="E966" s="26">
        <f>IF(OR(A966="",B966=""),"",A966&amp;"|"&amp;B966)</f>
        <v/>
      </c>
      <c r="F966" s="26">
        <f>IF(OR(E966="",C966=""),"",E966&amp;"|"&amp;C966)</f>
        <v/>
      </c>
    </row>
    <row r="967">
      <c r="E967" s="26">
        <f>IF(OR(A967="",B967=""),"",A967&amp;"|"&amp;B967)</f>
        <v/>
      </c>
      <c r="F967" s="26">
        <f>IF(OR(E967="",C967=""),"",E967&amp;"|"&amp;C967)</f>
        <v/>
      </c>
    </row>
    <row r="968">
      <c r="E968" s="26">
        <f>IF(OR(A968="",B968=""),"",A968&amp;"|"&amp;B968)</f>
        <v/>
      </c>
      <c r="F968" s="26">
        <f>IF(OR(E968="",C968=""),"",E968&amp;"|"&amp;C968)</f>
        <v/>
      </c>
    </row>
    <row r="969">
      <c r="E969" s="26">
        <f>IF(OR(A969="",B969=""),"",A969&amp;"|"&amp;B969)</f>
        <v/>
      </c>
      <c r="F969" s="26">
        <f>IF(OR(E969="",C969=""),"",E969&amp;"|"&amp;C969)</f>
        <v/>
      </c>
    </row>
    <row r="970">
      <c r="E970" s="26">
        <f>IF(OR(A970="",B970=""),"",A970&amp;"|"&amp;B970)</f>
        <v/>
      </c>
      <c r="F970" s="26">
        <f>IF(OR(E970="",C970=""),"",E970&amp;"|"&amp;C970)</f>
        <v/>
      </c>
    </row>
    <row r="971">
      <c r="E971" s="26">
        <f>IF(OR(A971="",B971=""),"",A971&amp;"|"&amp;B971)</f>
        <v/>
      </c>
      <c r="F971" s="26">
        <f>IF(OR(E971="",C971=""),"",E971&amp;"|"&amp;C971)</f>
        <v/>
      </c>
    </row>
    <row r="972">
      <c r="E972" s="26">
        <f>IF(OR(A972="",B972=""),"",A972&amp;"|"&amp;B972)</f>
        <v/>
      </c>
      <c r="F972" s="26">
        <f>IF(OR(E972="",C972=""),"",E972&amp;"|"&amp;C972)</f>
        <v/>
      </c>
    </row>
    <row r="973">
      <c r="E973" s="26">
        <f>IF(OR(A973="",B973=""),"",A973&amp;"|"&amp;B973)</f>
        <v/>
      </c>
      <c r="F973" s="26">
        <f>IF(OR(E973="",C973=""),"",E973&amp;"|"&amp;C973)</f>
        <v/>
      </c>
    </row>
    <row r="974">
      <c r="E974" s="26">
        <f>IF(OR(A974="",B974=""),"",A974&amp;"|"&amp;B974)</f>
        <v/>
      </c>
      <c r="F974" s="26">
        <f>IF(OR(E974="",C974=""),"",E974&amp;"|"&amp;C974)</f>
        <v/>
      </c>
    </row>
    <row r="975">
      <c r="E975" s="26">
        <f>IF(OR(A975="",B975=""),"",A975&amp;"|"&amp;B975)</f>
        <v/>
      </c>
      <c r="F975" s="26">
        <f>IF(OR(E975="",C975=""),"",E975&amp;"|"&amp;C975)</f>
        <v/>
      </c>
    </row>
    <row r="976">
      <c r="E976" s="26">
        <f>IF(OR(A976="",B976=""),"",A976&amp;"|"&amp;B976)</f>
        <v/>
      </c>
      <c r="F976" s="26">
        <f>IF(OR(E976="",C976=""),"",E976&amp;"|"&amp;C976)</f>
        <v/>
      </c>
    </row>
    <row r="977">
      <c r="E977" s="26">
        <f>IF(OR(A977="",B977=""),"",A977&amp;"|"&amp;B977)</f>
        <v/>
      </c>
      <c r="F977" s="26">
        <f>IF(OR(E977="",C977=""),"",E977&amp;"|"&amp;C977)</f>
        <v/>
      </c>
    </row>
    <row r="978">
      <c r="E978" s="26">
        <f>IF(OR(A978="",B978=""),"",A978&amp;"|"&amp;B978)</f>
        <v/>
      </c>
      <c r="F978" s="26">
        <f>IF(OR(E978="",C978=""),"",E978&amp;"|"&amp;C978)</f>
        <v/>
      </c>
    </row>
    <row r="979">
      <c r="E979" s="26">
        <f>IF(OR(A979="",B979=""),"",A979&amp;"|"&amp;B979)</f>
        <v/>
      </c>
      <c r="F979" s="26">
        <f>IF(OR(E979="",C979=""),"",E979&amp;"|"&amp;C979)</f>
        <v/>
      </c>
    </row>
    <row r="980">
      <c r="E980" s="26">
        <f>IF(OR(A980="",B980=""),"",A980&amp;"|"&amp;B980)</f>
        <v/>
      </c>
      <c r="F980" s="26">
        <f>IF(OR(E980="",C980=""),"",E980&amp;"|"&amp;C980)</f>
        <v/>
      </c>
    </row>
    <row r="981">
      <c r="E981" s="26">
        <f>IF(OR(A981="",B981=""),"",A981&amp;"|"&amp;B981)</f>
        <v/>
      </c>
      <c r="F981" s="26">
        <f>IF(OR(E981="",C981=""),"",E981&amp;"|"&amp;C981)</f>
        <v/>
      </c>
    </row>
    <row r="982">
      <c r="E982" s="26">
        <f>IF(OR(A982="",B982=""),"",A982&amp;"|"&amp;B982)</f>
        <v/>
      </c>
      <c r="F982" s="26">
        <f>IF(OR(E982="",C982=""),"",E982&amp;"|"&amp;C982)</f>
        <v/>
      </c>
    </row>
    <row r="983">
      <c r="E983" s="26">
        <f>IF(OR(A983="",B983=""),"",A983&amp;"|"&amp;B983)</f>
        <v/>
      </c>
      <c r="F983" s="26">
        <f>IF(OR(E983="",C983=""),"",E983&amp;"|"&amp;C983)</f>
        <v/>
      </c>
    </row>
    <row r="984">
      <c r="E984" s="26">
        <f>IF(OR(A984="",B984=""),"",A984&amp;"|"&amp;B984)</f>
        <v/>
      </c>
      <c r="F984" s="26">
        <f>IF(OR(E984="",C984=""),"",E984&amp;"|"&amp;C984)</f>
        <v/>
      </c>
    </row>
    <row r="985">
      <c r="E985" s="26">
        <f>IF(OR(A985="",B985=""),"",A985&amp;"|"&amp;B985)</f>
        <v/>
      </c>
      <c r="F985" s="26">
        <f>IF(OR(E985="",C985=""),"",E985&amp;"|"&amp;C985)</f>
        <v/>
      </c>
    </row>
    <row r="986">
      <c r="E986" s="26">
        <f>IF(OR(A986="",B986=""),"",A986&amp;"|"&amp;B986)</f>
        <v/>
      </c>
      <c r="F986" s="26">
        <f>IF(OR(E986="",C986=""),"",E986&amp;"|"&amp;C986)</f>
        <v/>
      </c>
    </row>
    <row r="987">
      <c r="E987" s="26">
        <f>IF(OR(A987="",B987=""),"",A987&amp;"|"&amp;B987)</f>
        <v/>
      </c>
      <c r="F987" s="26">
        <f>IF(OR(E987="",C987=""),"",E987&amp;"|"&amp;C987)</f>
        <v/>
      </c>
    </row>
    <row r="988">
      <c r="E988" s="26">
        <f>IF(OR(A988="",B988=""),"",A988&amp;"|"&amp;B988)</f>
        <v/>
      </c>
      <c r="F988" s="26">
        <f>IF(OR(E988="",C988=""),"",E988&amp;"|"&amp;C988)</f>
        <v/>
      </c>
    </row>
    <row r="989">
      <c r="E989" s="26">
        <f>IF(OR(A989="",B989=""),"",A989&amp;"|"&amp;B989)</f>
        <v/>
      </c>
      <c r="F989" s="26">
        <f>IF(OR(E989="",C989=""),"",E989&amp;"|"&amp;C989)</f>
        <v/>
      </c>
    </row>
    <row r="990">
      <c r="E990" s="26">
        <f>IF(OR(A990="",B990=""),"",A990&amp;"|"&amp;B990)</f>
        <v/>
      </c>
      <c r="F990" s="26">
        <f>IF(OR(E990="",C990=""),"",E990&amp;"|"&amp;C990)</f>
        <v/>
      </c>
    </row>
    <row r="991">
      <c r="E991" s="26">
        <f>IF(OR(A991="",B991=""),"",A991&amp;"|"&amp;B991)</f>
        <v/>
      </c>
      <c r="F991" s="26">
        <f>IF(OR(E991="",C991=""),"",E991&amp;"|"&amp;C991)</f>
        <v/>
      </c>
    </row>
    <row r="992">
      <c r="E992" s="26">
        <f>IF(OR(A992="",B992=""),"",A992&amp;"|"&amp;B992)</f>
        <v/>
      </c>
      <c r="F992" s="26">
        <f>IF(OR(E992="",C992=""),"",E992&amp;"|"&amp;C992)</f>
        <v/>
      </c>
    </row>
    <row r="993">
      <c r="E993" s="26">
        <f>IF(OR(A993="",B993=""),"",A993&amp;"|"&amp;B993)</f>
        <v/>
      </c>
      <c r="F993" s="26">
        <f>IF(OR(E993="",C993=""),"",E993&amp;"|"&amp;C993)</f>
        <v/>
      </c>
    </row>
    <row r="994">
      <c r="E994" s="26">
        <f>IF(OR(A994="",B994=""),"",A994&amp;"|"&amp;B994)</f>
        <v/>
      </c>
      <c r="F994" s="26">
        <f>IF(OR(E994="",C994=""),"",E994&amp;"|"&amp;C994)</f>
        <v/>
      </c>
    </row>
    <row r="995">
      <c r="E995" s="26">
        <f>IF(OR(A995="",B995=""),"",A995&amp;"|"&amp;B995)</f>
        <v/>
      </c>
      <c r="F995" s="26">
        <f>IF(OR(E995="",C995=""),"",E995&amp;"|"&amp;C995)</f>
        <v/>
      </c>
    </row>
    <row r="996">
      <c r="E996" s="26">
        <f>IF(OR(A996="",B996=""),"",A996&amp;"|"&amp;B996)</f>
        <v/>
      </c>
      <c r="F996" s="26">
        <f>IF(OR(E996="",C996=""),"",E996&amp;"|"&amp;C996)</f>
        <v/>
      </c>
    </row>
    <row r="997">
      <c r="E997" s="26">
        <f>IF(OR(A997="",B997=""),"",A997&amp;"|"&amp;B997)</f>
        <v/>
      </c>
      <c r="F997" s="26">
        <f>IF(OR(E997="",C997=""),"",E997&amp;"|"&amp;C997)</f>
        <v/>
      </c>
    </row>
    <row r="998">
      <c r="E998" s="26">
        <f>IF(OR(A998="",B998=""),"",A998&amp;"|"&amp;B998)</f>
        <v/>
      </c>
      <c r="F998" s="26">
        <f>IF(OR(E998="",C998=""),"",E998&amp;"|"&amp;C998)</f>
        <v/>
      </c>
    </row>
    <row r="999">
      <c r="E999" s="26">
        <f>IF(OR(A999="",B999=""),"",A999&amp;"|"&amp;B999)</f>
        <v/>
      </c>
      <c r="F999" s="26">
        <f>IF(OR(E999="",C999=""),"",E999&amp;"|"&amp;C999)</f>
        <v/>
      </c>
    </row>
    <row r="1000">
      <c r="E1000" s="26">
        <f>IF(OR(A1000="",B1000=""),"",A1000&amp;"|"&amp;B1000)</f>
        <v/>
      </c>
      <c r="F1000" s="26">
        <f>IF(OR(E1000="",C1000=""),"",E1000&amp;"|"&amp;C1000)</f>
        <v/>
      </c>
    </row>
  </sheetData>
  <autoFilter ref="A1:F775"/>
  <dataValidations count="1">
    <dataValidation sqref="D2:D1000" showDropDown="0" showInputMessage="0" showErrorMessage="0" allowBlank="1" type="list">
      <formula1>"YNC,FUN,FALLAP,DESDE,PERM,ENC,OTRAF,LUZ,SENAL,AUTON,ZONAC,MANT,ABCE,ZONAI,ERR,PROG,SO,TEL,JUE,NCTRL,SOL,DANO,CUANDO,MOM,LIQ,E_PANT,E_CARC,PIN,ANTIG,USO,URG,CONT,BATED,CANT,CAID,DISCO,BATNIV,YN,YNS,TXT"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8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  <col width="34" customWidth="1" min="5" max="5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</cols>
  <sheetData>
    <row r="1">
      <c r="A1" s="27" t="inlineStr">
        <is>
          <t>Tipo de equipo</t>
        </is>
      </c>
      <c r="B1" s="27" t="inlineStr">
        <is>
          <t>Clave</t>
        </is>
      </c>
      <c r="D1" s="27" t="inlineStr">
        <is>
          <t>Equipo</t>
        </is>
      </c>
      <c r="E1" s="27" t="inlineStr">
        <is>
          <t>Categoría / Falla</t>
        </is>
      </c>
      <c r="N1" s="27" t="inlineStr">
        <is>
          <t>L_YNC</t>
        </is>
      </c>
      <c r="O1" s="27" t="inlineStr">
        <is>
          <t>L_FUN</t>
        </is>
      </c>
      <c r="P1" s="27" t="inlineStr">
        <is>
          <t>L_FALLAP</t>
        </is>
      </c>
      <c r="Q1" s="27" t="inlineStr">
        <is>
          <t>L_DESDE</t>
        </is>
      </c>
      <c r="R1" s="27" t="inlineStr">
        <is>
          <t>L_PERM</t>
        </is>
      </c>
      <c r="S1" s="27" t="inlineStr">
        <is>
          <t>L_ENC</t>
        </is>
      </c>
      <c r="T1" s="27" t="inlineStr">
        <is>
          <t>L_OTRAF</t>
        </is>
      </c>
      <c r="U1" s="27" t="inlineStr">
        <is>
          <t>L_LUZ</t>
        </is>
      </c>
      <c r="V1" s="27" t="inlineStr">
        <is>
          <t>L_SENAL</t>
        </is>
      </c>
      <c r="W1" s="27" t="inlineStr">
        <is>
          <t>L_AUTON</t>
        </is>
      </c>
      <c r="X1" s="27" t="inlineStr">
        <is>
          <t>L_ZONAC</t>
        </is>
      </c>
      <c r="Y1" s="27" t="inlineStr">
        <is>
          <t>L_MANT</t>
        </is>
      </c>
      <c r="Z1" s="27" t="inlineStr">
        <is>
          <t>L_ABCE</t>
        </is>
      </c>
      <c r="AA1" s="27" t="inlineStr">
        <is>
          <t>L_ZONAI</t>
        </is>
      </c>
      <c r="AB1" s="27" t="inlineStr">
        <is>
          <t>L_ERR</t>
        </is>
      </c>
      <c r="AC1" s="27" t="inlineStr">
        <is>
          <t>L_PROG</t>
        </is>
      </c>
      <c r="AD1" s="27" t="inlineStr">
        <is>
          <t>L_SO</t>
        </is>
      </c>
      <c r="AE1" s="27" t="inlineStr">
        <is>
          <t>L_TEL</t>
        </is>
      </c>
      <c r="AF1" s="27" t="inlineStr">
        <is>
          <t>L_JUE</t>
        </is>
      </c>
      <c r="AG1" s="27" t="inlineStr">
        <is>
          <t>L_NCTRL</t>
        </is>
      </c>
      <c r="AH1" s="27" t="inlineStr">
        <is>
          <t>L_SOL</t>
        </is>
      </c>
      <c r="AI1" s="27" t="inlineStr">
        <is>
          <t>L_DANO</t>
        </is>
      </c>
      <c r="AJ1" s="27" t="inlineStr">
        <is>
          <t>L_CUANDO</t>
        </is>
      </c>
      <c r="AK1" s="27" t="inlineStr">
        <is>
          <t>L_MOM</t>
        </is>
      </c>
      <c r="AL1" s="27" t="inlineStr">
        <is>
          <t>L_LIQ</t>
        </is>
      </c>
      <c r="AM1" s="27" t="inlineStr">
        <is>
          <t>L_E_PANT</t>
        </is>
      </c>
      <c r="AN1" s="27" t="inlineStr">
        <is>
          <t>L_E_CARC</t>
        </is>
      </c>
      <c r="AO1" s="27" t="inlineStr">
        <is>
          <t>L_PIN</t>
        </is>
      </c>
      <c r="AP1" s="27" t="inlineStr">
        <is>
          <t>L_ANTIG</t>
        </is>
      </c>
      <c r="AQ1" s="27" t="inlineStr">
        <is>
          <t>L_USO</t>
        </is>
      </c>
      <c r="AR1" s="27" t="inlineStr">
        <is>
          <t>L_URG</t>
        </is>
      </c>
      <c r="AS1" s="27" t="inlineStr">
        <is>
          <t>L_CONT</t>
        </is>
      </c>
      <c r="AT1" s="27" t="inlineStr">
        <is>
          <t>L_BATED</t>
        </is>
      </c>
      <c r="AU1" s="27" t="inlineStr">
        <is>
          <t>L_CANT</t>
        </is>
      </c>
      <c r="AV1" s="27" t="inlineStr">
        <is>
          <t>L_CAID</t>
        </is>
      </c>
      <c r="AW1" s="27" t="inlineStr">
        <is>
          <t>L_DISCO</t>
        </is>
      </c>
      <c r="AX1" s="27" t="inlineStr">
        <is>
          <t>L_BATNIV</t>
        </is>
      </c>
      <c r="AY1" s="27" t="inlineStr">
        <is>
          <t>L_YN</t>
        </is>
      </c>
      <c r="AZ1" s="27" t="inlineStr">
        <is>
          <t>L_YNS</t>
        </is>
      </c>
      <c r="BA1" s="27" t="inlineStr">
        <is>
          <t>L_TXT</t>
        </is>
      </c>
    </row>
    <row r="2">
      <c r="A2" s="28" t="inlineStr">
        <is>
          <t>Celular</t>
        </is>
      </c>
      <c r="B2" s="28" t="inlineStr">
        <is>
          <t>Celular</t>
        </is>
      </c>
      <c r="D2" s="28" t="inlineStr">
        <is>
          <t>Celular</t>
        </is>
      </c>
      <c r="E2" s="28" t="inlineStr">
        <is>
          <t>Datos generales</t>
        </is>
      </c>
      <c r="N2" s="28" t="inlineStr">
        <is>
          <t>Sí</t>
        </is>
      </c>
      <c r="O2" s="28" t="inlineStr">
        <is>
          <t>Funciona</t>
        </is>
      </c>
      <c r="P2" s="28" t="inlineStr">
        <is>
          <t>No enciende</t>
        </is>
      </c>
      <c r="Q2" s="28" t="inlineStr">
        <is>
          <t>Hoy</t>
        </is>
      </c>
      <c r="R2" s="28" t="inlineStr">
        <is>
          <t>Permanente</t>
        </is>
      </c>
      <c r="S2" s="28" t="inlineStr">
        <is>
          <t>Sí</t>
        </is>
      </c>
      <c r="T2" s="28" t="inlineStr">
        <is>
          <t>Ninguna</t>
        </is>
      </c>
      <c r="U2" s="28" t="inlineStr">
        <is>
          <t>Ninguna</t>
        </is>
      </c>
      <c r="V2" s="28" t="inlineStr">
        <is>
          <t>Ninguna</t>
        </is>
      </c>
      <c r="W2" s="28" t="inlineStr">
        <is>
          <t>Menos de 30 minutos</t>
        </is>
      </c>
      <c r="X2" s="28" t="inlineStr">
        <is>
          <t>Parte trasera</t>
        </is>
      </c>
      <c r="Y2" s="28" t="inlineStr">
        <is>
          <t>Nunca</t>
        </is>
      </c>
      <c r="Z2" s="28" t="inlineStr">
        <is>
          <t>Abierta</t>
        </is>
      </c>
      <c r="AA2" s="28" t="inlineStr">
        <is>
          <t>Pantalla</t>
        </is>
      </c>
      <c r="AB2" s="28" t="inlineStr">
        <is>
          <t>No aparece error</t>
        </is>
      </c>
      <c r="AC2" s="28" t="inlineStr">
        <is>
          <t>Todos por igual</t>
        </is>
      </c>
      <c r="AD2" s="28" t="inlineStr">
        <is>
          <t>Windows 11</t>
        </is>
      </c>
      <c r="AE2" s="28" t="inlineStr">
        <is>
          <t>iPhone</t>
        </is>
      </c>
      <c r="AF2" s="28" t="inlineStr">
        <is>
          <t>Todos los discos</t>
        </is>
      </c>
      <c r="AG2" s="28" t="inlineStr">
        <is>
          <t>Ninguno</t>
        </is>
      </c>
      <c r="AH2" s="28" t="inlineStr">
        <is>
          <t>Ninguna</t>
        </is>
      </c>
      <c r="AI2" s="28" t="inlineStr">
        <is>
          <t>Ninguno</t>
        </is>
      </c>
      <c r="AJ2" s="28" t="inlineStr">
        <is>
          <t>Hoy</t>
        </is>
      </c>
      <c r="AK2" s="28" t="inlineStr">
        <is>
          <t>Uso normal</t>
        </is>
      </c>
      <c r="AL2" s="28" t="inlineStr">
        <is>
          <t>Agua</t>
        </is>
      </c>
      <c r="AM2" s="28" t="inlineStr">
        <is>
          <t>Sin daño</t>
        </is>
      </c>
      <c r="AN2" s="28" t="inlineStr">
        <is>
          <t>Buen estado</t>
        </is>
      </c>
      <c r="AO2" s="28" t="inlineStr">
        <is>
          <t>Proporcionó la contraseña</t>
        </is>
      </c>
      <c r="AP2" s="28" t="inlineStr">
        <is>
          <t>Menos de 6 meses</t>
        </is>
      </c>
      <c r="AQ2" s="28" t="inlineStr">
        <is>
          <t>Personal</t>
        </is>
      </c>
      <c r="AR2" s="28" t="inlineStr">
        <is>
          <t>Hoy mismo</t>
        </is>
      </c>
      <c r="AS2" s="28" t="inlineStr">
        <is>
          <t>WhatsApp</t>
        </is>
      </c>
      <c r="AT2" s="28" t="inlineStr">
        <is>
          <t>Menos de 1 año</t>
        </is>
      </c>
      <c r="AU2" s="28" t="inlineStr">
        <is>
          <t>Unas gotas</t>
        </is>
      </c>
      <c r="AV2" s="28" t="inlineStr">
        <is>
          <t>Una vez</t>
        </is>
      </c>
      <c r="AW2" s="28" t="inlineStr">
        <is>
          <t>HDD (mecánico)</t>
        </is>
      </c>
      <c r="AX2" s="28" t="inlineStr">
        <is>
          <t>Menos de 20%</t>
        </is>
      </c>
      <c r="AY2" s="28" t="inlineStr">
        <is>
          <t>Sí</t>
        </is>
      </c>
      <c r="AZ2" s="28" t="inlineStr">
        <is>
          <t>Sí</t>
        </is>
      </c>
      <c r="BA2" s="28" t="inlineStr">
        <is>
          <t>(escriba aquí)</t>
        </is>
      </c>
    </row>
    <row r="3">
      <c r="A3" s="28" t="inlineStr">
        <is>
          <t>Reloj</t>
        </is>
      </c>
      <c r="B3" s="28" t="inlineStr">
        <is>
          <t>Reloj</t>
        </is>
      </c>
      <c r="D3" s="28" t="inlineStr">
        <is>
          <t>Celular</t>
        </is>
      </c>
      <c r="E3" s="28" t="inlineStr">
        <is>
          <t>No enciende</t>
        </is>
      </c>
      <c r="N3" s="28" t="inlineStr">
        <is>
          <t>No</t>
        </is>
      </c>
      <c r="O3" s="28" t="inlineStr">
        <is>
          <t>No funciona</t>
        </is>
      </c>
      <c r="P3" s="28" t="inlineStr">
        <is>
          <t>No carga / batería</t>
        </is>
      </c>
      <c r="Q3" s="28" t="inlineStr">
        <is>
          <t>Últimos 3 días</t>
        </is>
      </c>
      <c r="R3" s="28" t="inlineStr">
        <is>
          <t>Sucede algunas veces</t>
        </is>
      </c>
      <c r="S3" s="28" t="inlineStr">
        <is>
          <t>No</t>
        </is>
      </c>
      <c r="T3" s="28" t="inlineStr">
        <is>
          <t>Pantalla</t>
        </is>
      </c>
      <c r="U3" s="28" t="inlineStr">
        <is>
          <t>Roja</t>
        </is>
      </c>
      <c r="V3" s="28" t="inlineStr">
        <is>
          <t>Luz</t>
        </is>
      </c>
      <c r="W3" s="28" t="inlineStr">
        <is>
          <t>30 min a 1 hora</t>
        </is>
      </c>
      <c r="X3" s="28" t="inlineStr">
        <is>
          <t>Parte superior</t>
        </is>
      </c>
      <c r="Y3" s="28" t="inlineStr">
        <is>
          <t>Menos de 6 meses</t>
        </is>
      </c>
      <c r="Z3" s="28" t="inlineStr">
        <is>
          <t>Cerrada</t>
        </is>
      </c>
      <c r="AA3" s="28" t="inlineStr">
        <is>
          <t>Esquina</t>
        </is>
      </c>
      <c r="AB3" s="28" t="inlineStr">
        <is>
          <t>Error de actualización</t>
        </is>
      </c>
      <c r="AC3" s="28" t="inlineStr">
        <is>
          <t>Navegador</t>
        </is>
      </c>
      <c r="AD3" s="28" t="inlineStr">
        <is>
          <t>Windows 10</t>
        </is>
      </c>
      <c r="AE3" s="28" t="inlineStr">
        <is>
          <t>Android</t>
        </is>
      </c>
      <c r="AF3" s="28" t="inlineStr">
        <is>
          <t>Solo algunos</t>
        </is>
      </c>
      <c r="AG3" s="28" t="inlineStr">
        <is>
          <t>1</t>
        </is>
      </c>
      <c r="AH3" s="28" t="inlineStr">
        <is>
          <t>Reinició el equipo</t>
        </is>
      </c>
      <c r="AI3" s="28" t="inlineStr">
        <is>
          <t>Rayones leves</t>
        </is>
      </c>
      <c r="AJ3" s="28" t="inlineStr">
        <is>
          <t>Esta semana</t>
        </is>
      </c>
      <c r="AK3" s="28" t="inlineStr">
        <is>
          <t>Juegos</t>
        </is>
      </c>
      <c r="AL3" s="28" t="inlineStr">
        <is>
          <t>Agua de piscina</t>
        </is>
      </c>
      <c r="AM3" s="28" t="inlineStr">
        <is>
          <t>Rayones</t>
        </is>
      </c>
      <c r="AN3" s="28" t="inlineStr">
        <is>
          <t>Rayones</t>
        </is>
      </c>
      <c r="AO3" s="28" t="inlineStr">
        <is>
          <t>Cliente la ingresará en la prueba</t>
        </is>
      </c>
      <c r="AP3" s="28" t="inlineStr">
        <is>
          <t>6 meses a 1 año</t>
        </is>
      </c>
      <c r="AQ3" s="28" t="inlineStr">
        <is>
          <t>Trabajo</t>
        </is>
      </c>
      <c r="AR3" s="28" t="inlineStr">
        <is>
          <t>En 2 o 3 días</t>
        </is>
      </c>
      <c r="AS3" s="28" t="inlineStr">
        <is>
          <t>Llamada</t>
        </is>
      </c>
      <c r="AT3" s="28" t="inlineStr">
        <is>
          <t>1 a 2 años</t>
        </is>
      </c>
      <c r="AU3" s="28" t="inlineStr">
        <is>
          <t>Derrame pequeño</t>
        </is>
      </c>
      <c r="AV3" s="28" t="inlineStr">
        <is>
          <t>Varias veces</t>
        </is>
      </c>
      <c r="AW3" s="28" t="inlineStr">
        <is>
          <t>SSD</t>
        </is>
      </c>
      <c r="AX3" s="28" t="inlineStr">
        <is>
          <t>20% a 50%</t>
        </is>
      </c>
      <c r="AY3" s="28" t="inlineStr">
        <is>
          <t>No</t>
        </is>
      </c>
      <c r="AZ3" s="28" t="inlineStr">
        <is>
          <t>No</t>
        </is>
      </c>
    </row>
    <row r="4">
      <c r="A4" s="28" t="inlineStr">
        <is>
          <t>Computadora</t>
        </is>
      </c>
      <c r="B4" s="28" t="inlineStr">
        <is>
          <t>Computadora</t>
        </is>
      </c>
      <c r="D4" s="28" t="inlineStr">
        <is>
          <t>Celular</t>
        </is>
      </c>
      <c r="E4" s="28" t="inlineStr">
        <is>
          <t>Batería / No carga</t>
        </is>
      </c>
      <c r="N4" s="28" t="inlineStr">
        <is>
          <t>No fue posible comprobar</t>
        </is>
      </c>
      <c r="O4" s="28" t="inlineStr">
        <is>
          <t>No probado</t>
        </is>
      </c>
      <c r="P4" s="28" t="inlineStr">
        <is>
          <t>Pantalla dañada o sin imagen</t>
        </is>
      </c>
      <c r="Q4" s="28" t="inlineStr">
        <is>
          <t>Esta semana</t>
        </is>
      </c>
      <c r="R4" s="28" t="inlineStr">
        <is>
          <t>No sabe</t>
        </is>
      </c>
      <c r="S4" s="28" t="inlineStr">
        <is>
          <t>Intermitente</t>
        </is>
      </c>
      <c r="T4" s="28" t="inlineStr">
        <is>
          <t>Batería o carga</t>
        </is>
      </c>
      <c r="U4" s="28" t="inlineStr">
        <is>
          <t>Azul</t>
        </is>
      </c>
      <c r="V4" s="28" t="inlineStr">
        <is>
          <t>Vibración</t>
        </is>
      </c>
      <c r="W4" s="28" t="inlineStr">
        <is>
          <t>1 a 3 horas</t>
        </is>
      </c>
      <c r="X4" s="28" t="inlineStr">
        <is>
          <t>Cerca de la batería</t>
        </is>
      </c>
      <c r="Y4" s="28" t="inlineStr">
        <is>
          <t>6 a 12 meses</t>
        </is>
      </c>
      <c r="Z4" s="28" t="inlineStr">
        <is>
          <t>No sabe</t>
        </is>
      </c>
      <c r="AA4" s="28" t="inlineStr">
        <is>
          <t>Parte trasera</t>
        </is>
      </c>
      <c r="AB4" s="28" t="inlineStr">
        <is>
          <t>Error de disco</t>
        </is>
      </c>
      <c r="AC4" s="28" t="inlineStr">
        <is>
          <t>Juegos</t>
        </is>
      </c>
      <c r="AD4" s="28" t="inlineStr">
        <is>
          <t>Windows 7 o anterior</t>
        </is>
      </c>
      <c r="AE4" s="28" t="inlineStr">
        <is>
          <t>No sabe</t>
        </is>
      </c>
      <c r="AF4" s="28" t="inlineStr">
        <is>
          <t>Un solo disco</t>
        </is>
      </c>
      <c r="AG4" s="28" t="inlineStr">
        <is>
          <t>2</t>
        </is>
      </c>
      <c r="AH4" s="28" t="inlineStr">
        <is>
          <t>Cambió cargador o cable</t>
        </is>
      </c>
      <c r="AI4" s="28" t="inlineStr">
        <is>
          <t>Golpes</t>
        </is>
      </c>
      <c r="AJ4" s="28" t="inlineStr">
        <is>
          <t>Este mes</t>
        </is>
      </c>
      <c r="AK4" s="28" t="inlineStr">
        <is>
          <t>Cargando</t>
        </is>
      </c>
      <c r="AL4" s="28" t="inlineStr">
        <is>
          <t>Agua de mar</t>
        </is>
      </c>
      <c r="AM4" s="28" t="inlineStr">
        <is>
          <t>Quebrada</t>
        </is>
      </c>
      <c r="AN4" s="28" t="inlineStr">
        <is>
          <t>Golpes o abolladuras</t>
        </is>
      </c>
      <c r="AO4" s="28" t="inlineStr">
        <is>
          <t>No proporcionó contraseña</t>
        </is>
      </c>
      <c r="AP4" s="28" t="inlineStr">
        <is>
          <t>1 a 2 años</t>
        </is>
      </c>
      <c r="AQ4" s="28" t="inlineStr">
        <is>
          <t>Estudio</t>
        </is>
      </c>
      <c r="AR4" s="28" t="inlineStr">
        <is>
          <t>Esta semana</t>
        </is>
      </c>
      <c r="AS4" s="28" t="inlineStr">
        <is>
          <t>Correo</t>
        </is>
      </c>
      <c r="AT4" s="28" t="inlineStr">
        <is>
          <t>2 a 3 años</t>
        </is>
      </c>
      <c r="AU4" s="28" t="inlineStr">
        <is>
          <t>Derrame grande</t>
        </is>
      </c>
      <c r="AV4" s="28" t="inlineStr">
        <is>
          <t>No sabe</t>
        </is>
      </c>
      <c r="AW4" s="28" t="inlineStr">
        <is>
          <t>No sabe</t>
        </is>
      </c>
      <c r="AX4" s="28" t="inlineStr">
        <is>
          <t>50% a 80%</t>
        </is>
      </c>
      <c r="AZ4" s="28" t="inlineStr">
        <is>
          <t>No sé</t>
        </is>
      </c>
    </row>
    <row r="5">
      <c r="A5" s="28" t="inlineStr">
        <is>
          <t>Consola</t>
        </is>
      </c>
      <c r="B5" s="28" t="inlineStr">
        <is>
          <t>Consola</t>
        </is>
      </c>
      <c r="D5" s="28" t="inlineStr">
        <is>
          <t>Celular</t>
        </is>
      </c>
      <c r="E5" s="28" t="inlineStr">
        <is>
          <t>Calentamiento / Se apaga</t>
        </is>
      </c>
      <c r="P5" s="28" t="inlineStr">
        <is>
          <t>Se calienta o se apaga</t>
        </is>
      </c>
      <c r="Q5" s="28" t="inlineStr">
        <is>
          <t>Este mes</t>
        </is>
      </c>
      <c r="S5" s="28" t="inlineStr">
        <is>
          <t>No sé</t>
        </is>
      </c>
      <c r="T5" s="28" t="inlineStr">
        <is>
          <t>Sonido</t>
        </is>
      </c>
      <c r="U5" s="28" t="inlineStr">
        <is>
          <t>Blanca</t>
        </is>
      </c>
      <c r="V5" s="28" t="inlineStr">
        <is>
          <t>Sonido</t>
        </is>
      </c>
      <c r="W5" s="28" t="inlineStr">
        <is>
          <t>3 a 6 horas</t>
        </is>
      </c>
      <c r="X5" s="28" t="inlineStr">
        <is>
          <t>Cerca de la cámara</t>
        </is>
      </c>
      <c r="Y5" s="28" t="inlineStr">
        <is>
          <t>Más de 1 año</t>
        </is>
      </c>
      <c r="AA5" s="28" t="inlineStr">
        <is>
          <t>Lateral</t>
        </is>
      </c>
      <c r="AB5" s="28" t="inlineStr">
        <is>
          <t>Error de red</t>
        </is>
      </c>
      <c r="AC5" s="28" t="inlineStr">
        <is>
          <t>Programas de trabajo</t>
        </is>
      </c>
      <c r="AD5" s="28" t="inlineStr">
        <is>
          <t>macOS</t>
        </is>
      </c>
      <c r="AF5" s="28" t="inlineStr">
        <is>
          <t>No aplica</t>
        </is>
      </c>
      <c r="AG5" s="28" t="inlineStr">
        <is>
          <t>3 o más</t>
        </is>
      </c>
      <c r="AH5" s="28" t="inlineStr">
        <is>
          <t>Restableció de fábrica</t>
        </is>
      </c>
      <c r="AI5" s="28" t="inlineStr">
        <is>
          <t>Grietas</t>
        </is>
      </c>
      <c r="AJ5" s="28" t="inlineStr">
        <is>
          <t>Hace más de 1 mes</t>
        </is>
      </c>
      <c r="AK5" s="28" t="inlineStr">
        <is>
          <t>Siempre</t>
        </is>
      </c>
      <c r="AL5" s="28" t="inlineStr">
        <is>
          <t>Café</t>
        </is>
      </c>
      <c r="AM5" s="28" t="inlineStr">
        <is>
          <t>Manchas o líneas</t>
        </is>
      </c>
      <c r="AN5" s="28" t="inlineStr">
        <is>
          <t>Carcasa rota</t>
        </is>
      </c>
      <c r="AO5" s="28" t="inlineStr">
        <is>
          <t>No aplica</t>
        </is>
      </c>
      <c r="AP5" s="28" t="inlineStr">
        <is>
          <t>2 a 4 años</t>
        </is>
      </c>
      <c r="AQ5" s="28" t="inlineStr">
        <is>
          <t>Personal y trabajo</t>
        </is>
      </c>
      <c r="AR5" s="28" t="inlineStr">
        <is>
          <t>Sin prisa</t>
        </is>
      </c>
      <c r="AS5" s="28" t="inlineStr">
        <is>
          <t>Pasará por el taller</t>
        </is>
      </c>
      <c r="AT5" s="28" t="inlineStr">
        <is>
          <t>Más de 3 años</t>
        </is>
      </c>
      <c r="AU5" s="28" t="inlineStr">
        <is>
          <t>Sumergido completamente</t>
        </is>
      </c>
      <c r="AX5" s="28" t="inlineStr">
        <is>
          <t>Más de 80%</t>
        </is>
      </c>
    </row>
    <row r="6">
      <c r="D6" s="28" t="inlineStr">
        <is>
          <t>Celular</t>
        </is>
      </c>
      <c r="E6" s="28" t="inlineStr">
        <is>
          <t>Contacto con líquido</t>
        </is>
      </c>
      <c r="P6" s="28" t="inlineStr">
        <is>
          <t>Lentitud o se congela</t>
        </is>
      </c>
      <c r="Q6" s="28" t="inlineStr">
        <is>
          <t>Hace 1 a 3 meses</t>
        </is>
      </c>
      <c r="T6" s="28" t="inlineStr">
        <is>
          <t>Cámara</t>
        </is>
      </c>
      <c r="U6" s="28" t="inlineStr">
        <is>
          <t>Naranja</t>
        </is>
      </c>
      <c r="V6" s="28" t="inlineStr">
        <is>
          <t>Varias señales</t>
        </is>
      </c>
      <c r="W6" s="28" t="inlineStr">
        <is>
          <t>Más de 6 horas</t>
        </is>
      </c>
      <c r="X6" s="28" t="inlineStr">
        <is>
          <t>Todo el equipo</t>
        </is>
      </c>
      <c r="Y6" s="28" t="inlineStr">
        <is>
          <t>No sabe</t>
        </is>
      </c>
      <c r="AA6" s="28" t="inlineStr">
        <is>
          <t>Parte inferior</t>
        </is>
      </c>
      <c r="AB6" s="28" t="inlineStr">
        <is>
          <t>Error de hardware</t>
        </is>
      </c>
      <c r="AC6" s="28" t="inlineStr">
        <is>
          <t>Redes sociales / mensajería</t>
        </is>
      </c>
      <c r="AD6" s="28" t="inlineStr">
        <is>
          <t>Linux</t>
        </is>
      </c>
      <c r="AH6" s="28" t="inlineStr">
        <is>
          <t>Lo llevó a otro taller</t>
        </is>
      </c>
      <c r="AI6" s="28" t="inlineStr">
        <is>
          <t>Piezas sueltas</t>
        </is>
      </c>
      <c r="AJ6" s="28" t="inlineStr">
        <is>
          <t>No sabe</t>
        </is>
      </c>
      <c r="AL6" s="28" t="inlineStr">
        <is>
          <t>Gaseosa</t>
        </is>
      </c>
      <c r="AP6" s="28" t="inlineStr">
        <is>
          <t>Más de 4 años</t>
        </is>
      </c>
      <c r="AT6" s="28" t="inlineStr">
        <is>
          <t>No sabe</t>
        </is>
      </c>
      <c r="AU6" s="28" t="inlineStr">
        <is>
          <t>No sabe</t>
        </is>
      </c>
      <c r="AX6" s="28" t="inlineStr">
        <is>
          <t>No fue posible comprobar</t>
        </is>
      </c>
    </row>
    <row r="7">
      <c r="D7" s="28" t="inlineStr">
        <is>
          <t>Celular</t>
        </is>
      </c>
      <c r="E7" s="28" t="inlineStr">
        <is>
          <t>Golpe / Caída</t>
        </is>
      </c>
      <c r="P7" s="28" t="inlineStr">
        <is>
          <t>Golpe o caída</t>
        </is>
      </c>
      <c r="Q7" s="28" t="inlineStr">
        <is>
          <t>Hace más de 3 meses</t>
        </is>
      </c>
      <c r="T7" s="28" t="inlineStr">
        <is>
          <t>Señal / Wi-Fi</t>
        </is>
      </c>
      <c r="U7" s="28" t="inlineStr">
        <is>
          <t>Verde</t>
        </is>
      </c>
      <c r="W7" s="28" t="inlineStr">
        <is>
          <t>No sabe</t>
        </is>
      </c>
      <c r="X7" s="28" t="inlineStr">
        <is>
          <t>No sabe</t>
        </is>
      </c>
      <c r="AA7" s="28" t="inlineStr">
        <is>
          <t>Parte superior</t>
        </is>
      </c>
      <c r="AB7" s="28" t="inlineStr">
        <is>
          <t>No sabe</t>
        </is>
      </c>
      <c r="AC7" s="28" t="inlineStr">
        <is>
          <t>Ninguno en específico</t>
        </is>
      </c>
      <c r="AD7" s="28" t="inlineStr">
        <is>
          <t>No sabe</t>
        </is>
      </c>
      <c r="AH7" s="28" t="inlineStr">
        <is>
          <t>Lo intentó reparar personalmente</t>
        </is>
      </c>
      <c r="AI7" s="28" t="inlineStr">
        <is>
          <t>Faltan piezas</t>
        </is>
      </c>
      <c r="AL7" s="28" t="inlineStr">
        <is>
          <t>Alcohol</t>
        </is>
      </c>
      <c r="AP7" s="28" t="inlineStr">
        <is>
          <t>No sabe</t>
        </is>
      </c>
    </row>
    <row r="8">
      <c r="D8" s="28" t="inlineStr">
        <is>
          <t>Celular</t>
        </is>
      </c>
      <c r="E8" s="28" t="inlineStr">
        <is>
          <t>Pantalla / Imagen</t>
        </is>
      </c>
      <c r="P8" s="28" t="inlineStr">
        <is>
          <t>Contacto con líquido</t>
        </is>
      </c>
      <c r="Q8" s="28" t="inlineStr">
        <is>
          <t>No sabe</t>
        </is>
      </c>
      <c r="T8" s="28" t="inlineStr">
        <is>
          <t>Botones</t>
        </is>
      </c>
      <c r="U8" s="28" t="inlineStr">
        <is>
          <t>Parpadea</t>
        </is>
      </c>
      <c r="AA8" s="28" t="inlineStr">
        <is>
          <t>Varias zonas</t>
        </is>
      </c>
      <c r="AC8" s="28" t="inlineStr">
        <is>
          <t>Otro (ver Detalle)</t>
        </is>
      </c>
      <c r="AH8" s="28" t="inlineStr">
        <is>
          <t>Otra (ver Detalle)</t>
        </is>
      </c>
      <c r="AI8" s="28" t="inlineStr">
        <is>
          <t>Otro (ver Detalle)</t>
        </is>
      </c>
      <c r="AL8" s="28" t="inlineStr">
        <is>
          <t>Otro líquido</t>
        </is>
      </c>
    </row>
    <row r="9">
      <c r="D9" s="28" t="inlineStr">
        <is>
          <t>Celular</t>
        </is>
      </c>
      <c r="E9" s="28" t="inlineStr">
        <is>
          <t>Lentitud / Sistema</t>
        </is>
      </c>
      <c r="P9" s="28" t="inlineStr">
        <is>
          <t>Sin sonido / cámara / micrófono</t>
        </is>
      </c>
      <c r="T9" s="28" t="inlineStr">
        <is>
          <t>Lentitud</t>
        </is>
      </c>
      <c r="AA9" s="28" t="inlineStr">
        <is>
          <t>No sabe</t>
        </is>
      </c>
    </row>
    <row r="10">
      <c r="D10" s="28" t="inlineStr">
        <is>
          <t>Celular</t>
        </is>
      </c>
      <c r="E10" s="28" t="inlineStr">
        <is>
          <t>Cuenta / Bloqueo</t>
        </is>
      </c>
      <c r="P10" s="28" t="inlineStr">
        <is>
          <t>Sin señal o conexión</t>
        </is>
      </c>
      <c r="T10" s="28" t="inlineStr">
        <is>
          <t>Otra (ver Detalle)</t>
        </is>
      </c>
    </row>
    <row r="11">
      <c r="D11" s="28" t="inlineStr">
        <is>
          <t>Celular</t>
        </is>
      </c>
      <c r="E11" s="28" t="inlineStr">
        <is>
          <t>Audio / Cámara / Micrófono</t>
        </is>
      </c>
      <c r="P11" s="28" t="inlineStr">
        <is>
          <t>Botones o teclado</t>
        </is>
      </c>
    </row>
    <row r="12">
      <c r="D12" s="28" t="inlineStr">
        <is>
          <t>Celular</t>
        </is>
      </c>
      <c r="E12" s="28" t="inlineStr">
        <is>
          <t>Red / Señal / Conectividad</t>
        </is>
      </c>
      <c r="P12" s="28" t="inlineStr">
        <is>
          <t>Otra falla</t>
        </is>
      </c>
    </row>
    <row r="13">
      <c r="D13" s="28" t="inlineStr">
        <is>
          <t>Celular</t>
        </is>
      </c>
      <c r="E13" s="28" t="inlineStr">
        <is>
          <t>Otra falla</t>
        </is>
      </c>
    </row>
    <row r="14">
      <c r="D14" s="28" t="inlineStr">
        <is>
          <t>Celular</t>
        </is>
      </c>
      <c r="E14" s="28" t="inlineStr">
        <is>
          <t>Botones / Puertos</t>
        </is>
      </c>
    </row>
    <row r="15">
      <c r="D15" s="28" t="inlineStr">
        <is>
          <t>Celular</t>
        </is>
      </c>
      <c r="E15" s="28" t="inlineStr">
        <is>
          <t>Software / Actualización</t>
        </is>
      </c>
    </row>
    <row r="16">
      <c r="D16" s="28" t="inlineStr">
        <is>
          <t>Celular</t>
        </is>
      </c>
      <c r="E16" s="28" t="inlineStr">
        <is>
          <t>Estado físico</t>
        </is>
      </c>
    </row>
    <row r="17">
      <c r="D17" s="28" t="inlineStr">
        <is>
          <t>Celular</t>
        </is>
      </c>
      <c r="E17" s="28" t="inlineStr">
        <is>
          <t>Estado al ingresar</t>
        </is>
      </c>
    </row>
    <row r="18">
      <c r="D18" s="28" t="inlineStr">
        <is>
          <t>Celular</t>
        </is>
      </c>
      <c r="E18" s="28" t="inlineStr">
        <is>
          <t>Accesorios entregados</t>
        </is>
      </c>
    </row>
    <row r="19">
      <c r="D19" s="28" t="inlineStr">
        <is>
          <t>Celular</t>
        </is>
      </c>
      <c r="E19" s="28" t="inlineStr">
        <is>
          <t>Fotografías de recepción</t>
        </is>
      </c>
    </row>
    <row r="20">
      <c r="D20" s="28" t="inlineStr">
        <is>
          <t>Celular</t>
        </is>
      </c>
      <c r="E20" s="28" t="inlineStr">
        <is>
          <t>Pruebas funcionales de ingreso</t>
        </is>
      </c>
    </row>
    <row r="21">
      <c r="D21" s="28" t="inlineStr">
        <is>
          <t>Celular</t>
        </is>
      </c>
      <c r="E21" s="28" t="inlineStr">
        <is>
          <t>Autorizaciones</t>
        </is>
      </c>
    </row>
    <row r="22">
      <c r="D22" s="28" t="inlineStr">
        <is>
          <t>Reloj</t>
        </is>
      </c>
      <c r="E22" s="28" t="inlineStr">
        <is>
          <t>Datos generales</t>
        </is>
      </c>
    </row>
    <row r="23">
      <c r="D23" s="28" t="inlineStr">
        <is>
          <t>Reloj</t>
        </is>
      </c>
      <c r="E23" s="28" t="inlineStr">
        <is>
          <t>No enciende</t>
        </is>
      </c>
    </row>
    <row r="24">
      <c r="D24" s="28" t="inlineStr">
        <is>
          <t>Reloj</t>
        </is>
      </c>
      <c r="E24" s="28" t="inlineStr">
        <is>
          <t>Batería / No carga</t>
        </is>
      </c>
    </row>
    <row r="25">
      <c r="D25" s="28" t="inlineStr">
        <is>
          <t>Reloj</t>
        </is>
      </c>
      <c r="E25" s="28" t="inlineStr">
        <is>
          <t>Contacto con líquido</t>
        </is>
      </c>
    </row>
    <row r="26">
      <c r="D26" s="28" t="inlineStr">
        <is>
          <t>Reloj</t>
        </is>
      </c>
      <c r="E26" s="28" t="inlineStr">
        <is>
          <t>Golpe / Caída</t>
        </is>
      </c>
    </row>
    <row r="27">
      <c r="D27" s="28" t="inlineStr">
        <is>
          <t>Reloj</t>
        </is>
      </c>
      <c r="E27" s="28" t="inlineStr">
        <is>
          <t>Pantalla / Imagen</t>
        </is>
      </c>
    </row>
    <row r="28">
      <c r="D28" s="28" t="inlineStr">
        <is>
          <t>Reloj</t>
        </is>
      </c>
      <c r="E28" s="28" t="inlineStr">
        <is>
          <t>Lentitud / Sistema</t>
        </is>
      </c>
    </row>
    <row r="29">
      <c r="D29" s="28" t="inlineStr">
        <is>
          <t>Reloj</t>
        </is>
      </c>
      <c r="E29" s="28" t="inlineStr">
        <is>
          <t>Cuenta / Bloqueo</t>
        </is>
      </c>
    </row>
    <row r="30">
      <c r="D30" s="28" t="inlineStr">
        <is>
          <t>Reloj</t>
        </is>
      </c>
      <c r="E30" s="28" t="inlineStr">
        <is>
          <t>Audio / Cámara / Micrófono</t>
        </is>
      </c>
    </row>
    <row r="31">
      <c r="D31" s="28" t="inlineStr">
        <is>
          <t>Reloj</t>
        </is>
      </c>
      <c r="E31" s="28" t="inlineStr">
        <is>
          <t>Red / Señal / Conectividad</t>
        </is>
      </c>
    </row>
    <row r="32">
      <c r="D32" s="28" t="inlineStr">
        <is>
          <t>Reloj</t>
        </is>
      </c>
      <c r="E32" s="28" t="inlineStr">
        <is>
          <t>Sensores / Botones / Correa</t>
        </is>
      </c>
    </row>
    <row r="33">
      <c r="D33" s="28" t="inlineStr">
        <is>
          <t>Reloj</t>
        </is>
      </c>
      <c r="E33" s="28" t="inlineStr">
        <is>
          <t>Otra falla</t>
        </is>
      </c>
    </row>
    <row r="34">
      <c r="D34" s="28" t="inlineStr">
        <is>
          <t>Reloj</t>
        </is>
      </c>
      <c r="E34" s="28" t="inlineStr">
        <is>
          <t>Botones / Puertos</t>
        </is>
      </c>
    </row>
    <row r="35">
      <c r="D35" s="28" t="inlineStr">
        <is>
          <t>Reloj</t>
        </is>
      </c>
      <c r="E35" s="28" t="inlineStr">
        <is>
          <t>Software / Actualización</t>
        </is>
      </c>
    </row>
    <row r="36">
      <c r="D36" s="28" t="inlineStr">
        <is>
          <t>Reloj</t>
        </is>
      </c>
      <c r="E36" s="28" t="inlineStr">
        <is>
          <t>Estado físico</t>
        </is>
      </c>
    </row>
    <row r="37">
      <c r="D37" s="28" t="inlineStr">
        <is>
          <t>Reloj</t>
        </is>
      </c>
      <c r="E37" s="28" t="inlineStr">
        <is>
          <t>Estado al ingresar</t>
        </is>
      </c>
    </row>
    <row r="38">
      <c r="D38" s="28" t="inlineStr">
        <is>
          <t>Reloj</t>
        </is>
      </c>
      <c r="E38" s="28" t="inlineStr">
        <is>
          <t>Accesorios entregados</t>
        </is>
      </c>
    </row>
    <row r="39">
      <c r="D39" s="28" t="inlineStr">
        <is>
          <t>Reloj</t>
        </is>
      </c>
      <c r="E39" s="28" t="inlineStr">
        <is>
          <t>Fotografías de recepción</t>
        </is>
      </c>
    </row>
    <row r="40">
      <c r="D40" s="28" t="inlineStr">
        <is>
          <t>Reloj</t>
        </is>
      </c>
      <c r="E40" s="28" t="inlineStr">
        <is>
          <t>Pruebas funcionales de ingreso</t>
        </is>
      </c>
    </row>
    <row r="41">
      <c r="D41" s="28" t="inlineStr">
        <is>
          <t>Reloj</t>
        </is>
      </c>
      <c r="E41" s="28" t="inlineStr">
        <is>
          <t>Autorizaciones</t>
        </is>
      </c>
    </row>
    <row r="42">
      <c r="D42" s="28" t="inlineStr">
        <is>
          <t>Computadora</t>
        </is>
      </c>
      <c r="E42" s="28" t="inlineStr">
        <is>
          <t>Datos generales</t>
        </is>
      </c>
    </row>
    <row r="43">
      <c r="D43" s="28" t="inlineStr">
        <is>
          <t>Computadora</t>
        </is>
      </c>
      <c r="E43" s="28" t="inlineStr">
        <is>
          <t>No enciende</t>
        </is>
      </c>
    </row>
    <row r="44">
      <c r="D44" s="28" t="inlineStr">
        <is>
          <t>Computadora</t>
        </is>
      </c>
      <c r="E44" s="28" t="inlineStr">
        <is>
          <t>Batería / No carga</t>
        </is>
      </c>
    </row>
    <row r="45">
      <c r="D45" s="28" t="inlineStr">
        <is>
          <t>Computadora</t>
        </is>
      </c>
      <c r="E45" s="28" t="inlineStr">
        <is>
          <t>Calentamiento / Se apaga</t>
        </is>
      </c>
    </row>
    <row r="46">
      <c r="D46" s="28" t="inlineStr">
        <is>
          <t>Computadora</t>
        </is>
      </c>
      <c r="E46" s="28" t="inlineStr">
        <is>
          <t>Contacto con líquido</t>
        </is>
      </c>
    </row>
    <row r="47">
      <c r="D47" s="28" t="inlineStr">
        <is>
          <t>Computadora</t>
        </is>
      </c>
      <c r="E47" s="28" t="inlineStr">
        <is>
          <t>Golpe / Caída</t>
        </is>
      </c>
    </row>
    <row r="48">
      <c r="D48" s="28" t="inlineStr">
        <is>
          <t>Computadora</t>
        </is>
      </c>
      <c r="E48" s="28" t="inlineStr">
        <is>
          <t>Pantalla / Imagen</t>
        </is>
      </c>
    </row>
    <row r="49">
      <c r="D49" s="28" t="inlineStr">
        <is>
          <t>Computadora</t>
        </is>
      </c>
      <c r="E49" s="28" t="inlineStr">
        <is>
          <t>Lentitud / Sistema</t>
        </is>
      </c>
    </row>
    <row r="50">
      <c r="D50" s="28" t="inlineStr">
        <is>
          <t>Computadora</t>
        </is>
      </c>
      <c r="E50" s="28" t="inlineStr">
        <is>
          <t>Disco / Almacenamiento</t>
        </is>
      </c>
    </row>
    <row r="51">
      <c r="D51" s="28" t="inlineStr">
        <is>
          <t>Computadora</t>
        </is>
      </c>
      <c r="E51" s="28" t="inlineStr">
        <is>
          <t>Cuenta / Bloqueo</t>
        </is>
      </c>
    </row>
    <row r="52">
      <c r="D52" s="28" t="inlineStr">
        <is>
          <t>Computadora</t>
        </is>
      </c>
      <c r="E52" s="28" t="inlineStr">
        <is>
          <t>Audio / Cámara / Micrófono</t>
        </is>
      </c>
    </row>
    <row r="53">
      <c r="D53" s="28" t="inlineStr">
        <is>
          <t>Computadora</t>
        </is>
      </c>
      <c r="E53" s="28" t="inlineStr">
        <is>
          <t>Red / Señal / Conectividad</t>
        </is>
      </c>
    </row>
    <row r="54">
      <c r="D54" s="28" t="inlineStr">
        <is>
          <t>Computadora</t>
        </is>
      </c>
      <c r="E54" s="28" t="inlineStr">
        <is>
          <t>Teclado / Touchpad / Puertos</t>
        </is>
      </c>
    </row>
    <row r="55">
      <c r="D55" s="28" t="inlineStr">
        <is>
          <t>Computadora</t>
        </is>
      </c>
      <c r="E55" s="28" t="inlineStr">
        <is>
          <t>Otra falla</t>
        </is>
      </c>
    </row>
    <row r="56">
      <c r="D56" s="28" t="inlineStr">
        <is>
          <t>Computadora</t>
        </is>
      </c>
      <c r="E56" s="28" t="inlineStr">
        <is>
          <t>Botones / Puertos</t>
        </is>
      </c>
    </row>
    <row r="57">
      <c r="D57" s="28" t="inlineStr">
        <is>
          <t>Computadora</t>
        </is>
      </c>
      <c r="E57" s="28" t="inlineStr">
        <is>
          <t>Software / Actualización</t>
        </is>
      </c>
    </row>
    <row r="58">
      <c r="D58" s="28" t="inlineStr">
        <is>
          <t>Computadora</t>
        </is>
      </c>
      <c r="E58" s="28" t="inlineStr">
        <is>
          <t>Estado físico</t>
        </is>
      </c>
    </row>
    <row r="59">
      <c r="D59" s="28" t="inlineStr">
        <is>
          <t>Computadora</t>
        </is>
      </c>
      <c r="E59" s="28" t="inlineStr">
        <is>
          <t>Estado al ingresar</t>
        </is>
      </c>
    </row>
    <row r="60">
      <c r="D60" s="28" t="inlineStr">
        <is>
          <t>Computadora</t>
        </is>
      </c>
      <c r="E60" s="28" t="inlineStr">
        <is>
          <t>Accesorios entregados</t>
        </is>
      </c>
    </row>
    <row r="61">
      <c r="D61" s="28" t="inlineStr">
        <is>
          <t>Computadora</t>
        </is>
      </c>
      <c r="E61" s="28" t="inlineStr">
        <is>
          <t>Fotografías de recepción</t>
        </is>
      </c>
    </row>
    <row r="62">
      <c r="D62" s="28" t="inlineStr">
        <is>
          <t>Computadora</t>
        </is>
      </c>
      <c r="E62" s="28" t="inlineStr">
        <is>
          <t>Pruebas funcionales de ingreso</t>
        </is>
      </c>
    </row>
    <row r="63">
      <c r="D63" s="28" t="inlineStr">
        <is>
          <t>Computadora</t>
        </is>
      </c>
      <c r="E63" s="28" t="inlineStr">
        <is>
          <t>Autorizaciones</t>
        </is>
      </c>
    </row>
    <row r="64">
      <c r="D64" s="28" t="inlineStr">
        <is>
          <t>Consola</t>
        </is>
      </c>
      <c r="E64" s="28" t="inlineStr">
        <is>
          <t>Datos generales</t>
        </is>
      </c>
    </row>
    <row r="65">
      <c r="D65" s="28" t="inlineStr">
        <is>
          <t>Consola</t>
        </is>
      </c>
      <c r="E65" s="28" t="inlineStr">
        <is>
          <t>No enciende</t>
        </is>
      </c>
    </row>
    <row r="66">
      <c r="D66" s="28" t="inlineStr">
        <is>
          <t>Consola</t>
        </is>
      </c>
      <c r="E66" s="28" t="inlineStr">
        <is>
          <t>Batería / No carga</t>
        </is>
      </c>
    </row>
    <row r="67">
      <c r="D67" s="28" t="inlineStr">
        <is>
          <t>Consola</t>
        </is>
      </c>
      <c r="E67" s="28" t="inlineStr">
        <is>
          <t>Calentamiento / Se apaga</t>
        </is>
      </c>
    </row>
    <row r="68">
      <c r="D68" s="28" t="inlineStr">
        <is>
          <t>Consola</t>
        </is>
      </c>
      <c r="E68" s="28" t="inlineStr">
        <is>
          <t>Contacto con líquido</t>
        </is>
      </c>
    </row>
    <row r="69">
      <c r="D69" s="28" t="inlineStr">
        <is>
          <t>Consola</t>
        </is>
      </c>
      <c r="E69" s="28" t="inlineStr">
        <is>
          <t>Golpe / Caída</t>
        </is>
      </c>
    </row>
    <row r="70">
      <c r="D70" s="28" t="inlineStr">
        <is>
          <t>Consola</t>
        </is>
      </c>
      <c r="E70" s="28" t="inlineStr">
        <is>
          <t>Pantalla / Imagen</t>
        </is>
      </c>
    </row>
    <row r="71">
      <c r="D71" s="28" t="inlineStr">
        <is>
          <t>Consola</t>
        </is>
      </c>
      <c r="E71" s="28" t="inlineStr">
        <is>
          <t>Lentitud / Sistema</t>
        </is>
      </c>
    </row>
    <row r="72">
      <c r="D72" s="28" t="inlineStr">
        <is>
          <t>Consola</t>
        </is>
      </c>
      <c r="E72" s="28" t="inlineStr">
        <is>
          <t>Disco / Almacenamiento</t>
        </is>
      </c>
    </row>
    <row r="73">
      <c r="D73" s="28" t="inlineStr">
        <is>
          <t>Consola</t>
        </is>
      </c>
      <c r="E73" s="28" t="inlineStr">
        <is>
          <t>Cuenta / Bloqueo</t>
        </is>
      </c>
    </row>
    <row r="74">
      <c r="D74" s="28" t="inlineStr">
        <is>
          <t>Consola</t>
        </is>
      </c>
      <c r="E74" s="28" t="inlineStr">
        <is>
          <t>Audio / Cámara / Micrófono</t>
        </is>
      </c>
    </row>
    <row r="75">
      <c r="D75" s="28" t="inlineStr">
        <is>
          <t>Consola</t>
        </is>
      </c>
      <c r="E75" s="28" t="inlineStr">
        <is>
          <t>Red / Señal / Conectividad</t>
        </is>
      </c>
    </row>
    <row r="76">
      <c r="D76" s="28" t="inlineStr">
        <is>
          <t>Consola</t>
        </is>
      </c>
      <c r="E76" s="28" t="inlineStr">
        <is>
          <t>Lector de disco / Juegos</t>
        </is>
      </c>
    </row>
    <row r="77">
      <c r="D77" s="28" t="inlineStr">
        <is>
          <t>Consola</t>
        </is>
      </c>
      <c r="E77" s="28" t="inlineStr">
        <is>
          <t>Control / Mando</t>
        </is>
      </c>
    </row>
    <row r="78">
      <c r="D78" s="28" t="inlineStr">
        <is>
          <t>Consola</t>
        </is>
      </c>
      <c r="E78" s="28" t="inlineStr">
        <is>
          <t>Otra falla</t>
        </is>
      </c>
    </row>
    <row r="79">
      <c r="D79" s="28" t="inlineStr">
        <is>
          <t>Consola</t>
        </is>
      </c>
      <c r="E79" s="28" t="inlineStr">
        <is>
          <t>Botones / Puertos</t>
        </is>
      </c>
    </row>
    <row r="80">
      <c r="D80" s="28" t="inlineStr">
        <is>
          <t>Consola</t>
        </is>
      </c>
      <c r="E80" s="28" t="inlineStr">
        <is>
          <t>Software / Actualización</t>
        </is>
      </c>
    </row>
    <row r="81">
      <c r="D81" s="28" t="inlineStr">
        <is>
          <t>Consola</t>
        </is>
      </c>
      <c r="E81" s="28" t="inlineStr">
        <is>
          <t>Estado físico</t>
        </is>
      </c>
    </row>
    <row r="82">
      <c r="D82" s="28" t="inlineStr">
        <is>
          <t>Consola</t>
        </is>
      </c>
      <c r="E82" s="28" t="inlineStr">
        <is>
          <t>Estado al ingresar</t>
        </is>
      </c>
    </row>
    <row r="83">
      <c r="D83" s="28" t="inlineStr">
        <is>
          <t>Consola</t>
        </is>
      </c>
      <c r="E83" s="28" t="inlineStr">
        <is>
          <t>Accesorios entregados</t>
        </is>
      </c>
    </row>
    <row r="84">
      <c r="D84" s="28" t="inlineStr">
        <is>
          <t>Consola</t>
        </is>
      </c>
      <c r="E84" s="28" t="inlineStr">
        <is>
          <t>Fotografías de recepción</t>
        </is>
      </c>
    </row>
    <row r="85">
      <c r="D85" s="28" t="inlineStr">
        <is>
          <t>Consola</t>
        </is>
      </c>
      <c r="E85" s="28" t="inlineStr">
        <is>
          <t>Pruebas funcionales de ingreso</t>
        </is>
      </c>
    </row>
    <row r="86">
      <c r="D86" s="28" t="inlineStr">
        <is>
          <t>Consola</t>
        </is>
      </c>
      <c r="E86" s="28" t="inlineStr">
        <is>
          <t>Autorizaciones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2026-09-30T22:03:56Z</dcterms:created>
  <dcterms:modified xsi:type="dcterms:W3CDTF">2026-09-30T22:03:56Z</dcterms:modified>
</cp:coreProperties>
</file>