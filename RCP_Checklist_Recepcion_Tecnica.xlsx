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F_Celular">Listas!$D$2:$D$12</definedName>
    <definedName name="F_Reloj">Listas!$E$2:$E$12</definedName>
    <definedName name="F_Computadora">Listas!$F$2:$F$14</definedName>
    <definedName name="F_Consola">Listas!$G$2:$G$15</definedName>
    <definedName name="_xlnm.Print_Titles" localSheetId="1">'Recepción'!$1:$2</definedName>
    <definedName name="_xlnm._FilterDatabase" localSheetId="2" hidden="1">'Banco_Preguntas'!$A$1:$K$239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  <font>
      <name val="Arial"/>
      <b val="1"/>
      <color rgb="001F3864"/>
      <sz val="9"/>
    </font>
    <font>
      <name val="Arial"/>
      <b val="1"/>
      <color rgb="001E7B34"/>
      <sz val="14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0" fillId="4" borderId="1" pivotButton="0" quotePrefix="0" xfId="0"/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12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ill>
        <patternFill patternType="solid">
          <bgColor rgb="00D9D9D9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32" customHeight="1">
      <c r="B4" s="3" t="inlineStr">
        <is>
          <t>1. Datos</t>
        </is>
      </c>
      <c r="C4" s="4" t="inlineStr">
        <is>
          <t>En la hoja «Recepción» llene las casillas amarillas: equipo, orden, marca/modelo, serial/IMEI, cliente, teléfono, quién recibe y fecha.</t>
        </is>
      </c>
    </row>
    <row r="5" ht="32" customHeight="1">
      <c r="B5" s="3" t="inlineStr">
        <is>
          <t>2. Equipo</t>
        </is>
      </c>
      <c r="C5" s="4" t="inlineStr">
        <is>
          <t>Elija Celular, Reloj, Computadora o Consola. Todo el checklist cambia y no se mezcla nada entre equipos.</t>
        </is>
      </c>
    </row>
    <row r="6" ht="32" customHeight="1">
      <c r="B6" s="3" t="inlineStr">
        <is>
          <t>3. Falla</t>
        </is>
      </c>
      <c r="C6" s="4" t="inlineStr">
        <is>
          <t>Elija la falla principal (y hasta dos más). Solo aparece el checklist de esas fallas, con los ítems propios de ese equipo.</t>
        </is>
      </c>
    </row>
    <row r="7" ht="32" customHeight="1">
      <c r="B7" s="3" t="inlineStr">
        <is>
          <t>4. Marcar casillas</t>
        </is>
      </c>
      <c r="C7" s="4" t="inlineStr">
        <is>
          <t>Haga clic en la casilla y elija ✔ (o escriba x). Las preguntas Sí/No tienen dos casillas; los ítems simples tienen una. Las casillas grises no se usan en esa fila. Use «Detalle» para notas.</t>
        </is>
      </c>
    </row>
    <row r="8" ht="46" customHeight="1">
      <c r="B8" s="3" t="inlineStr">
        <is>
          <t>5. Reglas automáticas</t>
        </is>
      </c>
      <c r="C8" s="4" t="inlineStr">
        <is>
          <t>Si marca Sí en líquido, se agrega el checklist de líquido; Sí en golpe, el de golpe; No en «Enciende», el de «No enciende». Salen alertas rojas de líquido, batería inflada, datos sin respaldo, reparación previa y golpe.</t>
        </is>
      </c>
    </row>
    <row r="9" ht="32" customHeight="1">
      <c r="B9" s="3" t="inlineStr">
        <is>
          <t>6. Guardar</t>
        </is>
      </c>
      <c r="C9" s="4" t="inlineStr">
        <is>
          <t>Por cada cliente use «Guardar como» con nombre nuevo (ej. RCP_Cliente_2026-09-30.xlsx) y deje esta versión como plantilla limpia.</t>
        </is>
      </c>
    </row>
    <row r="10">
      <c r="B10" s="2" t="inlineStr">
        <is>
          <t>LEYENDA</t>
        </is>
      </c>
    </row>
    <row r="11" ht="18" customHeight="1">
      <c r="B11" s="5" t="inlineStr">
        <is>
          <t>Amarillo</t>
        </is>
      </c>
      <c r="C11" s="4" t="inlineStr">
        <is>
          <t>Casilla o campo para llenar.</t>
        </is>
      </c>
    </row>
    <row r="12" ht="18" customHeight="1">
      <c r="B12" s="6" t="inlineStr">
        <is>
          <t>Verde</t>
        </is>
      </c>
      <c r="C12" s="4" t="inlineStr">
        <is>
          <t>Casilla marcada.</t>
        </is>
      </c>
    </row>
    <row r="13" ht="18" customHeight="1">
      <c r="B13" s="7" t="inlineStr">
        <is>
          <t>Gris</t>
        </is>
      </c>
      <c r="C13" s="4" t="inlineStr">
        <is>
          <t>No aplica en esa fila.</t>
        </is>
      </c>
    </row>
    <row r="14" ht="18" customHeight="1">
      <c r="B14" s="8" t="inlineStr">
        <is>
          <t>Rojo</t>
        </is>
      </c>
      <c r="C14" s="4" t="inlineStr">
        <is>
          <t>Alerta que recepción y técnicos deben atender.</t>
        </is>
      </c>
    </row>
    <row r="15">
      <c r="B15" s="2" t="inlineStr">
        <is>
          <t>PERSONALIZAR</t>
        </is>
      </c>
    </row>
    <row r="16" ht="32" customHeight="1">
      <c r="B16" s="3" t="inlineStr">
        <is>
          <t>Banco_Preguntas</t>
        </is>
      </c>
      <c r="C16" s="4" t="inlineStr">
        <is>
          <t>Contiene todos los ítems. Puede editar textos o agregar ítems al final indicando bloque, tipo (CHK, YN, YNS, TXT) y marcando 1/0 los equipos donde aplica.</t>
        </is>
      </c>
    </row>
    <row r="17" ht="32" customHeight="1">
      <c r="B17" s="3" t="inlineStr">
        <is>
          <t>Importante</t>
        </is>
      </c>
      <c r="C17" s="4" t="inlineStr">
        <is>
          <t>Abra el archivo en Excel (computadora o app). Las vistas previas no recalculan y no muestran el cambio automático.</t>
        </is>
      </c>
    </row>
  </sheetData>
  <mergeCells count="4">
    <mergeCell ref="B1:C1"/>
    <mergeCell ref="B3:C3"/>
    <mergeCell ref="B10:C10"/>
    <mergeCell ref="B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J1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13" customWidth="1" min="4" max="4"/>
    <col width="22" customWidth="1" min="5" max="5"/>
    <col width="64" customWidth="1" min="6" max="6"/>
    <col width="42" customWidth="1" min="7" max="7"/>
    <col hidden="1" width="6" customWidth="1" min="8" max="8"/>
    <col hidden="1" width="10" customWidth="1" min="9" max="9"/>
    <col hidden="1" width="6" customWidth="1" min="10" max="10"/>
  </cols>
  <sheetData>
    <row r="1" ht="36" customHeight="1">
      <c r="B1" s="1" t="inlineStr">
        <is>
          <t>RCP · CHECKLIST DE RECEPCIÓN TÉCNICA</t>
        </is>
      </c>
    </row>
    <row r="2">
      <c r="B2" s="9" t="inlineStr">
        <is>
          <t>1) Elija el equipo  2) Elija la falla  3) Marque las casillas: solo aparece lo que corresponde a ese equipo.</t>
        </is>
      </c>
    </row>
    <row r="4" ht="22" customHeight="1">
      <c r="B4" s="10" t="inlineStr">
        <is>
          <t>DATOS DEL EQUIPO Y DEL CLIENTE</t>
        </is>
      </c>
    </row>
    <row r="5" ht="21" customHeight="1">
      <c r="B5" s="11" t="inlineStr">
        <is>
          <t>Tipo de equipo *</t>
        </is>
      </c>
      <c r="C5" s="12" t="n"/>
      <c r="D5" s="12" t="n"/>
      <c r="E5" s="13" t="inlineStr">
        <is>
          <t>Celular</t>
        </is>
      </c>
      <c r="F5" s="14" t="n"/>
      <c r="J5">
        <f>IFERROR(INDEX(Listas!$B$2:$B$5,MATCH(E5,Listas!$A$2:$A$5,0)),"Otro")</f>
        <v/>
      </c>
    </row>
    <row r="6" ht="21" customHeight="1">
      <c r="B6" s="11" t="inlineStr">
        <is>
          <t>N.º de orden</t>
        </is>
      </c>
      <c r="C6" s="12" t="n"/>
      <c r="D6" s="12" t="n"/>
      <c r="E6" s="13" t="n"/>
      <c r="F6" s="14" t="n"/>
    </row>
    <row r="7" ht="21" customHeight="1">
      <c r="B7" s="11" t="inlineStr">
        <is>
          <t>Marca / Modelo</t>
        </is>
      </c>
      <c r="C7" s="12" t="n"/>
      <c r="D7" s="12" t="n"/>
      <c r="E7" s="13" t="n"/>
      <c r="F7" s="14" t="n"/>
    </row>
    <row r="8" ht="21" customHeight="1">
      <c r="B8" s="11" t="inlineStr">
        <is>
          <t>Serial / IMEI</t>
        </is>
      </c>
      <c r="C8" s="12" t="n"/>
      <c r="D8" s="12" t="n"/>
      <c r="E8" s="13" t="n"/>
      <c r="F8" s="14" t="n"/>
    </row>
    <row r="9" ht="21" customHeight="1">
      <c r="B9" s="11" t="inlineStr">
        <is>
          <t>Cliente</t>
        </is>
      </c>
      <c r="C9" s="12" t="n"/>
      <c r="D9" s="12" t="n"/>
      <c r="E9" s="13" t="n"/>
      <c r="F9" s="14" t="n"/>
    </row>
    <row r="10" ht="21" customHeight="1">
      <c r="B10" s="11" t="inlineStr">
        <is>
          <t>Teléfono / WhatsApp</t>
        </is>
      </c>
      <c r="C10" s="12" t="n"/>
      <c r="D10" s="12" t="n"/>
      <c r="E10" s="13" t="n"/>
      <c r="F10" s="14" t="n"/>
    </row>
    <row r="11" ht="21" customHeight="1">
      <c r="B11" s="11" t="inlineStr">
        <is>
          <t>Recibido por</t>
        </is>
      </c>
      <c r="C11" s="12" t="n"/>
      <c r="D11" s="12" t="n"/>
      <c r="E11" s="13" t="n"/>
      <c r="F11" s="14" t="n"/>
    </row>
    <row r="12" ht="21" customHeight="1">
      <c r="B12" s="11" t="inlineStr">
        <is>
          <t>Fecha de recepción</t>
        </is>
      </c>
      <c r="C12" s="12" t="n"/>
      <c r="D12" s="12" t="n"/>
      <c r="E12" s="15" t="n"/>
      <c r="F12" s="14" t="n"/>
    </row>
    <row r="13" ht="21" customHeight="1">
      <c r="B13" s="11" t="inlineStr">
        <is>
          <t>Falla reportada (principal) *</t>
        </is>
      </c>
      <c r="C13" s="12" t="n"/>
      <c r="D13" s="12" t="n"/>
      <c r="E13" s="13" t="n"/>
      <c r="F13" s="14" t="n"/>
    </row>
    <row r="14" ht="21" customHeight="1">
      <c r="B14" s="11" t="inlineStr">
        <is>
          <t>Segunda falla (opcional)</t>
        </is>
      </c>
      <c r="C14" s="12" t="n"/>
      <c r="D14" s="12" t="n"/>
      <c r="E14" s="13" t="n"/>
      <c r="F14" s="14" t="n"/>
    </row>
    <row r="15" ht="21" customHeight="1">
      <c r="B15" s="11" t="inlineStr">
        <is>
          <t>Tercera falla (opcional)</t>
        </is>
      </c>
      <c r="C15" s="12" t="n"/>
      <c r="D15" s="12" t="n"/>
      <c r="E15" s="13" t="n"/>
      <c r="F15" s="14" t="n"/>
    </row>
    <row r="16" ht="21" customHeight="1">
      <c r="B16" s="11" t="inlineStr">
        <is>
          <t>Nivel de atención</t>
        </is>
      </c>
      <c r="C16" s="12" t="n"/>
      <c r="D16" s="12" t="n"/>
      <c r="E16" s="16">
        <f>IF(OR(B32&lt;&gt;"",SUMPRODUCT(ISNUMBER(SEARCH("inflada",$F$40:$F$179))*($B$40:$B$179&lt;&gt;""))&gt;0),"ALTA PRIORIDAD","Normal")</f>
        <v/>
      </c>
      <c r="F16" s="17" t="n"/>
    </row>
    <row r="17">
      <c r="B17" s="18">
        <f>IF(COUNTIF(Banco_Preguntas!$J$2:$J$400,1)&gt;140,"AVISO: hay más ítems que filas disponibles; reduzca las fallas seleccionadas.",IF(E5="","Seleccione el tipo de equipo para comenzar.",IF(E13="","Seleccione la falla reportada (fila 13) para desplegar el checklist de esa falla.",IF(COUNTIF(INDEX(Listas!$D$2:$G$20,0,MATCH(E5,Listas!$A$2:$A$5,0)),E13)=0,"La falla elegida no aplica a este equipo: vuelva a seleccionarla.","Checklist de "&amp;E5&amp;" · falla: "&amp;E13&amp;IF(E14&lt;&gt;""," + "&amp;E14,"")&amp;IF(E15&lt;&gt;""," + "&amp;E15,"")))))</f>
        <v/>
      </c>
    </row>
    <row r="18" ht="22" customHeight="1">
      <c r="B18" s="10" t="inlineStr">
        <is>
          <t>ALERTAS AUTOMÁTICAS PARA RECEPCIÓN Y TÉCNICOS</t>
        </is>
      </c>
    </row>
    <row r="19">
      <c r="B19" s="19">
        <f>IF(B32&lt;&gt;"","ALTA PRIORIDAD · Ingresa por CONTAMINACIÓN DE LÍQUIDO: registrarlo en la orden; no encender ni conectar al cargador.","")</f>
        <v/>
      </c>
    </row>
    <row r="20">
      <c r="B20" s="19">
        <f>IF(SUMPRODUCT(ISNUMBER(SEARCH("inflada",$F$40:$F$179))*($B$40:$B$179&lt;&gt;""))&gt;0,"ALTA PRIORIDAD · Batería inflada / equipo deformado: riesgo de seguridad, manipular con cuidado y aislar el equipo.","")</f>
        <v/>
      </c>
    </row>
    <row r="21">
      <c r="B21" s="19">
        <f>IF(AND(B35&lt;&gt;"",B36=""),"DATOS EN RIESGO · Información importante SIN respaldo confirmado: reforzar la autorización de la sección D antes de intervenir.","")</f>
        <v/>
      </c>
    </row>
    <row r="22">
      <c r="B22" s="19">
        <f>IF(B33&lt;&gt;"","Equipo abierto o reparado antes: fotografiar señales de apertura y anotar quién lo intervino.","")</f>
        <v/>
      </c>
    </row>
    <row r="23">
      <c r="B23" s="19">
        <f>IF(B31&lt;&gt;"","Golpe o caída reportado: documentar la zona del impacto y fotografiar daños existentes.","")</f>
        <v/>
      </c>
    </row>
    <row r="25" ht="22" customHeight="1">
      <c r="B25" s="10" t="inlineStr">
        <is>
          <t>A. CHECKLIST OBLIGATORIO · TODOS LOS EQUIPOS</t>
        </is>
      </c>
    </row>
    <row r="26" ht="28" customHeight="1">
      <c r="B26" s="20" t="inlineStr">
        <is>
          <t>SÍ / ✔</t>
        </is>
      </c>
      <c r="C26" s="20" t="inlineStr">
        <is>
          <t>NO</t>
        </is>
      </c>
      <c r="D26" s="20" t="inlineStr">
        <is>
          <t>NO SABE / INTERM.</t>
        </is>
      </c>
      <c r="E26" s="20" t="inlineStr">
        <is>
          <t>Bloque</t>
        </is>
      </c>
      <c r="F26" s="20" t="inlineStr">
        <is>
          <t>Ítem</t>
        </is>
      </c>
      <c r="G26" s="20" t="inlineStr">
        <is>
          <t>Detalle / observación</t>
        </is>
      </c>
    </row>
    <row r="27" ht="20" customHeight="1">
      <c r="B27" s="21" t="n"/>
      <c r="C27" s="21" t="n"/>
      <c r="D27" s="21" t="n"/>
      <c r="E27" s="22" t="inlineStr">
        <is>
          <t>General</t>
        </is>
      </c>
      <c r="F27" s="23" t="inlineStr">
        <is>
          <t>¿Cuál es la falla principal que presenta el equipo?</t>
        </is>
      </c>
      <c r="G27" s="24" t="n"/>
    </row>
    <row r="28" ht="20" customHeight="1">
      <c r="B28" s="21" t="n"/>
      <c r="C28" s="21" t="n"/>
      <c r="D28" s="21" t="n"/>
      <c r="E28" s="22" t="inlineStr">
        <is>
          <t>General</t>
        </is>
      </c>
      <c r="F28" s="23" t="inlineStr">
        <is>
          <t>¿Desde cuándo presenta la falla?</t>
        </is>
      </c>
      <c r="G28" s="24" t="n"/>
    </row>
    <row r="29" ht="20" customHeight="1">
      <c r="B29" s="25" t="n"/>
      <c r="C29" s="21" t="n"/>
      <c r="D29" s="21" t="n"/>
      <c r="E29" s="22" t="inlineStr">
        <is>
          <t>General</t>
        </is>
      </c>
      <c r="F29" s="23" t="inlineStr">
        <is>
          <t>La falla es permanente</t>
        </is>
      </c>
      <c r="G29" s="24" t="n"/>
    </row>
    <row r="30" ht="20" customHeight="1">
      <c r="B30" s="25" t="n"/>
      <c r="C30" s="21" t="n"/>
      <c r="D30" s="21" t="n"/>
      <c r="E30" s="22" t="inlineStr">
        <is>
          <t>General</t>
        </is>
      </c>
      <c r="F30" s="23" t="inlineStr">
        <is>
          <t>La falla es intermitente (sucede algunas veces)</t>
        </is>
      </c>
      <c r="G30" s="24" t="n"/>
    </row>
    <row r="31" ht="20" customHeight="1">
      <c r="B31" s="25" t="n"/>
      <c r="C31" s="25" t="n"/>
      <c r="D31" s="21" t="n"/>
      <c r="E31" s="22" t="inlineStr">
        <is>
          <t>General</t>
        </is>
      </c>
      <c r="F31" s="23" t="inlineStr">
        <is>
          <t>¿Sufrió algún golpe o caída recientemente?</t>
        </is>
      </c>
      <c r="G31" s="24" t="n"/>
    </row>
    <row r="32" ht="20" customHeight="1">
      <c r="B32" s="25" t="n"/>
      <c r="C32" s="25" t="n"/>
      <c r="D32" s="21" t="n"/>
      <c r="E32" s="22" t="inlineStr">
        <is>
          <t>General</t>
        </is>
      </c>
      <c r="F32" s="23" t="inlineStr">
        <is>
          <t>¿Ha tenido contacto con agua, humedad o algún líquido?</t>
        </is>
      </c>
      <c r="G32" s="24" t="n"/>
    </row>
    <row r="33" ht="20" customHeight="1">
      <c r="B33" s="25" t="n"/>
      <c r="C33" s="25" t="n"/>
      <c r="D33" s="25" t="n"/>
      <c r="E33" s="22" t="inlineStr">
        <is>
          <t>General</t>
        </is>
      </c>
      <c r="F33" s="23" t="inlineStr">
        <is>
          <t>¿Ha sido abierto o reparado anteriormente?</t>
        </is>
      </c>
      <c r="G33" s="24" t="n"/>
    </row>
    <row r="34" ht="20" customHeight="1">
      <c r="B34" s="25" t="n"/>
      <c r="C34" s="25" t="n"/>
      <c r="D34" s="25" t="n"/>
      <c r="E34" s="22" t="inlineStr">
        <is>
          <t>General</t>
        </is>
      </c>
      <c r="F34" s="23" t="inlineStr">
        <is>
          <t>¿Enciende actualmente?</t>
        </is>
      </c>
      <c r="G34" s="24" t="n"/>
    </row>
    <row r="35" ht="20" customHeight="1">
      <c r="B35" s="25" t="n"/>
      <c r="C35" s="25" t="n"/>
      <c r="D35" s="21" t="n"/>
      <c r="E35" s="22" t="inlineStr">
        <is>
          <t>General</t>
        </is>
      </c>
      <c r="F35" s="23" t="inlineStr">
        <is>
          <t>¿Tiene información importante que no puede perder?</t>
        </is>
      </c>
      <c r="G35" s="24" t="n"/>
    </row>
    <row r="36" ht="20" customHeight="1">
      <c r="B36" s="25" t="n"/>
      <c r="C36" s="25" t="n"/>
      <c r="D36" s="25" t="n"/>
      <c r="E36" s="22" t="inlineStr">
        <is>
          <t>General</t>
        </is>
      </c>
      <c r="F36" s="23" t="inlineStr">
        <is>
          <t>¿Tiene respaldo reciente de su información?</t>
        </is>
      </c>
      <c r="G36" s="24" t="n"/>
    </row>
    <row r="37" ht="20" customHeight="1">
      <c r="B37" s="21" t="n"/>
      <c r="C37" s="21" t="n"/>
      <c r="D37" s="21" t="n"/>
      <c r="E37" s="22" t="inlineStr">
        <is>
          <t>General</t>
        </is>
      </c>
      <c r="F37" s="23" t="inlineStr">
        <is>
          <t>¿Hay alguna otra falla o condición que debamos conocer?</t>
        </is>
      </c>
      <c r="G37" s="24" t="n"/>
    </row>
    <row r="39" ht="8" customHeight="1"/>
    <row r="40">
      <c r="B40" s="26" t="n"/>
      <c r="C40" s="26" t="n"/>
      <c r="D40" s="26" t="n"/>
      <c r="E40" s="27">
        <f>IF(OR(H40=0,I40="HEAD"),"",INDEX(Banco_Preguntas!$B$2:$B$400,H40))</f>
        <v/>
      </c>
      <c r="F40" s="28">
        <f>IF(H40=0,"",INDEX(Banco_Preguntas!$C$2:$C$400,H40))</f>
        <v/>
      </c>
      <c r="G40" s="28" t="n"/>
      <c r="H40">
        <f>IFERROR(MATCH(1,Banco_Preguntas!$K$2:$K$400,0),0)</f>
        <v/>
      </c>
      <c r="I40">
        <f>IF(H40=0,"",INDEX(Banco_Preguntas!$D$2:$D$400,H40))</f>
        <v/>
      </c>
    </row>
    <row r="41">
      <c r="B41" s="26" t="n"/>
      <c r="C41" s="26" t="n"/>
      <c r="D41" s="26" t="n"/>
      <c r="E41" s="27">
        <f>IF(OR(H41=0,I41="HEAD"),"",INDEX(Banco_Preguntas!$B$2:$B$400,H41))</f>
        <v/>
      </c>
      <c r="F41" s="28">
        <f>IF(H41=0,"",INDEX(Banco_Preguntas!$C$2:$C$400,H41))</f>
        <v/>
      </c>
      <c r="G41" s="28" t="n"/>
      <c r="H41">
        <f>IFERROR(MATCH(2,Banco_Preguntas!$K$2:$K$400,0),0)</f>
        <v/>
      </c>
      <c r="I41">
        <f>IF(H41=0,"",INDEX(Banco_Preguntas!$D$2:$D$400,H41))</f>
        <v/>
      </c>
    </row>
    <row r="42">
      <c r="B42" s="26" t="n"/>
      <c r="C42" s="26" t="n"/>
      <c r="D42" s="26" t="n"/>
      <c r="E42" s="27">
        <f>IF(OR(H42=0,I42="HEAD"),"",INDEX(Banco_Preguntas!$B$2:$B$400,H42))</f>
        <v/>
      </c>
      <c r="F42" s="28">
        <f>IF(H42=0,"",INDEX(Banco_Preguntas!$C$2:$C$400,H42))</f>
        <v/>
      </c>
      <c r="G42" s="28" t="n"/>
      <c r="H42">
        <f>IFERROR(MATCH(3,Banco_Preguntas!$K$2:$K$400,0),0)</f>
        <v/>
      </c>
      <c r="I42">
        <f>IF(H42=0,"",INDEX(Banco_Preguntas!$D$2:$D$400,H42))</f>
        <v/>
      </c>
    </row>
    <row r="43">
      <c r="B43" s="26" t="n"/>
      <c r="C43" s="26" t="n"/>
      <c r="D43" s="26" t="n"/>
      <c r="E43" s="27">
        <f>IF(OR(H43=0,I43="HEAD"),"",INDEX(Banco_Preguntas!$B$2:$B$400,H43))</f>
        <v/>
      </c>
      <c r="F43" s="28">
        <f>IF(H43=0,"",INDEX(Banco_Preguntas!$C$2:$C$400,H43))</f>
        <v/>
      </c>
      <c r="G43" s="28" t="n"/>
      <c r="H43">
        <f>IFERROR(MATCH(4,Banco_Preguntas!$K$2:$K$400,0),0)</f>
        <v/>
      </c>
      <c r="I43">
        <f>IF(H43=0,"",INDEX(Banco_Preguntas!$D$2:$D$400,H43))</f>
        <v/>
      </c>
    </row>
    <row r="44">
      <c r="B44" s="26" t="n"/>
      <c r="C44" s="26" t="n"/>
      <c r="D44" s="26" t="n"/>
      <c r="E44" s="27">
        <f>IF(OR(H44=0,I44="HEAD"),"",INDEX(Banco_Preguntas!$B$2:$B$400,H44))</f>
        <v/>
      </c>
      <c r="F44" s="28">
        <f>IF(H44=0,"",INDEX(Banco_Preguntas!$C$2:$C$400,H44))</f>
        <v/>
      </c>
      <c r="G44" s="28" t="n"/>
      <c r="H44">
        <f>IFERROR(MATCH(5,Banco_Preguntas!$K$2:$K$400,0),0)</f>
        <v/>
      </c>
      <c r="I44">
        <f>IF(H44=0,"",INDEX(Banco_Preguntas!$D$2:$D$400,H44))</f>
        <v/>
      </c>
    </row>
    <row r="45">
      <c r="B45" s="26" t="n"/>
      <c r="C45" s="26" t="n"/>
      <c r="D45" s="26" t="n"/>
      <c r="E45" s="27">
        <f>IF(OR(H45=0,I45="HEAD"),"",INDEX(Banco_Preguntas!$B$2:$B$400,H45))</f>
        <v/>
      </c>
      <c r="F45" s="28">
        <f>IF(H45=0,"",INDEX(Banco_Preguntas!$C$2:$C$400,H45))</f>
        <v/>
      </c>
      <c r="G45" s="28" t="n"/>
      <c r="H45">
        <f>IFERROR(MATCH(6,Banco_Preguntas!$K$2:$K$400,0),0)</f>
        <v/>
      </c>
      <c r="I45">
        <f>IF(H45=0,"",INDEX(Banco_Preguntas!$D$2:$D$400,H45))</f>
        <v/>
      </c>
    </row>
    <row r="46">
      <c r="B46" s="26" t="n"/>
      <c r="C46" s="26" t="n"/>
      <c r="D46" s="26" t="n"/>
      <c r="E46" s="27">
        <f>IF(OR(H46=0,I46="HEAD"),"",INDEX(Banco_Preguntas!$B$2:$B$400,H46))</f>
        <v/>
      </c>
      <c r="F46" s="28">
        <f>IF(H46=0,"",INDEX(Banco_Preguntas!$C$2:$C$400,H46))</f>
        <v/>
      </c>
      <c r="G46" s="28" t="n"/>
      <c r="H46">
        <f>IFERROR(MATCH(7,Banco_Preguntas!$K$2:$K$400,0),0)</f>
        <v/>
      </c>
      <c r="I46">
        <f>IF(H46=0,"",INDEX(Banco_Preguntas!$D$2:$D$400,H46))</f>
        <v/>
      </c>
    </row>
    <row r="47">
      <c r="B47" s="26" t="n"/>
      <c r="C47" s="26" t="n"/>
      <c r="D47" s="26" t="n"/>
      <c r="E47" s="27">
        <f>IF(OR(H47=0,I47="HEAD"),"",INDEX(Banco_Preguntas!$B$2:$B$400,H47))</f>
        <v/>
      </c>
      <c r="F47" s="28">
        <f>IF(H47=0,"",INDEX(Banco_Preguntas!$C$2:$C$400,H47))</f>
        <v/>
      </c>
      <c r="G47" s="28" t="n"/>
      <c r="H47">
        <f>IFERROR(MATCH(8,Banco_Preguntas!$K$2:$K$400,0),0)</f>
        <v/>
      </c>
      <c r="I47">
        <f>IF(H47=0,"",INDEX(Banco_Preguntas!$D$2:$D$400,H47))</f>
        <v/>
      </c>
    </row>
    <row r="48">
      <c r="B48" s="26" t="n"/>
      <c r="C48" s="26" t="n"/>
      <c r="D48" s="26" t="n"/>
      <c r="E48" s="27">
        <f>IF(OR(H48=0,I48="HEAD"),"",INDEX(Banco_Preguntas!$B$2:$B$400,H48))</f>
        <v/>
      </c>
      <c r="F48" s="28">
        <f>IF(H48=0,"",INDEX(Banco_Preguntas!$C$2:$C$400,H48))</f>
        <v/>
      </c>
      <c r="G48" s="28" t="n"/>
      <c r="H48">
        <f>IFERROR(MATCH(9,Banco_Preguntas!$K$2:$K$400,0),0)</f>
        <v/>
      </c>
      <c r="I48">
        <f>IF(H48=0,"",INDEX(Banco_Preguntas!$D$2:$D$400,H48))</f>
        <v/>
      </c>
    </row>
    <row r="49">
      <c r="B49" s="26" t="n"/>
      <c r="C49" s="26" t="n"/>
      <c r="D49" s="26" t="n"/>
      <c r="E49" s="27">
        <f>IF(OR(H49=0,I49="HEAD"),"",INDEX(Banco_Preguntas!$B$2:$B$400,H49))</f>
        <v/>
      </c>
      <c r="F49" s="28">
        <f>IF(H49=0,"",INDEX(Banco_Preguntas!$C$2:$C$400,H49))</f>
        <v/>
      </c>
      <c r="G49" s="28" t="n"/>
      <c r="H49">
        <f>IFERROR(MATCH(10,Banco_Preguntas!$K$2:$K$400,0),0)</f>
        <v/>
      </c>
      <c r="I49">
        <f>IF(H49=0,"",INDEX(Banco_Preguntas!$D$2:$D$400,H49))</f>
        <v/>
      </c>
    </row>
    <row r="50">
      <c r="B50" s="26" t="n"/>
      <c r="C50" s="26" t="n"/>
      <c r="D50" s="26" t="n"/>
      <c r="E50" s="27">
        <f>IF(OR(H50=0,I50="HEAD"),"",INDEX(Banco_Preguntas!$B$2:$B$400,H50))</f>
        <v/>
      </c>
      <c r="F50" s="28">
        <f>IF(H50=0,"",INDEX(Banco_Preguntas!$C$2:$C$400,H50))</f>
        <v/>
      </c>
      <c r="G50" s="28" t="n"/>
      <c r="H50">
        <f>IFERROR(MATCH(11,Banco_Preguntas!$K$2:$K$400,0),0)</f>
        <v/>
      </c>
      <c r="I50">
        <f>IF(H50=0,"",INDEX(Banco_Preguntas!$D$2:$D$400,H50))</f>
        <v/>
      </c>
    </row>
    <row r="51">
      <c r="B51" s="26" t="n"/>
      <c r="C51" s="26" t="n"/>
      <c r="D51" s="26" t="n"/>
      <c r="E51" s="27">
        <f>IF(OR(H51=0,I51="HEAD"),"",INDEX(Banco_Preguntas!$B$2:$B$400,H51))</f>
        <v/>
      </c>
      <c r="F51" s="28">
        <f>IF(H51=0,"",INDEX(Banco_Preguntas!$C$2:$C$400,H51))</f>
        <v/>
      </c>
      <c r="G51" s="28" t="n"/>
      <c r="H51">
        <f>IFERROR(MATCH(12,Banco_Preguntas!$K$2:$K$400,0),0)</f>
        <v/>
      </c>
      <c r="I51">
        <f>IF(H51=0,"",INDEX(Banco_Preguntas!$D$2:$D$400,H51))</f>
        <v/>
      </c>
    </row>
    <row r="52">
      <c r="B52" s="26" t="n"/>
      <c r="C52" s="26" t="n"/>
      <c r="D52" s="26" t="n"/>
      <c r="E52" s="27">
        <f>IF(OR(H52=0,I52="HEAD"),"",INDEX(Banco_Preguntas!$B$2:$B$400,H52))</f>
        <v/>
      </c>
      <c r="F52" s="28">
        <f>IF(H52=0,"",INDEX(Banco_Preguntas!$C$2:$C$400,H52))</f>
        <v/>
      </c>
      <c r="G52" s="28" t="n"/>
      <c r="H52">
        <f>IFERROR(MATCH(13,Banco_Preguntas!$K$2:$K$400,0),0)</f>
        <v/>
      </c>
      <c r="I52">
        <f>IF(H52=0,"",INDEX(Banco_Preguntas!$D$2:$D$400,H52))</f>
        <v/>
      </c>
    </row>
    <row r="53">
      <c r="B53" s="26" t="n"/>
      <c r="C53" s="26" t="n"/>
      <c r="D53" s="26" t="n"/>
      <c r="E53" s="27">
        <f>IF(OR(H53=0,I53="HEAD"),"",INDEX(Banco_Preguntas!$B$2:$B$400,H53))</f>
        <v/>
      </c>
      <c r="F53" s="28">
        <f>IF(H53=0,"",INDEX(Banco_Preguntas!$C$2:$C$400,H53))</f>
        <v/>
      </c>
      <c r="G53" s="28" t="n"/>
      <c r="H53">
        <f>IFERROR(MATCH(14,Banco_Preguntas!$K$2:$K$400,0),0)</f>
        <v/>
      </c>
      <c r="I53">
        <f>IF(H53=0,"",INDEX(Banco_Preguntas!$D$2:$D$400,H53))</f>
        <v/>
      </c>
    </row>
    <row r="54">
      <c r="B54" s="26" t="n"/>
      <c r="C54" s="26" t="n"/>
      <c r="D54" s="26" t="n"/>
      <c r="E54" s="27">
        <f>IF(OR(H54=0,I54="HEAD"),"",INDEX(Banco_Preguntas!$B$2:$B$400,H54))</f>
        <v/>
      </c>
      <c r="F54" s="28">
        <f>IF(H54=0,"",INDEX(Banco_Preguntas!$C$2:$C$400,H54))</f>
        <v/>
      </c>
      <c r="G54" s="28" t="n"/>
      <c r="H54">
        <f>IFERROR(MATCH(15,Banco_Preguntas!$K$2:$K$400,0),0)</f>
        <v/>
      </c>
      <c r="I54">
        <f>IF(H54=0,"",INDEX(Banco_Preguntas!$D$2:$D$400,H54))</f>
        <v/>
      </c>
    </row>
    <row r="55">
      <c r="B55" s="26" t="n"/>
      <c r="C55" s="26" t="n"/>
      <c r="D55" s="26" t="n"/>
      <c r="E55" s="27">
        <f>IF(OR(H55=0,I55="HEAD"),"",INDEX(Banco_Preguntas!$B$2:$B$400,H55))</f>
        <v/>
      </c>
      <c r="F55" s="28">
        <f>IF(H55=0,"",INDEX(Banco_Preguntas!$C$2:$C$400,H55))</f>
        <v/>
      </c>
      <c r="G55" s="28" t="n"/>
      <c r="H55">
        <f>IFERROR(MATCH(16,Banco_Preguntas!$K$2:$K$400,0),0)</f>
        <v/>
      </c>
      <c r="I55">
        <f>IF(H55=0,"",INDEX(Banco_Preguntas!$D$2:$D$400,H55))</f>
        <v/>
      </c>
    </row>
    <row r="56">
      <c r="B56" s="26" t="n"/>
      <c r="C56" s="26" t="n"/>
      <c r="D56" s="26" t="n"/>
      <c r="E56" s="27">
        <f>IF(OR(H56=0,I56="HEAD"),"",INDEX(Banco_Preguntas!$B$2:$B$400,H56))</f>
        <v/>
      </c>
      <c r="F56" s="28">
        <f>IF(H56=0,"",INDEX(Banco_Preguntas!$C$2:$C$400,H56))</f>
        <v/>
      </c>
      <c r="G56" s="28" t="n"/>
      <c r="H56">
        <f>IFERROR(MATCH(17,Banco_Preguntas!$K$2:$K$400,0),0)</f>
        <v/>
      </c>
      <c r="I56">
        <f>IF(H56=0,"",INDEX(Banco_Preguntas!$D$2:$D$400,H56))</f>
        <v/>
      </c>
    </row>
    <row r="57">
      <c r="B57" s="26" t="n"/>
      <c r="C57" s="26" t="n"/>
      <c r="D57" s="26" t="n"/>
      <c r="E57" s="27">
        <f>IF(OR(H57=0,I57="HEAD"),"",INDEX(Banco_Preguntas!$B$2:$B$400,H57))</f>
        <v/>
      </c>
      <c r="F57" s="28">
        <f>IF(H57=0,"",INDEX(Banco_Preguntas!$C$2:$C$400,H57))</f>
        <v/>
      </c>
      <c r="G57" s="28" t="n"/>
      <c r="H57">
        <f>IFERROR(MATCH(18,Banco_Preguntas!$K$2:$K$400,0),0)</f>
        <v/>
      </c>
      <c r="I57">
        <f>IF(H57=0,"",INDEX(Banco_Preguntas!$D$2:$D$400,H57))</f>
        <v/>
      </c>
    </row>
    <row r="58">
      <c r="B58" s="26" t="n"/>
      <c r="C58" s="26" t="n"/>
      <c r="D58" s="26" t="n"/>
      <c r="E58" s="27">
        <f>IF(OR(H58=0,I58="HEAD"),"",INDEX(Banco_Preguntas!$B$2:$B$400,H58))</f>
        <v/>
      </c>
      <c r="F58" s="28">
        <f>IF(H58=0,"",INDEX(Banco_Preguntas!$C$2:$C$400,H58))</f>
        <v/>
      </c>
      <c r="G58" s="28" t="n"/>
      <c r="H58">
        <f>IFERROR(MATCH(19,Banco_Preguntas!$K$2:$K$400,0),0)</f>
        <v/>
      </c>
      <c r="I58">
        <f>IF(H58=0,"",INDEX(Banco_Preguntas!$D$2:$D$400,H58))</f>
        <v/>
      </c>
    </row>
    <row r="59">
      <c r="B59" s="26" t="n"/>
      <c r="C59" s="26" t="n"/>
      <c r="D59" s="26" t="n"/>
      <c r="E59" s="27">
        <f>IF(OR(H59=0,I59="HEAD"),"",INDEX(Banco_Preguntas!$B$2:$B$400,H59))</f>
        <v/>
      </c>
      <c r="F59" s="28">
        <f>IF(H59=0,"",INDEX(Banco_Preguntas!$C$2:$C$400,H59))</f>
        <v/>
      </c>
      <c r="G59" s="28" t="n"/>
      <c r="H59">
        <f>IFERROR(MATCH(20,Banco_Preguntas!$K$2:$K$400,0),0)</f>
        <v/>
      </c>
      <c r="I59">
        <f>IF(H59=0,"",INDEX(Banco_Preguntas!$D$2:$D$400,H59))</f>
        <v/>
      </c>
    </row>
    <row r="60">
      <c r="B60" s="26" t="n"/>
      <c r="C60" s="26" t="n"/>
      <c r="D60" s="26" t="n"/>
      <c r="E60" s="27">
        <f>IF(OR(H60=0,I60="HEAD"),"",INDEX(Banco_Preguntas!$B$2:$B$400,H60))</f>
        <v/>
      </c>
      <c r="F60" s="28">
        <f>IF(H60=0,"",INDEX(Banco_Preguntas!$C$2:$C$400,H60))</f>
        <v/>
      </c>
      <c r="G60" s="28" t="n"/>
      <c r="H60">
        <f>IFERROR(MATCH(21,Banco_Preguntas!$K$2:$K$400,0),0)</f>
        <v/>
      </c>
      <c r="I60">
        <f>IF(H60=0,"",INDEX(Banco_Preguntas!$D$2:$D$400,H60))</f>
        <v/>
      </c>
    </row>
    <row r="61">
      <c r="B61" s="26" t="n"/>
      <c r="C61" s="26" t="n"/>
      <c r="D61" s="26" t="n"/>
      <c r="E61" s="27">
        <f>IF(OR(H61=0,I61="HEAD"),"",INDEX(Banco_Preguntas!$B$2:$B$400,H61))</f>
        <v/>
      </c>
      <c r="F61" s="28">
        <f>IF(H61=0,"",INDEX(Banco_Preguntas!$C$2:$C$400,H61))</f>
        <v/>
      </c>
      <c r="G61" s="28" t="n"/>
      <c r="H61">
        <f>IFERROR(MATCH(22,Banco_Preguntas!$K$2:$K$400,0),0)</f>
        <v/>
      </c>
      <c r="I61">
        <f>IF(H61=0,"",INDEX(Banco_Preguntas!$D$2:$D$400,H61))</f>
        <v/>
      </c>
    </row>
    <row r="62">
      <c r="B62" s="26" t="n"/>
      <c r="C62" s="26" t="n"/>
      <c r="D62" s="26" t="n"/>
      <c r="E62" s="27">
        <f>IF(OR(H62=0,I62="HEAD"),"",INDEX(Banco_Preguntas!$B$2:$B$400,H62))</f>
        <v/>
      </c>
      <c r="F62" s="28">
        <f>IF(H62=0,"",INDEX(Banco_Preguntas!$C$2:$C$400,H62))</f>
        <v/>
      </c>
      <c r="G62" s="28" t="n"/>
      <c r="H62">
        <f>IFERROR(MATCH(23,Banco_Preguntas!$K$2:$K$400,0),0)</f>
        <v/>
      </c>
      <c r="I62">
        <f>IF(H62=0,"",INDEX(Banco_Preguntas!$D$2:$D$400,H62))</f>
        <v/>
      </c>
    </row>
    <row r="63">
      <c r="B63" s="26" t="n"/>
      <c r="C63" s="26" t="n"/>
      <c r="D63" s="26" t="n"/>
      <c r="E63" s="27">
        <f>IF(OR(H63=0,I63="HEAD"),"",INDEX(Banco_Preguntas!$B$2:$B$400,H63))</f>
        <v/>
      </c>
      <c r="F63" s="28">
        <f>IF(H63=0,"",INDEX(Banco_Preguntas!$C$2:$C$400,H63))</f>
        <v/>
      </c>
      <c r="G63" s="28" t="n"/>
      <c r="H63">
        <f>IFERROR(MATCH(24,Banco_Preguntas!$K$2:$K$400,0),0)</f>
        <v/>
      </c>
      <c r="I63">
        <f>IF(H63=0,"",INDEX(Banco_Preguntas!$D$2:$D$400,H63))</f>
        <v/>
      </c>
    </row>
    <row r="64">
      <c r="B64" s="26" t="n"/>
      <c r="C64" s="26" t="n"/>
      <c r="D64" s="26" t="n"/>
      <c r="E64" s="27">
        <f>IF(OR(H64=0,I64="HEAD"),"",INDEX(Banco_Preguntas!$B$2:$B$400,H64))</f>
        <v/>
      </c>
      <c r="F64" s="28">
        <f>IF(H64=0,"",INDEX(Banco_Preguntas!$C$2:$C$400,H64))</f>
        <v/>
      </c>
      <c r="G64" s="28" t="n"/>
      <c r="H64">
        <f>IFERROR(MATCH(25,Banco_Preguntas!$K$2:$K$400,0),0)</f>
        <v/>
      </c>
      <c r="I64">
        <f>IF(H64=0,"",INDEX(Banco_Preguntas!$D$2:$D$400,H64))</f>
        <v/>
      </c>
    </row>
    <row r="65">
      <c r="B65" s="26" t="n"/>
      <c r="C65" s="26" t="n"/>
      <c r="D65" s="26" t="n"/>
      <c r="E65" s="27">
        <f>IF(OR(H65=0,I65="HEAD"),"",INDEX(Banco_Preguntas!$B$2:$B$400,H65))</f>
        <v/>
      </c>
      <c r="F65" s="28">
        <f>IF(H65=0,"",INDEX(Banco_Preguntas!$C$2:$C$400,H65))</f>
        <v/>
      </c>
      <c r="G65" s="28" t="n"/>
      <c r="H65">
        <f>IFERROR(MATCH(26,Banco_Preguntas!$K$2:$K$400,0),0)</f>
        <v/>
      </c>
      <c r="I65">
        <f>IF(H65=0,"",INDEX(Banco_Preguntas!$D$2:$D$400,H65))</f>
        <v/>
      </c>
    </row>
    <row r="66">
      <c r="B66" s="26" t="n"/>
      <c r="C66" s="26" t="n"/>
      <c r="D66" s="26" t="n"/>
      <c r="E66" s="27">
        <f>IF(OR(H66=0,I66="HEAD"),"",INDEX(Banco_Preguntas!$B$2:$B$400,H66))</f>
        <v/>
      </c>
      <c r="F66" s="28">
        <f>IF(H66=0,"",INDEX(Banco_Preguntas!$C$2:$C$400,H66))</f>
        <v/>
      </c>
      <c r="G66" s="28" t="n"/>
      <c r="H66">
        <f>IFERROR(MATCH(27,Banco_Preguntas!$K$2:$K$400,0),0)</f>
        <v/>
      </c>
      <c r="I66">
        <f>IF(H66=0,"",INDEX(Banco_Preguntas!$D$2:$D$400,H66))</f>
        <v/>
      </c>
    </row>
    <row r="67">
      <c r="B67" s="26" t="n"/>
      <c r="C67" s="26" t="n"/>
      <c r="D67" s="26" t="n"/>
      <c r="E67" s="27">
        <f>IF(OR(H67=0,I67="HEAD"),"",INDEX(Banco_Preguntas!$B$2:$B$400,H67))</f>
        <v/>
      </c>
      <c r="F67" s="28">
        <f>IF(H67=0,"",INDEX(Banco_Preguntas!$C$2:$C$400,H67))</f>
        <v/>
      </c>
      <c r="G67" s="28" t="n"/>
      <c r="H67">
        <f>IFERROR(MATCH(28,Banco_Preguntas!$K$2:$K$400,0),0)</f>
        <v/>
      </c>
      <c r="I67">
        <f>IF(H67=0,"",INDEX(Banco_Preguntas!$D$2:$D$400,H67))</f>
        <v/>
      </c>
    </row>
    <row r="68">
      <c r="B68" s="26" t="n"/>
      <c r="C68" s="26" t="n"/>
      <c r="D68" s="26" t="n"/>
      <c r="E68" s="27">
        <f>IF(OR(H68=0,I68="HEAD"),"",INDEX(Banco_Preguntas!$B$2:$B$400,H68))</f>
        <v/>
      </c>
      <c r="F68" s="28">
        <f>IF(H68=0,"",INDEX(Banco_Preguntas!$C$2:$C$400,H68))</f>
        <v/>
      </c>
      <c r="G68" s="28" t="n"/>
      <c r="H68">
        <f>IFERROR(MATCH(29,Banco_Preguntas!$K$2:$K$400,0),0)</f>
        <v/>
      </c>
      <c r="I68">
        <f>IF(H68=0,"",INDEX(Banco_Preguntas!$D$2:$D$400,H68))</f>
        <v/>
      </c>
    </row>
    <row r="69">
      <c r="B69" s="26" t="n"/>
      <c r="C69" s="26" t="n"/>
      <c r="D69" s="26" t="n"/>
      <c r="E69" s="27">
        <f>IF(OR(H69=0,I69="HEAD"),"",INDEX(Banco_Preguntas!$B$2:$B$400,H69))</f>
        <v/>
      </c>
      <c r="F69" s="28">
        <f>IF(H69=0,"",INDEX(Banco_Preguntas!$C$2:$C$400,H69))</f>
        <v/>
      </c>
      <c r="G69" s="28" t="n"/>
      <c r="H69">
        <f>IFERROR(MATCH(30,Banco_Preguntas!$K$2:$K$400,0),0)</f>
        <v/>
      </c>
      <c r="I69">
        <f>IF(H69=0,"",INDEX(Banco_Preguntas!$D$2:$D$400,H69))</f>
        <v/>
      </c>
    </row>
    <row r="70">
      <c r="B70" s="26" t="n"/>
      <c r="C70" s="26" t="n"/>
      <c r="D70" s="26" t="n"/>
      <c r="E70" s="27">
        <f>IF(OR(H70=0,I70="HEAD"),"",INDEX(Banco_Preguntas!$B$2:$B$400,H70))</f>
        <v/>
      </c>
      <c r="F70" s="28">
        <f>IF(H70=0,"",INDEX(Banco_Preguntas!$C$2:$C$400,H70))</f>
        <v/>
      </c>
      <c r="G70" s="28" t="n"/>
      <c r="H70">
        <f>IFERROR(MATCH(31,Banco_Preguntas!$K$2:$K$400,0),0)</f>
        <v/>
      </c>
      <c r="I70">
        <f>IF(H70=0,"",INDEX(Banco_Preguntas!$D$2:$D$400,H70))</f>
        <v/>
      </c>
    </row>
    <row r="71">
      <c r="B71" s="26" t="n"/>
      <c r="C71" s="26" t="n"/>
      <c r="D71" s="26" t="n"/>
      <c r="E71" s="27">
        <f>IF(OR(H71=0,I71="HEAD"),"",INDEX(Banco_Preguntas!$B$2:$B$400,H71))</f>
        <v/>
      </c>
      <c r="F71" s="28">
        <f>IF(H71=0,"",INDEX(Banco_Preguntas!$C$2:$C$400,H71))</f>
        <v/>
      </c>
      <c r="G71" s="28" t="n"/>
      <c r="H71">
        <f>IFERROR(MATCH(32,Banco_Preguntas!$K$2:$K$400,0),0)</f>
        <v/>
      </c>
      <c r="I71">
        <f>IF(H71=0,"",INDEX(Banco_Preguntas!$D$2:$D$400,H71))</f>
        <v/>
      </c>
    </row>
    <row r="72">
      <c r="B72" s="26" t="n"/>
      <c r="C72" s="26" t="n"/>
      <c r="D72" s="26" t="n"/>
      <c r="E72" s="27">
        <f>IF(OR(H72=0,I72="HEAD"),"",INDEX(Banco_Preguntas!$B$2:$B$400,H72))</f>
        <v/>
      </c>
      <c r="F72" s="28">
        <f>IF(H72=0,"",INDEX(Banco_Preguntas!$C$2:$C$400,H72))</f>
        <v/>
      </c>
      <c r="G72" s="28" t="n"/>
      <c r="H72">
        <f>IFERROR(MATCH(33,Banco_Preguntas!$K$2:$K$400,0),0)</f>
        <v/>
      </c>
      <c r="I72">
        <f>IF(H72=0,"",INDEX(Banco_Preguntas!$D$2:$D$400,H72))</f>
        <v/>
      </c>
    </row>
    <row r="73">
      <c r="B73" s="26" t="n"/>
      <c r="C73" s="26" t="n"/>
      <c r="D73" s="26" t="n"/>
      <c r="E73" s="27">
        <f>IF(OR(H73=0,I73="HEAD"),"",INDEX(Banco_Preguntas!$B$2:$B$400,H73))</f>
        <v/>
      </c>
      <c r="F73" s="28">
        <f>IF(H73=0,"",INDEX(Banco_Preguntas!$C$2:$C$400,H73))</f>
        <v/>
      </c>
      <c r="G73" s="28" t="n"/>
      <c r="H73">
        <f>IFERROR(MATCH(34,Banco_Preguntas!$K$2:$K$400,0),0)</f>
        <v/>
      </c>
      <c r="I73">
        <f>IF(H73=0,"",INDEX(Banco_Preguntas!$D$2:$D$400,H73))</f>
        <v/>
      </c>
    </row>
    <row r="74">
      <c r="B74" s="26" t="n"/>
      <c r="C74" s="26" t="n"/>
      <c r="D74" s="26" t="n"/>
      <c r="E74" s="27">
        <f>IF(OR(H74=0,I74="HEAD"),"",INDEX(Banco_Preguntas!$B$2:$B$400,H74))</f>
        <v/>
      </c>
      <c r="F74" s="28">
        <f>IF(H74=0,"",INDEX(Banco_Preguntas!$C$2:$C$400,H74))</f>
        <v/>
      </c>
      <c r="G74" s="28" t="n"/>
      <c r="H74">
        <f>IFERROR(MATCH(35,Banco_Preguntas!$K$2:$K$400,0),0)</f>
        <v/>
      </c>
      <c r="I74">
        <f>IF(H74=0,"",INDEX(Banco_Preguntas!$D$2:$D$400,H74))</f>
        <v/>
      </c>
    </row>
    <row r="75">
      <c r="B75" s="26" t="n"/>
      <c r="C75" s="26" t="n"/>
      <c r="D75" s="26" t="n"/>
      <c r="E75" s="27">
        <f>IF(OR(H75=0,I75="HEAD"),"",INDEX(Banco_Preguntas!$B$2:$B$400,H75))</f>
        <v/>
      </c>
      <c r="F75" s="28">
        <f>IF(H75=0,"",INDEX(Banco_Preguntas!$C$2:$C$400,H75))</f>
        <v/>
      </c>
      <c r="G75" s="28" t="n"/>
      <c r="H75">
        <f>IFERROR(MATCH(36,Banco_Preguntas!$K$2:$K$400,0),0)</f>
        <v/>
      </c>
      <c r="I75">
        <f>IF(H75=0,"",INDEX(Banco_Preguntas!$D$2:$D$400,H75))</f>
        <v/>
      </c>
    </row>
    <row r="76">
      <c r="B76" s="26" t="n"/>
      <c r="C76" s="26" t="n"/>
      <c r="D76" s="26" t="n"/>
      <c r="E76" s="27">
        <f>IF(OR(H76=0,I76="HEAD"),"",INDEX(Banco_Preguntas!$B$2:$B$400,H76))</f>
        <v/>
      </c>
      <c r="F76" s="28">
        <f>IF(H76=0,"",INDEX(Banco_Preguntas!$C$2:$C$400,H76))</f>
        <v/>
      </c>
      <c r="G76" s="28" t="n"/>
      <c r="H76">
        <f>IFERROR(MATCH(37,Banco_Preguntas!$K$2:$K$400,0),0)</f>
        <v/>
      </c>
      <c r="I76">
        <f>IF(H76=0,"",INDEX(Banco_Preguntas!$D$2:$D$400,H76))</f>
        <v/>
      </c>
    </row>
    <row r="77">
      <c r="B77" s="26" t="n"/>
      <c r="C77" s="26" t="n"/>
      <c r="D77" s="26" t="n"/>
      <c r="E77" s="27">
        <f>IF(OR(H77=0,I77="HEAD"),"",INDEX(Banco_Preguntas!$B$2:$B$400,H77))</f>
        <v/>
      </c>
      <c r="F77" s="28">
        <f>IF(H77=0,"",INDEX(Banco_Preguntas!$C$2:$C$400,H77))</f>
        <v/>
      </c>
      <c r="G77" s="28" t="n"/>
      <c r="H77">
        <f>IFERROR(MATCH(38,Banco_Preguntas!$K$2:$K$400,0),0)</f>
        <v/>
      </c>
      <c r="I77">
        <f>IF(H77=0,"",INDEX(Banco_Preguntas!$D$2:$D$400,H77))</f>
        <v/>
      </c>
    </row>
    <row r="78">
      <c r="B78" s="26" t="n"/>
      <c r="C78" s="26" t="n"/>
      <c r="D78" s="26" t="n"/>
      <c r="E78" s="27">
        <f>IF(OR(H78=0,I78="HEAD"),"",INDEX(Banco_Preguntas!$B$2:$B$400,H78))</f>
        <v/>
      </c>
      <c r="F78" s="28">
        <f>IF(H78=0,"",INDEX(Banco_Preguntas!$C$2:$C$400,H78))</f>
        <v/>
      </c>
      <c r="G78" s="28" t="n"/>
      <c r="H78">
        <f>IFERROR(MATCH(39,Banco_Preguntas!$K$2:$K$400,0),0)</f>
        <v/>
      </c>
      <c r="I78">
        <f>IF(H78=0,"",INDEX(Banco_Preguntas!$D$2:$D$400,H78))</f>
        <v/>
      </c>
    </row>
    <row r="79">
      <c r="B79" s="26" t="n"/>
      <c r="C79" s="26" t="n"/>
      <c r="D79" s="26" t="n"/>
      <c r="E79" s="27">
        <f>IF(OR(H79=0,I79="HEAD"),"",INDEX(Banco_Preguntas!$B$2:$B$400,H79))</f>
        <v/>
      </c>
      <c r="F79" s="28">
        <f>IF(H79=0,"",INDEX(Banco_Preguntas!$C$2:$C$400,H79))</f>
        <v/>
      </c>
      <c r="G79" s="28" t="n"/>
      <c r="H79">
        <f>IFERROR(MATCH(40,Banco_Preguntas!$K$2:$K$400,0),0)</f>
        <v/>
      </c>
      <c r="I79">
        <f>IF(H79=0,"",INDEX(Banco_Preguntas!$D$2:$D$400,H79))</f>
        <v/>
      </c>
    </row>
    <row r="80">
      <c r="B80" s="26" t="n"/>
      <c r="C80" s="26" t="n"/>
      <c r="D80" s="26" t="n"/>
      <c r="E80" s="27">
        <f>IF(OR(H80=0,I80="HEAD"),"",INDEX(Banco_Preguntas!$B$2:$B$400,H80))</f>
        <v/>
      </c>
      <c r="F80" s="28">
        <f>IF(H80=0,"",INDEX(Banco_Preguntas!$C$2:$C$400,H80))</f>
        <v/>
      </c>
      <c r="G80" s="28" t="n"/>
      <c r="H80">
        <f>IFERROR(MATCH(41,Banco_Preguntas!$K$2:$K$400,0),0)</f>
        <v/>
      </c>
      <c r="I80">
        <f>IF(H80=0,"",INDEX(Banco_Preguntas!$D$2:$D$400,H80))</f>
        <v/>
      </c>
    </row>
    <row r="81">
      <c r="B81" s="26" t="n"/>
      <c r="C81" s="26" t="n"/>
      <c r="D81" s="26" t="n"/>
      <c r="E81" s="27">
        <f>IF(OR(H81=0,I81="HEAD"),"",INDEX(Banco_Preguntas!$B$2:$B$400,H81))</f>
        <v/>
      </c>
      <c r="F81" s="28">
        <f>IF(H81=0,"",INDEX(Banco_Preguntas!$C$2:$C$400,H81))</f>
        <v/>
      </c>
      <c r="G81" s="28" t="n"/>
      <c r="H81">
        <f>IFERROR(MATCH(42,Banco_Preguntas!$K$2:$K$400,0),0)</f>
        <v/>
      </c>
      <c r="I81">
        <f>IF(H81=0,"",INDEX(Banco_Preguntas!$D$2:$D$400,H81))</f>
        <v/>
      </c>
    </row>
    <row r="82">
      <c r="B82" s="26" t="n"/>
      <c r="C82" s="26" t="n"/>
      <c r="D82" s="26" t="n"/>
      <c r="E82" s="27">
        <f>IF(OR(H82=0,I82="HEAD"),"",INDEX(Banco_Preguntas!$B$2:$B$400,H82))</f>
        <v/>
      </c>
      <c r="F82" s="28">
        <f>IF(H82=0,"",INDEX(Banco_Preguntas!$C$2:$C$400,H82))</f>
        <v/>
      </c>
      <c r="G82" s="28" t="n"/>
      <c r="H82">
        <f>IFERROR(MATCH(43,Banco_Preguntas!$K$2:$K$400,0),0)</f>
        <v/>
      </c>
      <c r="I82">
        <f>IF(H82=0,"",INDEX(Banco_Preguntas!$D$2:$D$400,H82))</f>
        <v/>
      </c>
    </row>
    <row r="83">
      <c r="B83" s="26" t="n"/>
      <c r="C83" s="26" t="n"/>
      <c r="D83" s="26" t="n"/>
      <c r="E83" s="27">
        <f>IF(OR(H83=0,I83="HEAD"),"",INDEX(Banco_Preguntas!$B$2:$B$400,H83))</f>
        <v/>
      </c>
      <c r="F83" s="28">
        <f>IF(H83=0,"",INDEX(Banco_Preguntas!$C$2:$C$400,H83))</f>
        <v/>
      </c>
      <c r="G83" s="28" t="n"/>
      <c r="H83">
        <f>IFERROR(MATCH(44,Banco_Preguntas!$K$2:$K$400,0),0)</f>
        <v/>
      </c>
      <c r="I83">
        <f>IF(H83=0,"",INDEX(Banco_Preguntas!$D$2:$D$400,H83))</f>
        <v/>
      </c>
    </row>
    <row r="84">
      <c r="B84" s="26" t="n"/>
      <c r="C84" s="26" t="n"/>
      <c r="D84" s="26" t="n"/>
      <c r="E84" s="27">
        <f>IF(OR(H84=0,I84="HEAD"),"",INDEX(Banco_Preguntas!$B$2:$B$400,H84))</f>
        <v/>
      </c>
      <c r="F84" s="28">
        <f>IF(H84=0,"",INDEX(Banco_Preguntas!$C$2:$C$400,H84))</f>
        <v/>
      </c>
      <c r="G84" s="28" t="n"/>
      <c r="H84">
        <f>IFERROR(MATCH(45,Banco_Preguntas!$K$2:$K$400,0),0)</f>
        <v/>
      </c>
      <c r="I84">
        <f>IF(H84=0,"",INDEX(Banco_Preguntas!$D$2:$D$400,H84))</f>
        <v/>
      </c>
    </row>
    <row r="85">
      <c r="B85" s="26" t="n"/>
      <c r="C85" s="26" t="n"/>
      <c r="D85" s="26" t="n"/>
      <c r="E85" s="27">
        <f>IF(OR(H85=0,I85="HEAD"),"",INDEX(Banco_Preguntas!$B$2:$B$400,H85))</f>
        <v/>
      </c>
      <c r="F85" s="28">
        <f>IF(H85=0,"",INDEX(Banco_Preguntas!$C$2:$C$400,H85))</f>
        <v/>
      </c>
      <c r="G85" s="28" t="n"/>
      <c r="H85">
        <f>IFERROR(MATCH(46,Banco_Preguntas!$K$2:$K$400,0),0)</f>
        <v/>
      </c>
      <c r="I85">
        <f>IF(H85=0,"",INDEX(Banco_Preguntas!$D$2:$D$400,H85))</f>
        <v/>
      </c>
    </row>
    <row r="86">
      <c r="B86" s="26" t="n"/>
      <c r="C86" s="26" t="n"/>
      <c r="D86" s="26" t="n"/>
      <c r="E86" s="27">
        <f>IF(OR(H86=0,I86="HEAD"),"",INDEX(Banco_Preguntas!$B$2:$B$400,H86))</f>
        <v/>
      </c>
      <c r="F86" s="28">
        <f>IF(H86=0,"",INDEX(Banco_Preguntas!$C$2:$C$400,H86))</f>
        <v/>
      </c>
      <c r="G86" s="28" t="n"/>
      <c r="H86">
        <f>IFERROR(MATCH(47,Banco_Preguntas!$K$2:$K$400,0),0)</f>
        <v/>
      </c>
      <c r="I86">
        <f>IF(H86=0,"",INDEX(Banco_Preguntas!$D$2:$D$400,H86))</f>
        <v/>
      </c>
    </row>
    <row r="87">
      <c r="B87" s="26" t="n"/>
      <c r="C87" s="26" t="n"/>
      <c r="D87" s="26" t="n"/>
      <c r="E87" s="27">
        <f>IF(OR(H87=0,I87="HEAD"),"",INDEX(Banco_Preguntas!$B$2:$B$400,H87))</f>
        <v/>
      </c>
      <c r="F87" s="28">
        <f>IF(H87=0,"",INDEX(Banco_Preguntas!$C$2:$C$400,H87))</f>
        <v/>
      </c>
      <c r="G87" s="28" t="n"/>
      <c r="H87">
        <f>IFERROR(MATCH(48,Banco_Preguntas!$K$2:$K$400,0),0)</f>
        <v/>
      </c>
      <c r="I87">
        <f>IF(H87=0,"",INDEX(Banco_Preguntas!$D$2:$D$400,H87))</f>
        <v/>
      </c>
    </row>
    <row r="88">
      <c r="B88" s="26" t="n"/>
      <c r="C88" s="26" t="n"/>
      <c r="D88" s="26" t="n"/>
      <c r="E88" s="27">
        <f>IF(OR(H88=0,I88="HEAD"),"",INDEX(Banco_Preguntas!$B$2:$B$400,H88))</f>
        <v/>
      </c>
      <c r="F88" s="28">
        <f>IF(H88=0,"",INDEX(Banco_Preguntas!$C$2:$C$400,H88))</f>
        <v/>
      </c>
      <c r="G88" s="28" t="n"/>
      <c r="H88">
        <f>IFERROR(MATCH(49,Banco_Preguntas!$K$2:$K$400,0),0)</f>
        <v/>
      </c>
      <c r="I88">
        <f>IF(H88=0,"",INDEX(Banco_Preguntas!$D$2:$D$400,H88))</f>
        <v/>
      </c>
    </row>
    <row r="89">
      <c r="B89" s="26" t="n"/>
      <c r="C89" s="26" t="n"/>
      <c r="D89" s="26" t="n"/>
      <c r="E89" s="27">
        <f>IF(OR(H89=0,I89="HEAD"),"",INDEX(Banco_Preguntas!$B$2:$B$400,H89))</f>
        <v/>
      </c>
      <c r="F89" s="28">
        <f>IF(H89=0,"",INDEX(Banco_Preguntas!$C$2:$C$400,H89))</f>
        <v/>
      </c>
      <c r="G89" s="28" t="n"/>
      <c r="H89">
        <f>IFERROR(MATCH(50,Banco_Preguntas!$K$2:$K$400,0),0)</f>
        <v/>
      </c>
      <c r="I89">
        <f>IF(H89=0,"",INDEX(Banco_Preguntas!$D$2:$D$400,H89))</f>
        <v/>
      </c>
    </row>
    <row r="90">
      <c r="B90" s="26" t="n"/>
      <c r="C90" s="26" t="n"/>
      <c r="D90" s="26" t="n"/>
      <c r="E90" s="27">
        <f>IF(OR(H90=0,I90="HEAD"),"",INDEX(Banco_Preguntas!$B$2:$B$400,H90))</f>
        <v/>
      </c>
      <c r="F90" s="28">
        <f>IF(H90=0,"",INDEX(Banco_Preguntas!$C$2:$C$400,H90))</f>
        <v/>
      </c>
      <c r="G90" s="28" t="n"/>
      <c r="H90">
        <f>IFERROR(MATCH(51,Banco_Preguntas!$K$2:$K$400,0),0)</f>
        <v/>
      </c>
      <c r="I90">
        <f>IF(H90=0,"",INDEX(Banco_Preguntas!$D$2:$D$400,H90))</f>
        <v/>
      </c>
    </row>
    <row r="91">
      <c r="B91" s="26" t="n"/>
      <c r="C91" s="26" t="n"/>
      <c r="D91" s="26" t="n"/>
      <c r="E91" s="27">
        <f>IF(OR(H91=0,I91="HEAD"),"",INDEX(Banco_Preguntas!$B$2:$B$400,H91))</f>
        <v/>
      </c>
      <c r="F91" s="28">
        <f>IF(H91=0,"",INDEX(Banco_Preguntas!$C$2:$C$400,H91))</f>
        <v/>
      </c>
      <c r="G91" s="28" t="n"/>
      <c r="H91">
        <f>IFERROR(MATCH(52,Banco_Preguntas!$K$2:$K$400,0),0)</f>
        <v/>
      </c>
      <c r="I91">
        <f>IF(H91=0,"",INDEX(Banco_Preguntas!$D$2:$D$400,H91))</f>
        <v/>
      </c>
    </row>
    <row r="92">
      <c r="B92" s="26" t="n"/>
      <c r="C92" s="26" t="n"/>
      <c r="D92" s="26" t="n"/>
      <c r="E92" s="27">
        <f>IF(OR(H92=0,I92="HEAD"),"",INDEX(Banco_Preguntas!$B$2:$B$400,H92))</f>
        <v/>
      </c>
      <c r="F92" s="28">
        <f>IF(H92=0,"",INDEX(Banco_Preguntas!$C$2:$C$400,H92))</f>
        <v/>
      </c>
      <c r="G92" s="28" t="n"/>
      <c r="H92">
        <f>IFERROR(MATCH(53,Banco_Preguntas!$K$2:$K$400,0),0)</f>
        <v/>
      </c>
      <c r="I92">
        <f>IF(H92=0,"",INDEX(Banco_Preguntas!$D$2:$D$400,H92))</f>
        <v/>
      </c>
    </row>
    <row r="93">
      <c r="B93" s="26" t="n"/>
      <c r="C93" s="26" t="n"/>
      <c r="D93" s="26" t="n"/>
      <c r="E93" s="27">
        <f>IF(OR(H93=0,I93="HEAD"),"",INDEX(Banco_Preguntas!$B$2:$B$400,H93))</f>
        <v/>
      </c>
      <c r="F93" s="28">
        <f>IF(H93=0,"",INDEX(Banco_Preguntas!$C$2:$C$400,H93))</f>
        <v/>
      </c>
      <c r="G93" s="28" t="n"/>
      <c r="H93">
        <f>IFERROR(MATCH(54,Banco_Preguntas!$K$2:$K$400,0),0)</f>
        <v/>
      </c>
      <c r="I93">
        <f>IF(H93=0,"",INDEX(Banco_Preguntas!$D$2:$D$400,H93))</f>
        <v/>
      </c>
    </row>
    <row r="94">
      <c r="B94" s="26" t="n"/>
      <c r="C94" s="26" t="n"/>
      <c r="D94" s="26" t="n"/>
      <c r="E94" s="27">
        <f>IF(OR(H94=0,I94="HEAD"),"",INDEX(Banco_Preguntas!$B$2:$B$400,H94))</f>
        <v/>
      </c>
      <c r="F94" s="28">
        <f>IF(H94=0,"",INDEX(Banco_Preguntas!$C$2:$C$400,H94))</f>
        <v/>
      </c>
      <c r="G94" s="28" t="n"/>
      <c r="H94">
        <f>IFERROR(MATCH(55,Banco_Preguntas!$K$2:$K$400,0),0)</f>
        <v/>
      </c>
      <c r="I94">
        <f>IF(H94=0,"",INDEX(Banco_Preguntas!$D$2:$D$400,H94))</f>
        <v/>
      </c>
    </row>
    <row r="95">
      <c r="B95" s="26" t="n"/>
      <c r="C95" s="26" t="n"/>
      <c r="D95" s="26" t="n"/>
      <c r="E95" s="27">
        <f>IF(OR(H95=0,I95="HEAD"),"",INDEX(Banco_Preguntas!$B$2:$B$400,H95))</f>
        <v/>
      </c>
      <c r="F95" s="28">
        <f>IF(H95=0,"",INDEX(Banco_Preguntas!$C$2:$C$400,H95))</f>
        <v/>
      </c>
      <c r="G95" s="28" t="n"/>
      <c r="H95">
        <f>IFERROR(MATCH(56,Banco_Preguntas!$K$2:$K$400,0),0)</f>
        <v/>
      </c>
      <c r="I95">
        <f>IF(H95=0,"",INDEX(Banco_Preguntas!$D$2:$D$400,H95))</f>
        <v/>
      </c>
    </row>
    <row r="96">
      <c r="B96" s="26" t="n"/>
      <c r="C96" s="26" t="n"/>
      <c r="D96" s="26" t="n"/>
      <c r="E96" s="27">
        <f>IF(OR(H96=0,I96="HEAD"),"",INDEX(Banco_Preguntas!$B$2:$B$400,H96))</f>
        <v/>
      </c>
      <c r="F96" s="28">
        <f>IF(H96=0,"",INDEX(Banco_Preguntas!$C$2:$C$400,H96))</f>
        <v/>
      </c>
      <c r="G96" s="28" t="n"/>
      <c r="H96">
        <f>IFERROR(MATCH(57,Banco_Preguntas!$K$2:$K$400,0),0)</f>
        <v/>
      </c>
      <c r="I96">
        <f>IF(H96=0,"",INDEX(Banco_Preguntas!$D$2:$D$400,H96))</f>
        <v/>
      </c>
    </row>
    <row r="97">
      <c r="B97" s="26" t="n"/>
      <c r="C97" s="26" t="n"/>
      <c r="D97" s="26" t="n"/>
      <c r="E97" s="27">
        <f>IF(OR(H97=0,I97="HEAD"),"",INDEX(Banco_Preguntas!$B$2:$B$400,H97))</f>
        <v/>
      </c>
      <c r="F97" s="28">
        <f>IF(H97=0,"",INDEX(Banco_Preguntas!$C$2:$C$400,H97))</f>
        <v/>
      </c>
      <c r="G97" s="28" t="n"/>
      <c r="H97">
        <f>IFERROR(MATCH(58,Banco_Preguntas!$K$2:$K$400,0),0)</f>
        <v/>
      </c>
      <c r="I97">
        <f>IF(H97=0,"",INDEX(Banco_Preguntas!$D$2:$D$400,H97))</f>
        <v/>
      </c>
    </row>
    <row r="98">
      <c r="B98" s="26" t="n"/>
      <c r="C98" s="26" t="n"/>
      <c r="D98" s="26" t="n"/>
      <c r="E98" s="27">
        <f>IF(OR(H98=0,I98="HEAD"),"",INDEX(Banco_Preguntas!$B$2:$B$400,H98))</f>
        <v/>
      </c>
      <c r="F98" s="28">
        <f>IF(H98=0,"",INDEX(Banco_Preguntas!$C$2:$C$400,H98))</f>
        <v/>
      </c>
      <c r="G98" s="28" t="n"/>
      <c r="H98">
        <f>IFERROR(MATCH(59,Banco_Preguntas!$K$2:$K$400,0),0)</f>
        <v/>
      </c>
      <c r="I98">
        <f>IF(H98=0,"",INDEX(Banco_Preguntas!$D$2:$D$400,H98))</f>
        <v/>
      </c>
    </row>
    <row r="99">
      <c r="B99" s="26" t="n"/>
      <c r="C99" s="26" t="n"/>
      <c r="D99" s="26" t="n"/>
      <c r="E99" s="27">
        <f>IF(OR(H99=0,I99="HEAD"),"",INDEX(Banco_Preguntas!$B$2:$B$400,H99))</f>
        <v/>
      </c>
      <c r="F99" s="28">
        <f>IF(H99=0,"",INDEX(Banco_Preguntas!$C$2:$C$400,H99))</f>
        <v/>
      </c>
      <c r="G99" s="28" t="n"/>
      <c r="H99">
        <f>IFERROR(MATCH(60,Banco_Preguntas!$K$2:$K$400,0),0)</f>
        <v/>
      </c>
      <c r="I99">
        <f>IF(H99=0,"",INDEX(Banco_Preguntas!$D$2:$D$400,H99))</f>
        <v/>
      </c>
    </row>
    <row r="100">
      <c r="B100" s="26" t="n"/>
      <c r="C100" s="26" t="n"/>
      <c r="D100" s="26" t="n"/>
      <c r="E100" s="27">
        <f>IF(OR(H100=0,I100="HEAD"),"",INDEX(Banco_Preguntas!$B$2:$B$400,H100))</f>
        <v/>
      </c>
      <c r="F100" s="28">
        <f>IF(H100=0,"",INDEX(Banco_Preguntas!$C$2:$C$400,H100))</f>
        <v/>
      </c>
      <c r="G100" s="28" t="n"/>
      <c r="H100">
        <f>IFERROR(MATCH(61,Banco_Preguntas!$K$2:$K$400,0),0)</f>
        <v/>
      </c>
      <c r="I100">
        <f>IF(H100=0,"",INDEX(Banco_Preguntas!$D$2:$D$400,H100))</f>
        <v/>
      </c>
    </row>
    <row r="101">
      <c r="B101" s="26" t="n"/>
      <c r="C101" s="26" t="n"/>
      <c r="D101" s="26" t="n"/>
      <c r="E101" s="27">
        <f>IF(OR(H101=0,I101="HEAD"),"",INDEX(Banco_Preguntas!$B$2:$B$400,H101))</f>
        <v/>
      </c>
      <c r="F101" s="28">
        <f>IF(H101=0,"",INDEX(Banco_Preguntas!$C$2:$C$400,H101))</f>
        <v/>
      </c>
      <c r="G101" s="28" t="n"/>
      <c r="H101">
        <f>IFERROR(MATCH(62,Banco_Preguntas!$K$2:$K$400,0),0)</f>
        <v/>
      </c>
      <c r="I101">
        <f>IF(H101=0,"",INDEX(Banco_Preguntas!$D$2:$D$400,H101))</f>
        <v/>
      </c>
    </row>
    <row r="102">
      <c r="B102" s="26" t="n"/>
      <c r="C102" s="26" t="n"/>
      <c r="D102" s="26" t="n"/>
      <c r="E102" s="27">
        <f>IF(OR(H102=0,I102="HEAD"),"",INDEX(Banco_Preguntas!$B$2:$B$400,H102))</f>
        <v/>
      </c>
      <c r="F102" s="28">
        <f>IF(H102=0,"",INDEX(Banco_Preguntas!$C$2:$C$400,H102))</f>
        <v/>
      </c>
      <c r="G102" s="28" t="n"/>
      <c r="H102">
        <f>IFERROR(MATCH(63,Banco_Preguntas!$K$2:$K$400,0),0)</f>
        <v/>
      </c>
      <c r="I102">
        <f>IF(H102=0,"",INDEX(Banco_Preguntas!$D$2:$D$400,H102))</f>
        <v/>
      </c>
    </row>
    <row r="103">
      <c r="B103" s="26" t="n"/>
      <c r="C103" s="26" t="n"/>
      <c r="D103" s="26" t="n"/>
      <c r="E103" s="27">
        <f>IF(OR(H103=0,I103="HEAD"),"",INDEX(Banco_Preguntas!$B$2:$B$400,H103))</f>
        <v/>
      </c>
      <c r="F103" s="28">
        <f>IF(H103=0,"",INDEX(Banco_Preguntas!$C$2:$C$400,H103))</f>
        <v/>
      </c>
      <c r="G103" s="28" t="n"/>
      <c r="H103">
        <f>IFERROR(MATCH(64,Banco_Preguntas!$K$2:$K$400,0),0)</f>
        <v/>
      </c>
      <c r="I103">
        <f>IF(H103=0,"",INDEX(Banco_Preguntas!$D$2:$D$400,H103))</f>
        <v/>
      </c>
    </row>
    <row r="104">
      <c r="B104" s="26" t="n"/>
      <c r="C104" s="26" t="n"/>
      <c r="D104" s="26" t="n"/>
      <c r="E104" s="27">
        <f>IF(OR(H104=0,I104="HEAD"),"",INDEX(Banco_Preguntas!$B$2:$B$400,H104))</f>
        <v/>
      </c>
      <c r="F104" s="28">
        <f>IF(H104=0,"",INDEX(Banco_Preguntas!$C$2:$C$400,H104))</f>
        <v/>
      </c>
      <c r="G104" s="28" t="n"/>
      <c r="H104">
        <f>IFERROR(MATCH(65,Banco_Preguntas!$K$2:$K$400,0),0)</f>
        <v/>
      </c>
      <c r="I104">
        <f>IF(H104=0,"",INDEX(Banco_Preguntas!$D$2:$D$400,H104))</f>
        <v/>
      </c>
    </row>
    <row r="105">
      <c r="B105" s="26" t="n"/>
      <c r="C105" s="26" t="n"/>
      <c r="D105" s="26" t="n"/>
      <c r="E105" s="27">
        <f>IF(OR(H105=0,I105="HEAD"),"",INDEX(Banco_Preguntas!$B$2:$B$400,H105))</f>
        <v/>
      </c>
      <c r="F105" s="28">
        <f>IF(H105=0,"",INDEX(Banco_Preguntas!$C$2:$C$400,H105))</f>
        <v/>
      </c>
      <c r="G105" s="28" t="n"/>
      <c r="H105">
        <f>IFERROR(MATCH(66,Banco_Preguntas!$K$2:$K$400,0),0)</f>
        <v/>
      </c>
      <c r="I105">
        <f>IF(H105=0,"",INDEX(Banco_Preguntas!$D$2:$D$400,H105))</f>
        <v/>
      </c>
    </row>
    <row r="106">
      <c r="B106" s="26" t="n"/>
      <c r="C106" s="26" t="n"/>
      <c r="D106" s="26" t="n"/>
      <c r="E106" s="27">
        <f>IF(OR(H106=0,I106="HEAD"),"",INDEX(Banco_Preguntas!$B$2:$B$400,H106))</f>
        <v/>
      </c>
      <c r="F106" s="28">
        <f>IF(H106=0,"",INDEX(Banco_Preguntas!$C$2:$C$400,H106))</f>
        <v/>
      </c>
      <c r="G106" s="28" t="n"/>
      <c r="H106">
        <f>IFERROR(MATCH(67,Banco_Preguntas!$K$2:$K$400,0),0)</f>
        <v/>
      </c>
      <c r="I106">
        <f>IF(H106=0,"",INDEX(Banco_Preguntas!$D$2:$D$400,H106))</f>
        <v/>
      </c>
    </row>
    <row r="107">
      <c r="B107" s="26" t="n"/>
      <c r="C107" s="26" t="n"/>
      <c r="D107" s="26" t="n"/>
      <c r="E107" s="27">
        <f>IF(OR(H107=0,I107="HEAD"),"",INDEX(Banco_Preguntas!$B$2:$B$400,H107))</f>
        <v/>
      </c>
      <c r="F107" s="28">
        <f>IF(H107=0,"",INDEX(Banco_Preguntas!$C$2:$C$400,H107))</f>
        <v/>
      </c>
      <c r="G107" s="28" t="n"/>
      <c r="H107">
        <f>IFERROR(MATCH(68,Banco_Preguntas!$K$2:$K$400,0),0)</f>
        <v/>
      </c>
      <c r="I107">
        <f>IF(H107=0,"",INDEX(Banco_Preguntas!$D$2:$D$400,H107))</f>
        <v/>
      </c>
    </row>
    <row r="108">
      <c r="B108" s="26" t="n"/>
      <c r="C108" s="26" t="n"/>
      <c r="D108" s="26" t="n"/>
      <c r="E108" s="27">
        <f>IF(OR(H108=0,I108="HEAD"),"",INDEX(Banco_Preguntas!$B$2:$B$400,H108))</f>
        <v/>
      </c>
      <c r="F108" s="28">
        <f>IF(H108=0,"",INDEX(Banco_Preguntas!$C$2:$C$400,H108))</f>
        <v/>
      </c>
      <c r="G108" s="28" t="n"/>
      <c r="H108">
        <f>IFERROR(MATCH(69,Banco_Preguntas!$K$2:$K$400,0),0)</f>
        <v/>
      </c>
      <c r="I108">
        <f>IF(H108=0,"",INDEX(Banco_Preguntas!$D$2:$D$400,H108))</f>
        <v/>
      </c>
    </row>
    <row r="109">
      <c r="B109" s="26" t="n"/>
      <c r="C109" s="26" t="n"/>
      <c r="D109" s="26" t="n"/>
      <c r="E109" s="27">
        <f>IF(OR(H109=0,I109="HEAD"),"",INDEX(Banco_Preguntas!$B$2:$B$400,H109))</f>
        <v/>
      </c>
      <c r="F109" s="28">
        <f>IF(H109=0,"",INDEX(Banco_Preguntas!$C$2:$C$400,H109))</f>
        <v/>
      </c>
      <c r="G109" s="28" t="n"/>
      <c r="H109">
        <f>IFERROR(MATCH(70,Banco_Preguntas!$K$2:$K$400,0),0)</f>
        <v/>
      </c>
      <c r="I109">
        <f>IF(H109=0,"",INDEX(Banco_Preguntas!$D$2:$D$400,H109))</f>
        <v/>
      </c>
    </row>
    <row r="110">
      <c r="B110" s="26" t="n"/>
      <c r="C110" s="26" t="n"/>
      <c r="D110" s="26" t="n"/>
      <c r="E110" s="27">
        <f>IF(OR(H110=0,I110="HEAD"),"",INDEX(Banco_Preguntas!$B$2:$B$400,H110))</f>
        <v/>
      </c>
      <c r="F110" s="28">
        <f>IF(H110=0,"",INDEX(Banco_Preguntas!$C$2:$C$400,H110))</f>
        <v/>
      </c>
      <c r="G110" s="28" t="n"/>
      <c r="H110">
        <f>IFERROR(MATCH(71,Banco_Preguntas!$K$2:$K$400,0),0)</f>
        <v/>
      </c>
      <c r="I110">
        <f>IF(H110=0,"",INDEX(Banco_Preguntas!$D$2:$D$400,H110))</f>
        <v/>
      </c>
    </row>
    <row r="111">
      <c r="B111" s="26" t="n"/>
      <c r="C111" s="26" t="n"/>
      <c r="D111" s="26" t="n"/>
      <c r="E111" s="27">
        <f>IF(OR(H111=0,I111="HEAD"),"",INDEX(Banco_Preguntas!$B$2:$B$400,H111))</f>
        <v/>
      </c>
      <c r="F111" s="28">
        <f>IF(H111=0,"",INDEX(Banco_Preguntas!$C$2:$C$400,H111))</f>
        <v/>
      </c>
      <c r="G111" s="28" t="n"/>
      <c r="H111">
        <f>IFERROR(MATCH(72,Banco_Preguntas!$K$2:$K$400,0),0)</f>
        <v/>
      </c>
      <c r="I111">
        <f>IF(H111=0,"",INDEX(Banco_Preguntas!$D$2:$D$400,H111))</f>
        <v/>
      </c>
    </row>
    <row r="112">
      <c r="B112" s="26" t="n"/>
      <c r="C112" s="26" t="n"/>
      <c r="D112" s="26" t="n"/>
      <c r="E112" s="27">
        <f>IF(OR(H112=0,I112="HEAD"),"",INDEX(Banco_Preguntas!$B$2:$B$400,H112))</f>
        <v/>
      </c>
      <c r="F112" s="28">
        <f>IF(H112=0,"",INDEX(Banco_Preguntas!$C$2:$C$400,H112))</f>
        <v/>
      </c>
      <c r="G112" s="28" t="n"/>
      <c r="H112">
        <f>IFERROR(MATCH(73,Banco_Preguntas!$K$2:$K$400,0),0)</f>
        <v/>
      </c>
      <c r="I112">
        <f>IF(H112=0,"",INDEX(Banco_Preguntas!$D$2:$D$400,H112))</f>
        <v/>
      </c>
    </row>
    <row r="113">
      <c r="B113" s="26" t="n"/>
      <c r="C113" s="26" t="n"/>
      <c r="D113" s="26" t="n"/>
      <c r="E113" s="27">
        <f>IF(OR(H113=0,I113="HEAD"),"",INDEX(Banco_Preguntas!$B$2:$B$400,H113))</f>
        <v/>
      </c>
      <c r="F113" s="28">
        <f>IF(H113=0,"",INDEX(Banco_Preguntas!$C$2:$C$400,H113))</f>
        <v/>
      </c>
      <c r="G113" s="28" t="n"/>
      <c r="H113">
        <f>IFERROR(MATCH(74,Banco_Preguntas!$K$2:$K$400,0),0)</f>
        <v/>
      </c>
      <c r="I113">
        <f>IF(H113=0,"",INDEX(Banco_Preguntas!$D$2:$D$400,H113))</f>
        <v/>
      </c>
    </row>
    <row r="114">
      <c r="B114" s="26" t="n"/>
      <c r="C114" s="26" t="n"/>
      <c r="D114" s="26" t="n"/>
      <c r="E114" s="27">
        <f>IF(OR(H114=0,I114="HEAD"),"",INDEX(Banco_Preguntas!$B$2:$B$400,H114))</f>
        <v/>
      </c>
      <c r="F114" s="28">
        <f>IF(H114=0,"",INDEX(Banco_Preguntas!$C$2:$C$400,H114))</f>
        <v/>
      </c>
      <c r="G114" s="28" t="n"/>
      <c r="H114">
        <f>IFERROR(MATCH(75,Banco_Preguntas!$K$2:$K$400,0),0)</f>
        <v/>
      </c>
      <c r="I114">
        <f>IF(H114=0,"",INDEX(Banco_Preguntas!$D$2:$D$400,H114))</f>
        <v/>
      </c>
    </row>
    <row r="115">
      <c r="B115" s="26" t="n"/>
      <c r="C115" s="26" t="n"/>
      <c r="D115" s="26" t="n"/>
      <c r="E115" s="27">
        <f>IF(OR(H115=0,I115="HEAD"),"",INDEX(Banco_Preguntas!$B$2:$B$400,H115))</f>
        <v/>
      </c>
      <c r="F115" s="28">
        <f>IF(H115=0,"",INDEX(Banco_Preguntas!$C$2:$C$400,H115))</f>
        <v/>
      </c>
      <c r="G115" s="28" t="n"/>
      <c r="H115">
        <f>IFERROR(MATCH(76,Banco_Preguntas!$K$2:$K$400,0),0)</f>
        <v/>
      </c>
      <c r="I115">
        <f>IF(H115=0,"",INDEX(Banco_Preguntas!$D$2:$D$400,H115))</f>
        <v/>
      </c>
    </row>
    <row r="116">
      <c r="B116" s="26" t="n"/>
      <c r="C116" s="26" t="n"/>
      <c r="D116" s="26" t="n"/>
      <c r="E116" s="27">
        <f>IF(OR(H116=0,I116="HEAD"),"",INDEX(Banco_Preguntas!$B$2:$B$400,H116))</f>
        <v/>
      </c>
      <c r="F116" s="28">
        <f>IF(H116=0,"",INDEX(Banco_Preguntas!$C$2:$C$400,H116))</f>
        <v/>
      </c>
      <c r="G116" s="28" t="n"/>
      <c r="H116">
        <f>IFERROR(MATCH(77,Banco_Preguntas!$K$2:$K$400,0),0)</f>
        <v/>
      </c>
      <c r="I116">
        <f>IF(H116=0,"",INDEX(Banco_Preguntas!$D$2:$D$400,H116))</f>
        <v/>
      </c>
    </row>
    <row r="117">
      <c r="B117" s="26" t="n"/>
      <c r="C117" s="26" t="n"/>
      <c r="D117" s="26" t="n"/>
      <c r="E117" s="27">
        <f>IF(OR(H117=0,I117="HEAD"),"",INDEX(Banco_Preguntas!$B$2:$B$400,H117))</f>
        <v/>
      </c>
      <c r="F117" s="28">
        <f>IF(H117=0,"",INDEX(Banco_Preguntas!$C$2:$C$400,H117))</f>
        <v/>
      </c>
      <c r="G117" s="28" t="n"/>
      <c r="H117">
        <f>IFERROR(MATCH(78,Banco_Preguntas!$K$2:$K$400,0),0)</f>
        <v/>
      </c>
      <c r="I117">
        <f>IF(H117=0,"",INDEX(Banco_Preguntas!$D$2:$D$400,H117))</f>
        <v/>
      </c>
    </row>
    <row r="118">
      <c r="B118" s="26" t="n"/>
      <c r="C118" s="26" t="n"/>
      <c r="D118" s="26" t="n"/>
      <c r="E118" s="27">
        <f>IF(OR(H118=0,I118="HEAD"),"",INDEX(Banco_Preguntas!$B$2:$B$400,H118))</f>
        <v/>
      </c>
      <c r="F118" s="28">
        <f>IF(H118=0,"",INDEX(Banco_Preguntas!$C$2:$C$400,H118))</f>
        <v/>
      </c>
      <c r="G118" s="28" t="n"/>
      <c r="H118">
        <f>IFERROR(MATCH(79,Banco_Preguntas!$K$2:$K$400,0),0)</f>
        <v/>
      </c>
      <c r="I118">
        <f>IF(H118=0,"",INDEX(Banco_Preguntas!$D$2:$D$400,H118))</f>
        <v/>
      </c>
    </row>
    <row r="119">
      <c r="B119" s="26" t="n"/>
      <c r="C119" s="26" t="n"/>
      <c r="D119" s="26" t="n"/>
      <c r="E119" s="27">
        <f>IF(OR(H119=0,I119="HEAD"),"",INDEX(Banco_Preguntas!$B$2:$B$400,H119))</f>
        <v/>
      </c>
      <c r="F119" s="28">
        <f>IF(H119=0,"",INDEX(Banco_Preguntas!$C$2:$C$400,H119))</f>
        <v/>
      </c>
      <c r="G119" s="28" t="n"/>
      <c r="H119">
        <f>IFERROR(MATCH(80,Banco_Preguntas!$K$2:$K$400,0),0)</f>
        <v/>
      </c>
      <c r="I119">
        <f>IF(H119=0,"",INDEX(Banco_Preguntas!$D$2:$D$400,H119))</f>
        <v/>
      </c>
    </row>
    <row r="120">
      <c r="B120" s="26" t="n"/>
      <c r="C120" s="26" t="n"/>
      <c r="D120" s="26" t="n"/>
      <c r="E120" s="27">
        <f>IF(OR(H120=0,I120="HEAD"),"",INDEX(Banco_Preguntas!$B$2:$B$400,H120))</f>
        <v/>
      </c>
      <c r="F120" s="28">
        <f>IF(H120=0,"",INDEX(Banco_Preguntas!$C$2:$C$400,H120))</f>
        <v/>
      </c>
      <c r="G120" s="28" t="n"/>
      <c r="H120">
        <f>IFERROR(MATCH(81,Banco_Preguntas!$K$2:$K$400,0),0)</f>
        <v/>
      </c>
      <c r="I120">
        <f>IF(H120=0,"",INDEX(Banco_Preguntas!$D$2:$D$400,H120))</f>
        <v/>
      </c>
    </row>
    <row r="121">
      <c r="B121" s="26" t="n"/>
      <c r="C121" s="26" t="n"/>
      <c r="D121" s="26" t="n"/>
      <c r="E121" s="27">
        <f>IF(OR(H121=0,I121="HEAD"),"",INDEX(Banco_Preguntas!$B$2:$B$400,H121))</f>
        <v/>
      </c>
      <c r="F121" s="28">
        <f>IF(H121=0,"",INDEX(Banco_Preguntas!$C$2:$C$400,H121))</f>
        <v/>
      </c>
      <c r="G121" s="28" t="n"/>
      <c r="H121">
        <f>IFERROR(MATCH(82,Banco_Preguntas!$K$2:$K$400,0),0)</f>
        <v/>
      </c>
      <c r="I121">
        <f>IF(H121=0,"",INDEX(Banco_Preguntas!$D$2:$D$400,H121))</f>
        <v/>
      </c>
    </row>
    <row r="122">
      <c r="B122" s="26" t="n"/>
      <c r="C122" s="26" t="n"/>
      <c r="D122" s="26" t="n"/>
      <c r="E122" s="27">
        <f>IF(OR(H122=0,I122="HEAD"),"",INDEX(Banco_Preguntas!$B$2:$B$400,H122))</f>
        <v/>
      </c>
      <c r="F122" s="28">
        <f>IF(H122=0,"",INDEX(Banco_Preguntas!$C$2:$C$400,H122))</f>
        <v/>
      </c>
      <c r="G122" s="28" t="n"/>
      <c r="H122">
        <f>IFERROR(MATCH(83,Banco_Preguntas!$K$2:$K$400,0),0)</f>
        <v/>
      </c>
      <c r="I122">
        <f>IF(H122=0,"",INDEX(Banco_Preguntas!$D$2:$D$400,H122))</f>
        <v/>
      </c>
    </row>
    <row r="123">
      <c r="B123" s="26" t="n"/>
      <c r="C123" s="26" t="n"/>
      <c r="D123" s="26" t="n"/>
      <c r="E123" s="27">
        <f>IF(OR(H123=0,I123="HEAD"),"",INDEX(Banco_Preguntas!$B$2:$B$400,H123))</f>
        <v/>
      </c>
      <c r="F123" s="28">
        <f>IF(H123=0,"",INDEX(Banco_Preguntas!$C$2:$C$400,H123))</f>
        <v/>
      </c>
      <c r="G123" s="28" t="n"/>
      <c r="H123">
        <f>IFERROR(MATCH(84,Banco_Preguntas!$K$2:$K$400,0),0)</f>
        <v/>
      </c>
      <c r="I123">
        <f>IF(H123=0,"",INDEX(Banco_Preguntas!$D$2:$D$400,H123))</f>
        <v/>
      </c>
    </row>
    <row r="124">
      <c r="B124" s="26" t="n"/>
      <c r="C124" s="26" t="n"/>
      <c r="D124" s="26" t="n"/>
      <c r="E124" s="27">
        <f>IF(OR(H124=0,I124="HEAD"),"",INDEX(Banco_Preguntas!$B$2:$B$400,H124))</f>
        <v/>
      </c>
      <c r="F124" s="28">
        <f>IF(H124=0,"",INDEX(Banco_Preguntas!$C$2:$C$400,H124))</f>
        <v/>
      </c>
      <c r="G124" s="28" t="n"/>
      <c r="H124">
        <f>IFERROR(MATCH(85,Banco_Preguntas!$K$2:$K$400,0),0)</f>
        <v/>
      </c>
      <c r="I124">
        <f>IF(H124=0,"",INDEX(Banco_Preguntas!$D$2:$D$400,H124))</f>
        <v/>
      </c>
    </row>
    <row r="125">
      <c r="B125" s="26" t="n"/>
      <c r="C125" s="26" t="n"/>
      <c r="D125" s="26" t="n"/>
      <c r="E125" s="27">
        <f>IF(OR(H125=0,I125="HEAD"),"",INDEX(Banco_Preguntas!$B$2:$B$400,H125))</f>
        <v/>
      </c>
      <c r="F125" s="28">
        <f>IF(H125=0,"",INDEX(Banco_Preguntas!$C$2:$C$400,H125))</f>
        <v/>
      </c>
      <c r="G125" s="28" t="n"/>
      <c r="H125">
        <f>IFERROR(MATCH(86,Banco_Preguntas!$K$2:$K$400,0),0)</f>
        <v/>
      </c>
      <c r="I125">
        <f>IF(H125=0,"",INDEX(Banco_Preguntas!$D$2:$D$400,H125))</f>
        <v/>
      </c>
    </row>
    <row r="126">
      <c r="B126" s="26" t="n"/>
      <c r="C126" s="26" t="n"/>
      <c r="D126" s="26" t="n"/>
      <c r="E126" s="27">
        <f>IF(OR(H126=0,I126="HEAD"),"",INDEX(Banco_Preguntas!$B$2:$B$400,H126))</f>
        <v/>
      </c>
      <c r="F126" s="28">
        <f>IF(H126=0,"",INDEX(Banco_Preguntas!$C$2:$C$400,H126))</f>
        <v/>
      </c>
      <c r="G126" s="28" t="n"/>
      <c r="H126">
        <f>IFERROR(MATCH(87,Banco_Preguntas!$K$2:$K$400,0),0)</f>
        <v/>
      </c>
      <c r="I126">
        <f>IF(H126=0,"",INDEX(Banco_Preguntas!$D$2:$D$400,H126))</f>
        <v/>
      </c>
    </row>
    <row r="127">
      <c r="B127" s="26" t="n"/>
      <c r="C127" s="26" t="n"/>
      <c r="D127" s="26" t="n"/>
      <c r="E127" s="27">
        <f>IF(OR(H127=0,I127="HEAD"),"",INDEX(Banco_Preguntas!$B$2:$B$400,H127))</f>
        <v/>
      </c>
      <c r="F127" s="28">
        <f>IF(H127=0,"",INDEX(Banco_Preguntas!$C$2:$C$400,H127))</f>
        <v/>
      </c>
      <c r="G127" s="28" t="n"/>
      <c r="H127">
        <f>IFERROR(MATCH(88,Banco_Preguntas!$K$2:$K$400,0),0)</f>
        <v/>
      </c>
      <c r="I127">
        <f>IF(H127=0,"",INDEX(Banco_Preguntas!$D$2:$D$400,H127))</f>
        <v/>
      </c>
    </row>
    <row r="128">
      <c r="B128" s="26" t="n"/>
      <c r="C128" s="26" t="n"/>
      <c r="D128" s="26" t="n"/>
      <c r="E128" s="27">
        <f>IF(OR(H128=0,I128="HEAD"),"",INDEX(Banco_Preguntas!$B$2:$B$400,H128))</f>
        <v/>
      </c>
      <c r="F128" s="28">
        <f>IF(H128=0,"",INDEX(Banco_Preguntas!$C$2:$C$400,H128))</f>
        <v/>
      </c>
      <c r="G128" s="28" t="n"/>
      <c r="H128">
        <f>IFERROR(MATCH(89,Banco_Preguntas!$K$2:$K$400,0),0)</f>
        <v/>
      </c>
      <c r="I128">
        <f>IF(H128=0,"",INDEX(Banco_Preguntas!$D$2:$D$400,H128))</f>
        <v/>
      </c>
    </row>
    <row r="129">
      <c r="B129" s="26" t="n"/>
      <c r="C129" s="26" t="n"/>
      <c r="D129" s="26" t="n"/>
      <c r="E129" s="27">
        <f>IF(OR(H129=0,I129="HEAD"),"",INDEX(Banco_Preguntas!$B$2:$B$400,H129))</f>
        <v/>
      </c>
      <c r="F129" s="28">
        <f>IF(H129=0,"",INDEX(Banco_Preguntas!$C$2:$C$400,H129))</f>
        <v/>
      </c>
      <c r="G129" s="28" t="n"/>
      <c r="H129">
        <f>IFERROR(MATCH(90,Banco_Preguntas!$K$2:$K$400,0),0)</f>
        <v/>
      </c>
      <c r="I129">
        <f>IF(H129=0,"",INDEX(Banco_Preguntas!$D$2:$D$400,H129))</f>
        <v/>
      </c>
    </row>
    <row r="130">
      <c r="B130" s="26" t="n"/>
      <c r="C130" s="26" t="n"/>
      <c r="D130" s="26" t="n"/>
      <c r="E130" s="27">
        <f>IF(OR(H130=0,I130="HEAD"),"",INDEX(Banco_Preguntas!$B$2:$B$400,H130))</f>
        <v/>
      </c>
      <c r="F130" s="28">
        <f>IF(H130=0,"",INDEX(Banco_Preguntas!$C$2:$C$400,H130))</f>
        <v/>
      </c>
      <c r="G130" s="28" t="n"/>
      <c r="H130">
        <f>IFERROR(MATCH(91,Banco_Preguntas!$K$2:$K$400,0),0)</f>
        <v/>
      </c>
      <c r="I130">
        <f>IF(H130=0,"",INDEX(Banco_Preguntas!$D$2:$D$400,H130))</f>
        <v/>
      </c>
    </row>
    <row r="131">
      <c r="B131" s="26" t="n"/>
      <c r="C131" s="26" t="n"/>
      <c r="D131" s="26" t="n"/>
      <c r="E131" s="27">
        <f>IF(OR(H131=0,I131="HEAD"),"",INDEX(Banco_Preguntas!$B$2:$B$400,H131))</f>
        <v/>
      </c>
      <c r="F131" s="28">
        <f>IF(H131=0,"",INDEX(Banco_Preguntas!$C$2:$C$400,H131))</f>
        <v/>
      </c>
      <c r="G131" s="28" t="n"/>
      <c r="H131">
        <f>IFERROR(MATCH(92,Banco_Preguntas!$K$2:$K$400,0),0)</f>
        <v/>
      </c>
      <c r="I131">
        <f>IF(H131=0,"",INDEX(Banco_Preguntas!$D$2:$D$400,H131))</f>
        <v/>
      </c>
    </row>
    <row r="132">
      <c r="B132" s="26" t="n"/>
      <c r="C132" s="26" t="n"/>
      <c r="D132" s="26" t="n"/>
      <c r="E132" s="27">
        <f>IF(OR(H132=0,I132="HEAD"),"",INDEX(Banco_Preguntas!$B$2:$B$400,H132))</f>
        <v/>
      </c>
      <c r="F132" s="28">
        <f>IF(H132=0,"",INDEX(Banco_Preguntas!$C$2:$C$400,H132))</f>
        <v/>
      </c>
      <c r="G132" s="28" t="n"/>
      <c r="H132">
        <f>IFERROR(MATCH(93,Banco_Preguntas!$K$2:$K$400,0),0)</f>
        <v/>
      </c>
      <c r="I132">
        <f>IF(H132=0,"",INDEX(Banco_Preguntas!$D$2:$D$400,H132))</f>
        <v/>
      </c>
    </row>
    <row r="133">
      <c r="B133" s="26" t="n"/>
      <c r="C133" s="26" t="n"/>
      <c r="D133" s="26" t="n"/>
      <c r="E133" s="27">
        <f>IF(OR(H133=0,I133="HEAD"),"",INDEX(Banco_Preguntas!$B$2:$B$400,H133))</f>
        <v/>
      </c>
      <c r="F133" s="28">
        <f>IF(H133=0,"",INDEX(Banco_Preguntas!$C$2:$C$400,H133))</f>
        <v/>
      </c>
      <c r="G133" s="28" t="n"/>
      <c r="H133">
        <f>IFERROR(MATCH(94,Banco_Preguntas!$K$2:$K$400,0),0)</f>
        <v/>
      </c>
      <c r="I133">
        <f>IF(H133=0,"",INDEX(Banco_Preguntas!$D$2:$D$400,H133))</f>
        <v/>
      </c>
    </row>
    <row r="134">
      <c r="B134" s="26" t="n"/>
      <c r="C134" s="26" t="n"/>
      <c r="D134" s="26" t="n"/>
      <c r="E134" s="27">
        <f>IF(OR(H134=0,I134="HEAD"),"",INDEX(Banco_Preguntas!$B$2:$B$400,H134))</f>
        <v/>
      </c>
      <c r="F134" s="28">
        <f>IF(H134=0,"",INDEX(Banco_Preguntas!$C$2:$C$400,H134))</f>
        <v/>
      </c>
      <c r="G134" s="28" t="n"/>
      <c r="H134">
        <f>IFERROR(MATCH(95,Banco_Preguntas!$K$2:$K$400,0),0)</f>
        <v/>
      </c>
      <c r="I134">
        <f>IF(H134=0,"",INDEX(Banco_Preguntas!$D$2:$D$400,H134))</f>
        <v/>
      </c>
    </row>
    <row r="135">
      <c r="B135" s="26" t="n"/>
      <c r="C135" s="26" t="n"/>
      <c r="D135" s="26" t="n"/>
      <c r="E135" s="27">
        <f>IF(OR(H135=0,I135="HEAD"),"",INDEX(Banco_Preguntas!$B$2:$B$400,H135))</f>
        <v/>
      </c>
      <c r="F135" s="28">
        <f>IF(H135=0,"",INDEX(Banco_Preguntas!$C$2:$C$400,H135))</f>
        <v/>
      </c>
      <c r="G135" s="28" t="n"/>
      <c r="H135">
        <f>IFERROR(MATCH(96,Banco_Preguntas!$K$2:$K$400,0),0)</f>
        <v/>
      </c>
      <c r="I135">
        <f>IF(H135=0,"",INDEX(Banco_Preguntas!$D$2:$D$400,H135))</f>
        <v/>
      </c>
    </row>
    <row r="136">
      <c r="B136" s="26" t="n"/>
      <c r="C136" s="26" t="n"/>
      <c r="D136" s="26" t="n"/>
      <c r="E136" s="27">
        <f>IF(OR(H136=0,I136="HEAD"),"",INDEX(Banco_Preguntas!$B$2:$B$400,H136))</f>
        <v/>
      </c>
      <c r="F136" s="28">
        <f>IF(H136=0,"",INDEX(Banco_Preguntas!$C$2:$C$400,H136))</f>
        <v/>
      </c>
      <c r="G136" s="28" t="n"/>
      <c r="H136">
        <f>IFERROR(MATCH(97,Banco_Preguntas!$K$2:$K$400,0),0)</f>
        <v/>
      </c>
      <c r="I136">
        <f>IF(H136=0,"",INDEX(Banco_Preguntas!$D$2:$D$400,H136))</f>
        <v/>
      </c>
    </row>
    <row r="137">
      <c r="B137" s="26" t="n"/>
      <c r="C137" s="26" t="n"/>
      <c r="D137" s="26" t="n"/>
      <c r="E137" s="27">
        <f>IF(OR(H137=0,I137="HEAD"),"",INDEX(Banco_Preguntas!$B$2:$B$400,H137))</f>
        <v/>
      </c>
      <c r="F137" s="28">
        <f>IF(H137=0,"",INDEX(Banco_Preguntas!$C$2:$C$400,H137))</f>
        <v/>
      </c>
      <c r="G137" s="28" t="n"/>
      <c r="H137">
        <f>IFERROR(MATCH(98,Banco_Preguntas!$K$2:$K$400,0),0)</f>
        <v/>
      </c>
      <c r="I137">
        <f>IF(H137=0,"",INDEX(Banco_Preguntas!$D$2:$D$400,H137))</f>
        <v/>
      </c>
    </row>
    <row r="138">
      <c r="B138" s="26" t="n"/>
      <c r="C138" s="26" t="n"/>
      <c r="D138" s="26" t="n"/>
      <c r="E138" s="27">
        <f>IF(OR(H138=0,I138="HEAD"),"",INDEX(Banco_Preguntas!$B$2:$B$400,H138))</f>
        <v/>
      </c>
      <c r="F138" s="28">
        <f>IF(H138=0,"",INDEX(Banco_Preguntas!$C$2:$C$400,H138))</f>
        <v/>
      </c>
      <c r="G138" s="28" t="n"/>
      <c r="H138">
        <f>IFERROR(MATCH(99,Banco_Preguntas!$K$2:$K$400,0),0)</f>
        <v/>
      </c>
      <c r="I138">
        <f>IF(H138=0,"",INDEX(Banco_Preguntas!$D$2:$D$400,H138))</f>
        <v/>
      </c>
    </row>
    <row r="139">
      <c r="B139" s="26" t="n"/>
      <c r="C139" s="26" t="n"/>
      <c r="D139" s="26" t="n"/>
      <c r="E139" s="27">
        <f>IF(OR(H139=0,I139="HEAD"),"",INDEX(Banco_Preguntas!$B$2:$B$400,H139))</f>
        <v/>
      </c>
      <c r="F139" s="28">
        <f>IF(H139=0,"",INDEX(Banco_Preguntas!$C$2:$C$400,H139))</f>
        <v/>
      </c>
      <c r="G139" s="28" t="n"/>
      <c r="H139">
        <f>IFERROR(MATCH(100,Banco_Preguntas!$K$2:$K$400,0),0)</f>
        <v/>
      </c>
      <c r="I139">
        <f>IF(H139=0,"",INDEX(Banco_Preguntas!$D$2:$D$400,H139))</f>
        <v/>
      </c>
    </row>
    <row r="140">
      <c r="B140" s="26" t="n"/>
      <c r="C140" s="26" t="n"/>
      <c r="D140" s="26" t="n"/>
      <c r="E140" s="27">
        <f>IF(OR(H140=0,I140="HEAD"),"",INDEX(Banco_Preguntas!$B$2:$B$400,H140))</f>
        <v/>
      </c>
      <c r="F140" s="28">
        <f>IF(H140=0,"",INDEX(Banco_Preguntas!$C$2:$C$400,H140))</f>
        <v/>
      </c>
      <c r="G140" s="28" t="n"/>
      <c r="H140">
        <f>IFERROR(MATCH(101,Banco_Preguntas!$K$2:$K$400,0),0)</f>
        <v/>
      </c>
      <c r="I140">
        <f>IF(H140=0,"",INDEX(Banco_Preguntas!$D$2:$D$400,H140))</f>
        <v/>
      </c>
    </row>
    <row r="141">
      <c r="B141" s="26" t="n"/>
      <c r="C141" s="26" t="n"/>
      <c r="D141" s="26" t="n"/>
      <c r="E141" s="27">
        <f>IF(OR(H141=0,I141="HEAD"),"",INDEX(Banco_Preguntas!$B$2:$B$400,H141))</f>
        <v/>
      </c>
      <c r="F141" s="28">
        <f>IF(H141=0,"",INDEX(Banco_Preguntas!$C$2:$C$400,H141))</f>
        <v/>
      </c>
      <c r="G141" s="28" t="n"/>
      <c r="H141">
        <f>IFERROR(MATCH(102,Banco_Preguntas!$K$2:$K$400,0),0)</f>
        <v/>
      </c>
      <c r="I141">
        <f>IF(H141=0,"",INDEX(Banco_Preguntas!$D$2:$D$400,H141))</f>
        <v/>
      </c>
    </row>
    <row r="142">
      <c r="B142" s="26" t="n"/>
      <c r="C142" s="26" t="n"/>
      <c r="D142" s="26" t="n"/>
      <c r="E142" s="27">
        <f>IF(OR(H142=0,I142="HEAD"),"",INDEX(Banco_Preguntas!$B$2:$B$400,H142))</f>
        <v/>
      </c>
      <c r="F142" s="28">
        <f>IF(H142=0,"",INDEX(Banco_Preguntas!$C$2:$C$400,H142))</f>
        <v/>
      </c>
      <c r="G142" s="28" t="n"/>
      <c r="H142">
        <f>IFERROR(MATCH(103,Banco_Preguntas!$K$2:$K$400,0),0)</f>
        <v/>
      </c>
      <c r="I142">
        <f>IF(H142=0,"",INDEX(Banco_Preguntas!$D$2:$D$400,H142))</f>
        <v/>
      </c>
    </row>
    <row r="143">
      <c r="B143" s="26" t="n"/>
      <c r="C143" s="26" t="n"/>
      <c r="D143" s="26" t="n"/>
      <c r="E143" s="27">
        <f>IF(OR(H143=0,I143="HEAD"),"",INDEX(Banco_Preguntas!$B$2:$B$400,H143))</f>
        <v/>
      </c>
      <c r="F143" s="28">
        <f>IF(H143=0,"",INDEX(Banco_Preguntas!$C$2:$C$400,H143))</f>
        <v/>
      </c>
      <c r="G143" s="28" t="n"/>
      <c r="H143">
        <f>IFERROR(MATCH(104,Banco_Preguntas!$K$2:$K$400,0),0)</f>
        <v/>
      </c>
      <c r="I143">
        <f>IF(H143=0,"",INDEX(Banco_Preguntas!$D$2:$D$400,H143))</f>
        <v/>
      </c>
    </row>
    <row r="144">
      <c r="B144" s="26" t="n"/>
      <c r="C144" s="26" t="n"/>
      <c r="D144" s="26" t="n"/>
      <c r="E144" s="27">
        <f>IF(OR(H144=0,I144="HEAD"),"",INDEX(Banco_Preguntas!$B$2:$B$400,H144))</f>
        <v/>
      </c>
      <c r="F144" s="28">
        <f>IF(H144=0,"",INDEX(Banco_Preguntas!$C$2:$C$400,H144))</f>
        <v/>
      </c>
      <c r="G144" s="28" t="n"/>
      <c r="H144">
        <f>IFERROR(MATCH(105,Banco_Preguntas!$K$2:$K$400,0),0)</f>
        <v/>
      </c>
      <c r="I144">
        <f>IF(H144=0,"",INDEX(Banco_Preguntas!$D$2:$D$400,H144))</f>
        <v/>
      </c>
    </row>
    <row r="145">
      <c r="B145" s="26" t="n"/>
      <c r="C145" s="26" t="n"/>
      <c r="D145" s="26" t="n"/>
      <c r="E145" s="27">
        <f>IF(OR(H145=0,I145="HEAD"),"",INDEX(Banco_Preguntas!$B$2:$B$400,H145))</f>
        <v/>
      </c>
      <c r="F145" s="28">
        <f>IF(H145=0,"",INDEX(Banco_Preguntas!$C$2:$C$400,H145))</f>
        <v/>
      </c>
      <c r="G145" s="28" t="n"/>
      <c r="H145">
        <f>IFERROR(MATCH(106,Banco_Preguntas!$K$2:$K$400,0),0)</f>
        <v/>
      </c>
      <c r="I145">
        <f>IF(H145=0,"",INDEX(Banco_Preguntas!$D$2:$D$400,H145))</f>
        <v/>
      </c>
    </row>
    <row r="146">
      <c r="B146" s="26" t="n"/>
      <c r="C146" s="26" t="n"/>
      <c r="D146" s="26" t="n"/>
      <c r="E146" s="27">
        <f>IF(OR(H146=0,I146="HEAD"),"",INDEX(Banco_Preguntas!$B$2:$B$400,H146))</f>
        <v/>
      </c>
      <c r="F146" s="28">
        <f>IF(H146=0,"",INDEX(Banco_Preguntas!$C$2:$C$400,H146))</f>
        <v/>
      </c>
      <c r="G146" s="28" t="n"/>
      <c r="H146">
        <f>IFERROR(MATCH(107,Banco_Preguntas!$K$2:$K$400,0),0)</f>
        <v/>
      </c>
      <c r="I146">
        <f>IF(H146=0,"",INDEX(Banco_Preguntas!$D$2:$D$400,H146))</f>
        <v/>
      </c>
    </row>
    <row r="147">
      <c r="B147" s="26" t="n"/>
      <c r="C147" s="26" t="n"/>
      <c r="D147" s="26" t="n"/>
      <c r="E147" s="27">
        <f>IF(OR(H147=0,I147="HEAD"),"",INDEX(Banco_Preguntas!$B$2:$B$400,H147))</f>
        <v/>
      </c>
      <c r="F147" s="28">
        <f>IF(H147=0,"",INDEX(Banco_Preguntas!$C$2:$C$400,H147))</f>
        <v/>
      </c>
      <c r="G147" s="28" t="n"/>
      <c r="H147">
        <f>IFERROR(MATCH(108,Banco_Preguntas!$K$2:$K$400,0),0)</f>
        <v/>
      </c>
      <c r="I147">
        <f>IF(H147=0,"",INDEX(Banco_Preguntas!$D$2:$D$400,H147))</f>
        <v/>
      </c>
    </row>
    <row r="148">
      <c r="B148" s="26" t="n"/>
      <c r="C148" s="26" t="n"/>
      <c r="D148" s="26" t="n"/>
      <c r="E148" s="27">
        <f>IF(OR(H148=0,I148="HEAD"),"",INDEX(Banco_Preguntas!$B$2:$B$400,H148))</f>
        <v/>
      </c>
      <c r="F148" s="28">
        <f>IF(H148=0,"",INDEX(Banco_Preguntas!$C$2:$C$400,H148))</f>
        <v/>
      </c>
      <c r="G148" s="28" t="n"/>
      <c r="H148">
        <f>IFERROR(MATCH(109,Banco_Preguntas!$K$2:$K$400,0),0)</f>
        <v/>
      </c>
      <c r="I148">
        <f>IF(H148=0,"",INDEX(Banco_Preguntas!$D$2:$D$400,H148))</f>
        <v/>
      </c>
    </row>
    <row r="149">
      <c r="B149" s="26" t="n"/>
      <c r="C149" s="26" t="n"/>
      <c r="D149" s="26" t="n"/>
      <c r="E149" s="27">
        <f>IF(OR(H149=0,I149="HEAD"),"",INDEX(Banco_Preguntas!$B$2:$B$400,H149))</f>
        <v/>
      </c>
      <c r="F149" s="28">
        <f>IF(H149=0,"",INDEX(Banco_Preguntas!$C$2:$C$400,H149))</f>
        <v/>
      </c>
      <c r="G149" s="28" t="n"/>
      <c r="H149">
        <f>IFERROR(MATCH(110,Banco_Preguntas!$K$2:$K$400,0),0)</f>
        <v/>
      </c>
      <c r="I149">
        <f>IF(H149=0,"",INDEX(Banco_Preguntas!$D$2:$D$400,H149))</f>
        <v/>
      </c>
    </row>
    <row r="150">
      <c r="B150" s="26" t="n"/>
      <c r="C150" s="26" t="n"/>
      <c r="D150" s="26" t="n"/>
      <c r="E150" s="27">
        <f>IF(OR(H150=0,I150="HEAD"),"",INDEX(Banco_Preguntas!$B$2:$B$400,H150))</f>
        <v/>
      </c>
      <c r="F150" s="28">
        <f>IF(H150=0,"",INDEX(Banco_Preguntas!$C$2:$C$400,H150))</f>
        <v/>
      </c>
      <c r="G150" s="28" t="n"/>
      <c r="H150">
        <f>IFERROR(MATCH(111,Banco_Preguntas!$K$2:$K$400,0),0)</f>
        <v/>
      </c>
      <c r="I150">
        <f>IF(H150=0,"",INDEX(Banco_Preguntas!$D$2:$D$400,H150))</f>
        <v/>
      </c>
    </row>
    <row r="151">
      <c r="B151" s="26" t="n"/>
      <c r="C151" s="26" t="n"/>
      <c r="D151" s="26" t="n"/>
      <c r="E151" s="27">
        <f>IF(OR(H151=0,I151="HEAD"),"",INDEX(Banco_Preguntas!$B$2:$B$400,H151))</f>
        <v/>
      </c>
      <c r="F151" s="28">
        <f>IF(H151=0,"",INDEX(Banco_Preguntas!$C$2:$C$400,H151))</f>
        <v/>
      </c>
      <c r="G151" s="28" t="n"/>
      <c r="H151">
        <f>IFERROR(MATCH(112,Banco_Preguntas!$K$2:$K$400,0),0)</f>
        <v/>
      </c>
      <c r="I151">
        <f>IF(H151=0,"",INDEX(Banco_Preguntas!$D$2:$D$400,H151))</f>
        <v/>
      </c>
    </row>
    <row r="152">
      <c r="B152" s="26" t="n"/>
      <c r="C152" s="26" t="n"/>
      <c r="D152" s="26" t="n"/>
      <c r="E152" s="27">
        <f>IF(OR(H152=0,I152="HEAD"),"",INDEX(Banco_Preguntas!$B$2:$B$400,H152))</f>
        <v/>
      </c>
      <c r="F152" s="28">
        <f>IF(H152=0,"",INDEX(Banco_Preguntas!$C$2:$C$400,H152))</f>
        <v/>
      </c>
      <c r="G152" s="28" t="n"/>
      <c r="H152">
        <f>IFERROR(MATCH(113,Banco_Preguntas!$K$2:$K$400,0),0)</f>
        <v/>
      </c>
      <c r="I152">
        <f>IF(H152=0,"",INDEX(Banco_Preguntas!$D$2:$D$400,H152))</f>
        <v/>
      </c>
    </row>
    <row r="153">
      <c r="B153" s="26" t="n"/>
      <c r="C153" s="26" t="n"/>
      <c r="D153" s="26" t="n"/>
      <c r="E153" s="27">
        <f>IF(OR(H153=0,I153="HEAD"),"",INDEX(Banco_Preguntas!$B$2:$B$400,H153))</f>
        <v/>
      </c>
      <c r="F153" s="28">
        <f>IF(H153=0,"",INDEX(Banco_Preguntas!$C$2:$C$400,H153))</f>
        <v/>
      </c>
      <c r="G153" s="28" t="n"/>
      <c r="H153">
        <f>IFERROR(MATCH(114,Banco_Preguntas!$K$2:$K$400,0),0)</f>
        <v/>
      </c>
      <c r="I153">
        <f>IF(H153=0,"",INDEX(Banco_Preguntas!$D$2:$D$400,H153))</f>
        <v/>
      </c>
    </row>
    <row r="154">
      <c r="B154" s="26" t="n"/>
      <c r="C154" s="26" t="n"/>
      <c r="D154" s="26" t="n"/>
      <c r="E154" s="27">
        <f>IF(OR(H154=0,I154="HEAD"),"",INDEX(Banco_Preguntas!$B$2:$B$400,H154))</f>
        <v/>
      </c>
      <c r="F154" s="28">
        <f>IF(H154=0,"",INDEX(Banco_Preguntas!$C$2:$C$400,H154))</f>
        <v/>
      </c>
      <c r="G154" s="28" t="n"/>
      <c r="H154">
        <f>IFERROR(MATCH(115,Banco_Preguntas!$K$2:$K$400,0),0)</f>
        <v/>
      </c>
      <c r="I154">
        <f>IF(H154=0,"",INDEX(Banco_Preguntas!$D$2:$D$400,H154))</f>
        <v/>
      </c>
    </row>
    <row r="155">
      <c r="B155" s="26" t="n"/>
      <c r="C155" s="26" t="n"/>
      <c r="D155" s="26" t="n"/>
      <c r="E155" s="27">
        <f>IF(OR(H155=0,I155="HEAD"),"",INDEX(Banco_Preguntas!$B$2:$B$400,H155))</f>
        <v/>
      </c>
      <c r="F155" s="28">
        <f>IF(H155=0,"",INDEX(Banco_Preguntas!$C$2:$C$400,H155))</f>
        <v/>
      </c>
      <c r="G155" s="28" t="n"/>
      <c r="H155">
        <f>IFERROR(MATCH(116,Banco_Preguntas!$K$2:$K$400,0),0)</f>
        <v/>
      </c>
      <c r="I155">
        <f>IF(H155=0,"",INDEX(Banco_Preguntas!$D$2:$D$400,H155))</f>
        <v/>
      </c>
    </row>
    <row r="156">
      <c r="B156" s="26" t="n"/>
      <c r="C156" s="26" t="n"/>
      <c r="D156" s="26" t="n"/>
      <c r="E156" s="27">
        <f>IF(OR(H156=0,I156="HEAD"),"",INDEX(Banco_Preguntas!$B$2:$B$400,H156))</f>
        <v/>
      </c>
      <c r="F156" s="28">
        <f>IF(H156=0,"",INDEX(Banco_Preguntas!$C$2:$C$400,H156))</f>
        <v/>
      </c>
      <c r="G156" s="28" t="n"/>
      <c r="H156">
        <f>IFERROR(MATCH(117,Banco_Preguntas!$K$2:$K$400,0),0)</f>
        <v/>
      </c>
      <c r="I156">
        <f>IF(H156=0,"",INDEX(Banco_Preguntas!$D$2:$D$400,H156))</f>
        <v/>
      </c>
    </row>
    <row r="157">
      <c r="B157" s="26" t="n"/>
      <c r="C157" s="26" t="n"/>
      <c r="D157" s="26" t="n"/>
      <c r="E157" s="27">
        <f>IF(OR(H157=0,I157="HEAD"),"",INDEX(Banco_Preguntas!$B$2:$B$400,H157))</f>
        <v/>
      </c>
      <c r="F157" s="28">
        <f>IF(H157=0,"",INDEX(Banco_Preguntas!$C$2:$C$400,H157))</f>
        <v/>
      </c>
      <c r="G157" s="28" t="n"/>
      <c r="H157">
        <f>IFERROR(MATCH(118,Banco_Preguntas!$K$2:$K$400,0),0)</f>
        <v/>
      </c>
      <c r="I157">
        <f>IF(H157=0,"",INDEX(Banco_Preguntas!$D$2:$D$400,H157))</f>
        <v/>
      </c>
    </row>
    <row r="158">
      <c r="B158" s="26" t="n"/>
      <c r="C158" s="26" t="n"/>
      <c r="D158" s="26" t="n"/>
      <c r="E158" s="27">
        <f>IF(OR(H158=0,I158="HEAD"),"",INDEX(Banco_Preguntas!$B$2:$B$400,H158))</f>
        <v/>
      </c>
      <c r="F158" s="28">
        <f>IF(H158=0,"",INDEX(Banco_Preguntas!$C$2:$C$400,H158))</f>
        <v/>
      </c>
      <c r="G158" s="28" t="n"/>
      <c r="H158">
        <f>IFERROR(MATCH(119,Banco_Preguntas!$K$2:$K$400,0),0)</f>
        <v/>
      </c>
      <c r="I158">
        <f>IF(H158=0,"",INDEX(Banco_Preguntas!$D$2:$D$400,H158))</f>
        <v/>
      </c>
    </row>
    <row r="159">
      <c r="B159" s="26" t="n"/>
      <c r="C159" s="26" t="n"/>
      <c r="D159" s="26" t="n"/>
      <c r="E159" s="27">
        <f>IF(OR(H159=0,I159="HEAD"),"",INDEX(Banco_Preguntas!$B$2:$B$400,H159))</f>
        <v/>
      </c>
      <c r="F159" s="28">
        <f>IF(H159=0,"",INDEX(Banco_Preguntas!$C$2:$C$400,H159))</f>
        <v/>
      </c>
      <c r="G159" s="28" t="n"/>
      <c r="H159">
        <f>IFERROR(MATCH(120,Banco_Preguntas!$K$2:$K$400,0),0)</f>
        <v/>
      </c>
      <c r="I159">
        <f>IF(H159=0,"",INDEX(Banco_Preguntas!$D$2:$D$400,H159))</f>
        <v/>
      </c>
    </row>
    <row r="160">
      <c r="B160" s="26" t="n"/>
      <c r="C160" s="26" t="n"/>
      <c r="D160" s="26" t="n"/>
      <c r="E160" s="27">
        <f>IF(OR(H160=0,I160="HEAD"),"",INDEX(Banco_Preguntas!$B$2:$B$400,H160))</f>
        <v/>
      </c>
      <c r="F160" s="28">
        <f>IF(H160=0,"",INDEX(Banco_Preguntas!$C$2:$C$400,H160))</f>
        <v/>
      </c>
      <c r="G160" s="28" t="n"/>
      <c r="H160">
        <f>IFERROR(MATCH(121,Banco_Preguntas!$K$2:$K$400,0),0)</f>
        <v/>
      </c>
      <c r="I160">
        <f>IF(H160=0,"",INDEX(Banco_Preguntas!$D$2:$D$400,H160))</f>
        <v/>
      </c>
    </row>
    <row r="161">
      <c r="B161" s="26" t="n"/>
      <c r="C161" s="26" t="n"/>
      <c r="D161" s="26" t="n"/>
      <c r="E161" s="27">
        <f>IF(OR(H161=0,I161="HEAD"),"",INDEX(Banco_Preguntas!$B$2:$B$400,H161))</f>
        <v/>
      </c>
      <c r="F161" s="28">
        <f>IF(H161=0,"",INDEX(Banco_Preguntas!$C$2:$C$400,H161))</f>
        <v/>
      </c>
      <c r="G161" s="28" t="n"/>
      <c r="H161">
        <f>IFERROR(MATCH(122,Banco_Preguntas!$K$2:$K$400,0),0)</f>
        <v/>
      </c>
      <c r="I161">
        <f>IF(H161=0,"",INDEX(Banco_Preguntas!$D$2:$D$400,H161))</f>
        <v/>
      </c>
    </row>
    <row r="162">
      <c r="B162" s="26" t="n"/>
      <c r="C162" s="26" t="n"/>
      <c r="D162" s="26" t="n"/>
      <c r="E162" s="27">
        <f>IF(OR(H162=0,I162="HEAD"),"",INDEX(Banco_Preguntas!$B$2:$B$400,H162))</f>
        <v/>
      </c>
      <c r="F162" s="28">
        <f>IF(H162=0,"",INDEX(Banco_Preguntas!$C$2:$C$400,H162))</f>
        <v/>
      </c>
      <c r="G162" s="28" t="n"/>
      <c r="H162">
        <f>IFERROR(MATCH(123,Banco_Preguntas!$K$2:$K$400,0),0)</f>
        <v/>
      </c>
      <c r="I162">
        <f>IF(H162=0,"",INDEX(Banco_Preguntas!$D$2:$D$400,H162))</f>
        <v/>
      </c>
    </row>
    <row r="163">
      <c r="B163" s="26" t="n"/>
      <c r="C163" s="26" t="n"/>
      <c r="D163" s="26" t="n"/>
      <c r="E163" s="27">
        <f>IF(OR(H163=0,I163="HEAD"),"",INDEX(Banco_Preguntas!$B$2:$B$400,H163))</f>
        <v/>
      </c>
      <c r="F163" s="28">
        <f>IF(H163=0,"",INDEX(Banco_Preguntas!$C$2:$C$400,H163))</f>
        <v/>
      </c>
      <c r="G163" s="28" t="n"/>
      <c r="H163">
        <f>IFERROR(MATCH(124,Banco_Preguntas!$K$2:$K$400,0),0)</f>
        <v/>
      </c>
      <c r="I163">
        <f>IF(H163=0,"",INDEX(Banco_Preguntas!$D$2:$D$400,H163))</f>
        <v/>
      </c>
    </row>
    <row r="164">
      <c r="B164" s="26" t="n"/>
      <c r="C164" s="26" t="n"/>
      <c r="D164" s="26" t="n"/>
      <c r="E164" s="27">
        <f>IF(OR(H164=0,I164="HEAD"),"",INDEX(Banco_Preguntas!$B$2:$B$400,H164))</f>
        <v/>
      </c>
      <c r="F164" s="28">
        <f>IF(H164=0,"",INDEX(Banco_Preguntas!$C$2:$C$400,H164))</f>
        <v/>
      </c>
      <c r="G164" s="28" t="n"/>
      <c r="H164">
        <f>IFERROR(MATCH(125,Banco_Preguntas!$K$2:$K$400,0),0)</f>
        <v/>
      </c>
      <c r="I164">
        <f>IF(H164=0,"",INDEX(Banco_Preguntas!$D$2:$D$400,H164))</f>
        <v/>
      </c>
    </row>
    <row r="165">
      <c r="B165" s="26" t="n"/>
      <c r="C165" s="26" t="n"/>
      <c r="D165" s="26" t="n"/>
      <c r="E165" s="27">
        <f>IF(OR(H165=0,I165="HEAD"),"",INDEX(Banco_Preguntas!$B$2:$B$400,H165))</f>
        <v/>
      </c>
      <c r="F165" s="28">
        <f>IF(H165=0,"",INDEX(Banco_Preguntas!$C$2:$C$400,H165))</f>
        <v/>
      </c>
      <c r="G165" s="28" t="n"/>
      <c r="H165">
        <f>IFERROR(MATCH(126,Banco_Preguntas!$K$2:$K$400,0),0)</f>
        <v/>
      </c>
      <c r="I165">
        <f>IF(H165=0,"",INDEX(Banco_Preguntas!$D$2:$D$400,H165))</f>
        <v/>
      </c>
    </row>
    <row r="166">
      <c r="B166" s="26" t="n"/>
      <c r="C166" s="26" t="n"/>
      <c r="D166" s="26" t="n"/>
      <c r="E166" s="27">
        <f>IF(OR(H166=0,I166="HEAD"),"",INDEX(Banco_Preguntas!$B$2:$B$400,H166))</f>
        <v/>
      </c>
      <c r="F166" s="28">
        <f>IF(H166=0,"",INDEX(Banco_Preguntas!$C$2:$C$400,H166))</f>
        <v/>
      </c>
      <c r="G166" s="28" t="n"/>
      <c r="H166">
        <f>IFERROR(MATCH(127,Banco_Preguntas!$K$2:$K$400,0),0)</f>
        <v/>
      </c>
      <c r="I166">
        <f>IF(H166=0,"",INDEX(Banco_Preguntas!$D$2:$D$400,H166))</f>
        <v/>
      </c>
    </row>
    <row r="167">
      <c r="B167" s="26" t="n"/>
      <c r="C167" s="26" t="n"/>
      <c r="D167" s="26" t="n"/>
      <c r="E167" s="27">
        <f>IF(OR(H167=0,I167="HEAD"),"",INDEX(Banco_Preguntas!$B$2:$B$400,H167))</f>
        <v/>
      </c>
      <c r="F167" s="28">
        <f>IF(H167=0,"",INDEX(Banco_Preguntas!$C$2:$C$400,H167))</f>
        <v/>
      </c>
      <c r="G167" s="28" t="n"/>
      <c r="H167">
        <f>IFERROR(MATCH(128,Banco_Preguntas!$K$2:$K$400,0),0)</f>
        <v/>
      </c>
      <c r="I167">
        <f>IF(H167=0,"",INDEX(Banco_Preguntas!$D$2:$D$400,H167))</f>
        <v/>
      </c>
    </row>
    <row r="168">
      <c r="B168" s="26" t="n"/>
      <c r="C168" s="26" t="n"/>
      <c r="D168" s="26" t="n"/>
      <c r="E168" s="27">
        <f>IF(OR(H168=0,I168="HEAD"),"",INDEX(Banco_Preguntas!$B$2:$B$400,H168))</f>
        <v/>
      </c>
      <c r="F168" s="28">
        <f>IF(H168=0,"",INDEX(Banco_Preguntas!$C$2:$C$400,H168))</f>
        <v/>
      </c>
      <c r="G168" s="28" t="n"/>
      <c r="H168">
        <f>IFERROR(MATCH(129,Banco_Preguntas!$K$2:$K$400,0),0)</f>
        <v/>
      </c>
      <c r="I168">
        <f>IF(H168=0,"",INDEX(Banco_Preguntas!$D$2:$D$400,H168))</f>
        <v/>
      </c>
    </row>
    <row r="169">
      <c r="B169" s="26" t="n"/>
      <c r="C169" s="26" t="n"/>
      <c r="D169" s="26" t="n"/>
      <c r="E169" s="27">
        <f>IF(OR(H169=0,I169="HEAD"),"",INDEX(Banco_Preguntas!$B$2:$B$400,H169))</f>
        <v/>
      </c>
      <c r="F169" s="28">
        <f>IF(H169=0,"",INDEX(Banco_Preguntas!$C$2:$C$400,H169))</f>
        <v/>
      </c>
      <c r="G169" s="28" t="n"/>
      <c r="H169">
        <f>IFERROR(MATCH(130,Banco_Preguntas!$K$2:$K$400,0),0)</f>
        <v/>
      </c>
      <c r="I169">
        <f>IF(H169=0,"",INDEX(Banco_Preguntas!$D$2:$D$400,H169))</f>
        <v/>
      </c>
    </row>
    <row r="170">
      <c r="B170" s="26" t="n"/>
      <c r="C170" s="26" t="n"/>
      <c r="D170" s="26" t="n"/>
      <c r="E170" s="27">
        <f>IF(OR(H170=0,I170="HEAD"),"",INDEX(Banco_Preguntas!$B$2:$B$400,H170))</f>
        <v/>
      </c>
      <c r="F170" s="28">
        <f>IF(H170=0,"",INDEX(Banco_Preguntas!$C$2:$C$400,H170))</f>
        <v/>
      </c>
      <c r="G170" s="28" t="n"/>
      <c r="H170">
        <f>IFERROR(MATCH(131,Banco_Preguntas!$K$2:$K$400,0),0)</f>
        <v/>
      </c>
      <c r="I170">
        <f>IF(H170=0,"",INDEX(Banco_Preguntas!$D$2:$D$400,H170))</f>
        <v/>
      </c>
    </row>
    <row r="171">
      <c r="B171" s="26" t="n"/>
      <c r="C171" s="26" t="n"/>
      <c r="D171" s="26" t="n"/>
      <c r="E171" s="27">
        <f>IF(OR(H171=0,I171="HEAD"),"",INDEX(Banco_Preguntas!$B$2:$B$400,H171))</f>
        <v/>
      </c>
      <c r="F171" s="28">
        <f>IF(H171=0,"",INDEX(Banco_Preguntas!$C$2:$C$400,H171))</f>
        <v/>
      </c>
      <c r="G171" s="28" t="n"/>
      <c r="H171">
        <f>IFERROR(MATCH(132,Banco_Preguntas!$K$2:$K$400,0),0)</f>
        <v/>
      </c>
      <c r="I171">
        <f>IF(H171=0,"",INDEX(Banco_Preguntas!$D$2:$D$400,H171))</f>
        <v/>
      </c>
    </row>
    <row r="172">
      <c r="B172" s="26" t="n"/>
      <c r="C172" s="26" t="n"/>
      <c r="D172" s="26" t="n"/>
      <c r="E172" s="27">
        <f>IF(OR(H172=0,I172="HEAD"),"",INDEX(Banco_Preguntas!$B$2:$B$400,H172))</f>
        <v/>
      </c>
      <c r="F172" s="28">
        <f>IF(H172=0,"",INDEX(Banco_Preguntas!$C$2:$C$400,H172))</f>
        <v/>
      </c>
      <c r="G172" s="28" t="n"/>
      <c r="H172">
        <f>IFERROR(MATCH(133,Banco_Preguntas!$K$2:$K$400,0),0)</f>
        <v/>
      </c>
      <c r="I172">
        <f>IF(H172=0,"",INDEX(Banco_Preguntas!$D$2:$D$400,H172))</f>
        <v/>
      </c>
    </row>
    <row r="173">
      <c r="B173" s="26" t="n"/>
      <c r="C173" s="26" t="n"/>
      <c r="D173" s="26" t="n"/>
      <c r="E173" s="27">
        <f>IF(OR(H173=0,I173="HEAD"),"",INDEX(Banco_Preguntas!$B$2:$B$400,H173))</f>
        <v/>
      </c>
      <c r="F173" s="28">
        <f>IF(H173=0,"",INDEX(Banco_Preguntas!$C$2:$C$400,H173))</f>
        <v/>
      </c>
      <c r="G173" s="28" t="n"/>
      <c r="H173">
        <f>IFERROR(MATCH(134,Banco_Preguntas!$K$2:$K$400,0),0)</f>
        <v/>
      </c>
      <c r="I173">
        <f>IF(H173=0,"",INDEX(Banco_Preguntas!$D$2:$D$400,H173))</f>
        <v/>
      </c>
    </row>
    <row r="174">
      <c r="B174" s="26" t="n"/>
      <c r="C174" s="26" t="n"/>
      <c r="D174" s="26" t="n"/>
      <c r="E174" s="27">
        <f>IF(OR(H174=0,I174="HEAD"),"",INDEX(Banco_Preguntas!$B$2:$B$400,H174))</f>
        <v/>
      </c>
      <c r="F174" s="28">
        <f>IF(H174=0,"",INDEX(Banco_Preguntas!$C$2:$C$400,H174))</f>
        <v/>
      </c>
      <c r="G174" s="28" t="n"/>
      <c r="H174">
        <f>IFERROR(MATCH(135,Banco_Preguntas!$K$2:$K$400,0),0)</f>
        <v/>
      </c>
      <c r="I174">
        <f>IF(H174=0,"",INDEX(Banco_Preguntas!$D$2:$D$400,H174))</f>
        <v/>
      </c>
    </row>
    <row r="175">
      <c r="B175" s="26" t="n"/>
      <c r="C175" s="26" t="n"/>
      <c r="D175" s="26" t="n"/>
      <c r="E175" s="27">
        <f>IF(OR(H175=0,I175="HEAD"),"",INDEX(Banco_Preguntas!$B$2:$B$400,H175))</f>
        <v/>
      </c>
      <c r="F175" s="28">
        <f>IF(H175=0,"",INDEX(Banco_Preguntas!$C$2:$C$400,H175))</f>
        <v/>
      </c>
      <c r="G175" s="28" t="n"/>
      <c r="H175">
        <f>IFERROR(MATCH(136,Banco_Preguntas!$K$2:$K$400,0),0)</f>
        <v/>
      </c>
      <c r="I175">
        <f>IF(H175=0,"",INDEX(Banco_Preguntas!$D$2:$D$400,H175))</f>
        <v/>
      </c>
    </row>
    <row r="176">
      <c r="B176" s="26" t="n"/>
      <c r="C176" s="26" t="n"/>
      <c r="D176" s="26" t="n"/>
      <c r="E176" s="27">
        <f>IF(OR(H176=0,I176="HEAD"),"",INDEX(Banco_Preguntas!$B$2:$B$400,H176))</f>
        <v/>
      </c>
      <c r="F176" s="28">
        <f>IF(H176=0,"",INDEX(Banco_Preguntas!$C$2:$C$400,H176))</f>
        <v/>
      </c>
      <c r="G176" s="28" t="n"/>
      <c r="H176">
        <f>IFERROR(MATCH(137,Banco_Preguntas!$K$2:$K$400,0),0)</f>
        <v/>
      </c>
      <c r="I176">
        <f>IF(H176=0,"",INDEX(Banco_Preguntas!$D$2:$D$400,H176))</f>
        <v/>
      </c>
    </row>
    <row r="177">
      <c r="B177" s="26" t="n"/>
      <c r="C177" s="26" t="n"/>
      <c r="D177" s="26" t="n"/>
      <c r="E177" s="27">
        <f>IF(OR(H177=0,I177="HEAD"),"",INDEX(Banco_Preguntas!$B$2:$B$400,H177))</f>
        <v/>
      </c>
      <c r="F177" s="28">
        <f>IF(H177=0,"",INDEX(Banco_Preguntas!$C$2:$C$400,H177))</f>
        <v/>
      </c>
      <c r="G177" s="28" t="n"/>
      <c r="H177">
        <f>IFERROR(MATCH(138,Banco_Preguntas!$K$2:$K$400,0),0)</f>
        <v/>
      </c>
      <c r="I177">
        <f>IF(H177=0,"",INDEX(Banco_Preguntas!$D$2:$D$400,H177))</f>
        <v/>
      </c>
    </row>
    <row r="178">
      <c r="B178" s="26" t="n"/>
      <c r="C178" s="26" t="n"/>
      <c r="D178" s="26" t="n"/>
      <c r="E178" s="27">
        <f>IF(OR(H178=0,I178="HEAD"),"",INDEX(Banco_Preguntas!$B$2:$B$400,H178))</f>
        <v/>
      </c>
      <c r="F178" s="28">
        <f>IF(H178=0,"",INDEX(Banco_Preguntas!$C$2:$C$400,H178))</f>
        <v/>
      </c>
      <c r="G178" s="28" t="n"/>
      <c r="H178">
        <f>IFERROR(MATCH(139,Banco_Preguntas!$K$2:$K$400,0),0)</f>
        <v/>
      </c>
      <c r="I178">
        <f>IF(H178=0,"",INDEX(Banco_Preguntas!$D$2:$D$400,H178))</f>
        <v/>
      </c>
    </row>
    <row r="179">
      <c r="B179" s="26" t="n"/>
      <c r="C179" s="26" t="n"/>
      <c r="D179" s="26" t="n"/>
      <c r="E179" s="27">
        <f>IF(OR(H179=0,I179="HEAD"),"",INDEX(Banco_Preguntas!$B$2:$B$400,H179))</f>
        <v/>
      </c>
      <c r="F179" s="28">
        <f>IF(H179=0,"",INDEX(Banco_Preguntas!$C$2:$C$400,H179))</f>
        <v/>
      </c>
      <c r="G179" s="28" t="n"/>
      <c r="H179">
        <f>IFERROR(MATCH(140,Banco_Preguntas!$K$2:$K$400,0),0)</f>
        <v/>
      </c>
      <c r="I179">
        <f>IF(H179=0,"",INDEX(Banco_Preguntas!$D$2:$D$400,H179))</f>
        <v/>
      </c>
    </row>
  </sheetData>
  <mergeCells count="35">
    <mergeCell ref="B2:G2"/>
    <mergeCell ref="B11:D11"/>
    <mergeCell ref="E12:F12"/>
    <mergeCell ref="B14:D14"/>
    <mergeCell ref="B8:D8"/>
    <mergeCell ref="B17:G17"/>
    <mergeCell ref="B23:G23"/>
    <mergeCell ref="B1:G1"/>
    <mergeCell ref="E5:F5"/>
    <mergeCell ref="B13:D13"/>
    <mergeCell ref="E14:F14"/>
    <mergeCell ref="E8:F8"/>
    <mergeCell ref="B10:D10"/>
    <mergeCell ref="B19:G19"/>
    <mergeCell ref="E10:F10"/>
    <mergeCell ref="B9:D9"/>
    <mergeCell ref="E13:F13"/>
    <mergeCell ref="B15:D15"/>
    <mergeCell ref="E9:F9"/>
    <mergeCell ref="B6:D6"/>
    <mergeCell ref="B20:G20"/>
    <mergeCell ref="B5:D5"/>
    <mergeCell ref="E6:F6"/>
    <mergeCell ref="E15:F15"/>
    <mergeCell ref="E11:F11"/>
    <mergeCell ref="B4:G4"/>
    <mergeCell ref="B7:D7"/>
    <mergeCell ref="B16:D16"/>
    <mergeCell ref="B25:G25"/>
    <mergeCell ref="E16:F16"/>
    <mergeCell ref="B22:G22"/>
    <mergeCell ref="E7:F7"/>
    <mergeCell ref="B18:G18"/>
    <mergeCell ref="B12:D12"/>
    <mergeCell ref="B21:G21"/>
  </mergeCells>
  <conditionalFormatting sqref="B19:G23">
    <cfRule type="expression" priority="1" dxfId="0">
      <formula>$B19&lt;&gt;""</formula>
    </cfRule>
  </conditionalFormatting>
  <conditionalFormatting sqref="E16">
    <cfRule type="expression" priority="2" dxfId="0">
      <formula>$E$16="ALTA PRIORIDAD"</formula>
    </cfRule>
  </conditionalFormatting>
  <conditionalFormatting sqref="B40:G179">
    <cfRule type="expression" priority="3" dxfId="1" stopIfTrue="1">
      <formula>$I40="HEAD"</formula>
    </cfRule>
    <cfRule type="expression" priority="10" dxfId="2">
      <formula>$H40&gt;0</formula>
    </cfRule>
  </conditionalFormatting>
  <conditionalFormatting sqref="B40:B179">
    <cfRule type="expression" priority="4" dxfId="3" stopIfTrue="1">
      <formula>$I40="TXT"</formula>
    </cfRule>
  </conditionalFormatting>
  <conditionalFormatting sqref="C40:C179">
    <cfRule type="expression" priority="5" dxfId="3" stopIfTrue="1">
      <formula>OR($I40="CHK",$I40="TXT")</formula>
    </cfRule>
  </conditionalFormatting>
  <conditionalFormatting sqref="D40:D179">
    <cfRule type="expression" priority="6" dxfId="3" stopIfTrue="1">
      <formula>AND($H40&gt;0,$I40&lt;&gt;"YNS")</formula>
    </cfRule>
  </conditionalFormatting>
  <conditionalFormatting sqref="B40:D179">
    <cfRule type="expression" priority="7" dxfId="4">
      <formula>B40&lt;&gt;""</formula>
    </cfRule>
    <cfRule type="expression" priority="8" dxfId="5">
      <formula>$H40&gt;0</formula>
    </cfRule>
  </conditionalFormatting>
  <conditionalFormatting sqref="G40:G179">
    <cfRule type="expression" priority="9" dxfId="5">
      <formula>$H40&gt;0</formula>
    </cfRule>
  </conditionalFormatting>
  <conditionalFormatting sqref="E40:E179">
    <cfRule type="expression" priority="11" dxfId="6">
      <formula>$H40&gt;0</formula>
    </cfRule>
  </conditionalFormatting>
  <dataValidations count="3">
    <dataValidation sqref="E5" showDropDown="0" showInputMessage="0" showErrorMessage="1" allowBlank="0" errorTitle="Tipo de equipo" error="Elija un equipo de la lista." type="list">
      <formula1>=T_EQUIPO</formula1>
    </dataValidation>
    <dataValidation sqref="E13 E14 E15" showDropDown="0" showInputMessage="0" showErrorMessage="1" allowBlank="1" errorTitle="Falla" error="Elija una falla de la lista." type="list">
      <formula1>=INDIRECT("F_"&amp;$J$5)</formula1>
    </dataValidation>
    <dataValidation sqref="B29 B30 B31 B32 B33 B34 B35 B36 B40:D179 C31 C32 C33 C34 C35 C36 D33 D34 D36" showDropDown="0" showInputMessage="0" showErrorMessage="0" allowBlank="1" type="list">
      <formula1>"✔"</formula1>
    </dataValidation>
  </dataValidations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70" customWidth="1" min="13" max="13"/>
  </cols>
  <sheetData>
    <row r="1" ht="34" customHeight="1">
      <c r="A1" s="29" t="inlineStr">
        <is>
          <t>Sección</t>
        </is>
      </c>
      <c r="B1" s="29" t="inlineStr">
        <is>
          <t>Bloque / Falla</t>
        </is>
      </c>
      <c r="C1" s="29" t="inlineStr">
        <is>
          <t>Ítem del checklist</t>
        </is>
      </c>
      <c r="D1" s="29" t="inlineStr">
        <is>
          <t>Tipo</t>
        </is>
      </c>
      <c r="E1" s="29" t="inlineStr">
        <is>
          <t>Celular</t>
        </is>
      </c>
      <c r="F1" s="29" t="inlineStr">
        <is>
          <t>Reloj</t>
        </is>
      </c>
      <c r="G1" s="29" t="inlineStr">
        <is>
          <t>Computadora</t>
        </is>
      </c>
      <c r="H1" s="29" t="inlineStr">
        <is>
          <t>Consola</t>
        </is>
      </c>
      <c r="I1" s="29" t="inlineStr">
        <is>
          <t>Aplica al equipo</t>
        </is>
      </c>
      <c r="J1" s="29" t="inlineStr">
        <is>
          <t>Incluida</t>
        </is>
      </c>
      <c r="K1" s="29" t="inlineStr">
        <is>
          <t>Orden</t>
        </is>
      </c>
      <c r="M1" s="30" t="inlineStr">
        <is>
          <t>Cómo editar: agregue un ítem al final. Sección B = según la falla (escriba el Bloque exacto); S = siempre para ese equipo. Tipo: CHK = una casilla · YN = Sí/No · YNS = Sí/No/No sabe · TXT = solo texto en Detalle. Marque 1/0 en los equipos donde aplica. Las columnas grises se calculan solas.</t>
        </is>
      </c>
    </row>
    <row r="2">
      <c r="A2" s="31" t="inlineStr">
        <is>
          <t>S</t>
        </is>
      </c>
      <c r="B2" s="23" t="inlineStr"/>
      <c r="C2" s="23" t="inlineStr">
        <is>
          <t>B. CHECKLIST SEGÚN LA FALLA REPORTADA (se despliega solo)</t>
        </is>
      </c>
      <c r="D2" s="31" t="inlineStr">
        <is>
          <t>HEAD</t>
        </is>
      </c>
      <c r="E2" s="32" t="n">
        <v>1</v>
      </c>
      <c r="F2" s="32" t="n">
        <v>1</v>
      </c>
      <c r="G2" s="32" t="n">
        <v>1</v>
      </c>
      <c r="H2" s="32" t="n">
        <v>1</v>
      </c>
      <c r="I2" s="33">
        <f>IF(C2="",0,IFERROR(INDEX($E2:$H2,MATCH('Recepción'!$E$5,$E$1:$H$1,0)),0))</f>
        <v/>
      </c>
      <c r="J2" s="33">
        <f>IF(I2=0,0,IF(A2="S",1,IF(OR(B2='Recepción'!$E$13,B2='Recepción'!$E$14,B2='Recepción'!$E$15,AND(B2="Contacto con líquido",'Recepción'!$B$32&lt;&gt;""),AND(B2="Golpe / Caída",'Recepción'!$B$31&lt;&gt;""),AND(B2="No enciende",'Recepción'!$C$34&lt;&gt;"")),1,0)))</f>
        <v/>
      </c>
      <c r="K2" s="33">
        <f>IF(J2=1,COUNTIF($J$2:J2,1),0)</f>
        <v/>
      </c>
    </row>
    <row r="3">
      <c r="A3" s="31" t="inlineStr">
        <is>
          <t>B</t>
        </is>
      </c>
      <c r="B3" s="23" t="inlineStr">
        <is>
          <t>No enciende</t>
        </is>
      </c>
      <c r="C3" s="23" t="inlineStr">
        <is>
          <t>¿Cuándo fue la última vez que encendió normalmente? (escriba en Detalle)</t>
        </is>
      </c>
      <c r="D3" s="31" t="inlineStr">
        <is>
          <t>TXT</t>
        </is>
      </c>
      <c r="E3" s="32" t="n">
        <v>1</v>
      </c>
      <c r="F3" s="32" t="n">
        <v>1</v>
      </c>
      <c r="G3" s="32" t="n">
        <v>1</v>
      </c>
      <c r="H3" s="32" t="n">
        <v>1</v>
      </c>
      <c r="I3" s="33">
        <f>IF(C3="",0,IFERROR(INDEX($E3:$H3,MATCH('Recepción'!$E$5,$E$1:$H$1,0)),0))</f>
        <v/>
      </c>
      <c r="J3" s="33">
        <f>IF(I3=0,0,IF(A3="S",1,IF(OR(B3='Recepción'!$E$13,B3='Recepción'!$E$14,B3='Recepción'!$E$15,AND(B3="Contacto con líquido",'Recepción'!$B$32&lt;&gt;""),AND(B3="Golpe / Caída",'Recepción'!$B$31&lt;&gt;""),AND(B3="No enciende",'Recepción'!$C$34&lt;&gt;"")),1,0)))</f>
        <v/>
      </c>
      <c r="K3" s="33">
        <f>IF(J3=1,COUNTIF($J$2:J3,1),0)</f>
        <v/>
      </c>
    </row>
    <row r="4">
      <c r="A4" s="31" t="inlineStr">
        <is>
          <t>B</t>
        </is>
      </c>
      <c r="B4" s="23" t="inlineStr">
        <is>
          <t>No enciende</t>
        </is>
      </c>
      <c r="C4" s="23" t="inlineStr">
        <is>
          <t>¿Se apagó mientras lo estaba utilizando?</t>
        </is>
      </c>
      <c r="D4" s="31" t="inlineStr">
        <is>
          <t>YN</t>
        </is>
      </c>
      <c r="E4" s="32" t="n">
        <v>1</v>
      </c>
      <c r="F4" s="32" t="n">
        <v>1</v>
      </c>
      <c r="G4" s="32" t="n">
        <v>1</v>
      </c>
      <c r="H4" s="32" t="n">
        <v>1</v>
      </c>
      <c r="I4" s="33">
        <f>IF(C4="",0,IFERROR(INDEX($E4:$H4,MATCH('Recepción'!$E$5,$E$1:$H$1,0)),0))</f>
        <v/>
      </c>
      <c r="J4" s="33">
        <f>IF(I4=0,0,IF(A4="S",1,IF(OR(B4='Recepción'!$E$13,B4='Recepción'!$E$14,B4='Recepción'!$E$15,AND(B4="Contacto con líquido",'Recepción'!$B$32&lt;&gt;""),AND(B4="Golpe / Caída",'Recepción'!$B$31&lt;&gt;""),AND(B4="No enciende",'Recepción'!$C$34&lt;&gt;"")),1,0)))</f>
        <v/>
      </c>
      <c r="K4" s="33">
        <f>IF(J4=1,COUNTIF($J$2:J4,1),0)</f>
        <v/>
      </c>
    </row>
    <row r="5">
      <c r="A5" s="31" t="inlineStr">
        <is>
          <t>B</t>
        </is>
      </c>
      <c r="B5" s="23" t="inlineStr">
        <is>
          <t>No enciende</t>
        </is>
      </c>
      <c r="C5" s="23" t="inlineStr">
        <is>
          <t>¿Ocurrió después de una caída, líquido o sobrecalentamiento?</t>
        </is>
      </c>
      <c r="D5" s="31" t="inlineStr">
        <is>
          <t>YN</t>
        </is>
      </c>
      <c r="E5" s="32" t="n">
        <v>1</v>
      </c>
      <c r="F5" s="32" t="n">
        <v>1</v>
      </c>
      <c r="G5" s="32" t="n">
        <v>1</v>
      </c>
      <c r="H5" s="32" t="n">
        <v>1</v>
      </c>
      <c r="I5" s="33">
        <f>IF(C5="",0,IFERROR(INDEX($E5:$H5,MATCH('Recepción'!$E$5,$E$1:$H$1,0)),0))</f>
        <v/>
      </c>
      <c r="J5" s="33">
        <f>IF(I5=0,0,IF(A5="S",1,IF(OR(B5='Recepción'!$E$13,B5='Recepción'!$E$14,B5='Recepción'!$E$15,AND(B5="Contacto con líquido",'Recepción'!$B$32&lt;&gt;""),AND(B5="Golpe / Caída",'Recepción'!$B$31&lt;&gt;""),AND(B5="No enciende",'Recepción'!$C$34&lt;&gt;"")),1,0)))</f>
        <v/>
      </c>
      <c r="K5" s="33">
        <f>IF(J5=1,COUNTIF($J$2:J5,1),0)</f>
        <v/>
      </c>
    </row>
    <row r="6">
      <c r="A6" s="31" t="inlineStr">
        <is>
          <t>B</t>
        </is>
      </c>
      <c r="B6" s="23" t="inlineStr">
        <is>
          <t>No enciende</t>
        </is>
      </c>
      <c r="C6" s="23" t="inlineStr">
        <is>
          <t>¿Muestra alguna luz, vibración, sonido o señal de vida?</t>
        </is>
      </c>
      <c r="D6" s="31" t="inlineStr">
        <is>
          <t>YN</t>
        </is>
      </c>
      <c r="E6" s="32" t="n">
        <v>1</v>
      </c>
      <c r="F6" s="32" t="n">
        <v>1</v>
      </c>
      <c r="G6" s="32" t="n">
        <v>1</v>
      </c>
      <c r="H6" s="32" t="n">
        <v>1</v>
      </c>
      <c r="I6" s="33">
        <f>IF(C6="",0,IFERROR(INDEX($E6:$H6,MATCH('Recepción'!$E$5,$E$1:$H$1,0)),0))</f>
        <v/>
      </c>
      <c r="J6" s="33">
        <f>IF(I6=0,0,IF(A6="S",1,IF(OR(B6='Recepción'!$E$13,B6='Recepción'!$E$14,B6='Recepción'!$E$15,AND(B6="Contacto con líquido",'Recepción'!$B$32&lt;&gt;""),AND(B6="Golpe / Caída",'Recepción'!$B$31&lt;&gt;""),AND(B6="No enciende",'Recepción'!$C$34&lt;&gt;"")),1,0)))</f>
        <v/>
      </c>
      <c r="K6" s="33">
        <f>IF(J6=1,COUNTIF($J$2:J6,1),0)</f>
        <v/>
      </c>
    </row>
    <row r="7">
      <c r="A7" s="31" t="inlineStr">
        <is>
          <t>B</t>
        </is>
      </c>
      <c r="B7" s="23" t="inlineStr">
        <is>
          <t>No enciende</t>
        </is>
      </c>
      <c r="C7" s="23" t="inlineStr">
        <is>
          <t>¿Ha intentado cargarlo con otro cargador o cable?</t>
        </is>
      </c>
      <c r="D7" s="31" t="inlineStr">
        <is>
          <t>YN</t>
        </is>
      </c>
      <c r="E7" s="32" t="n">
        <v>1</v>
      </c>
      <c r="F7" s="32" t="n">
        <v>1</v>
      </c>
      <c r="G7" s="32" t="n">
        <v>1</v>
      </c>
      <c r="H7" s="32" t="n">
        <v>0</v>
      </c>
      <c r="I7" s="33">
        <f>IF(C7="",0,IFERROR(INDEX($E7:$H7,MATCH('Recepción'!$E$5,$E$1:$H$1,0)),0))</f>
        <v/>
      </c>
      <c r="J7" s="33">
        <f>IF(I7=0,0,IF(A7="S",1,IF(OR(B7='Recepción'!$E$13,B7='Recepción'!$E$14,B7='Recepción'!$E$15,AND(B7="Contacto con líquido",'Recepción'!$B$32&lt;&gt;""),AND(B7="Golpe / Caída",'Recepción'!$B$31&lt;&gt;""),AND(B7="No enciende",'Recepción'!$C$34&lt;&gt;"")),1,0)))</f>
        <v/>
      </c>
      <c r="K7" s="33">
        <f>IF(J7=1,COUNTIF($J$2:J7,1),0)</f>
        <v/>
      </c>
    </row>
    <row r="8">
      <c r="A8" s="31" t="inlineStr">
        <is>
          <t>B</t>
        </is>
      </c>
      <c r="B8" s="23" t="inlineStr">
        <is>
          <t>No enciende</t>
        </is>
      </c>
      <c r="C8" s="23" t="inlineStr">
        <is>
          <t>¿Ha probado con otro cable de corriente o toma eléctrica?</t>
        </is>
      </c>
      <c r="D8" s="31" t="inlineStr">
        <is>
          <t>YN</t>
        </is>
      </c>
      <c r="E8" s="32" t="n">
        <v>0</v>
      </c>
      <c r="F8" s="32" t="n">
        <v>0</v>
      </c>
      <c r="G8" s="32" t="n">
        <v>1</v>
      </c>
      <c r="H8" s="32" t="n">
        <v>1</v>
      </c>
      <c r="I8" s="33">
        <f>IF(C8="",0,IFERROR(INDEX($E8:$H8,MATCH('Recepción'!$E$5,$E$1:$H$1,0)),0))</f>
        <v/>
      </c>
      <c r="J8" s="33">
        <f>IF(I8=0,0,IF(A8="S",1,IF(OR(B8='Recepción'!$E$13,B8='Recepción'!$E$14,B8='Recepción'!$E$15,AND(B8="Contacto con líquido",'Recepción'!$B$32&lt;&gt;""),AND(B8="Golpe / Caída",'Recepción'!$B$31&lt;&gt;""),AND(B8="No enciende",'Recepción'!$C$34&lt;&gt;"")),1,0)))</f>
        <v/>
      </c>
      <c r="K8" s="33">
        <f>IF(J8=1,COUNTIF($J$2:J8,1),0)</f>
        <v/>
      </c>
    </row>
    <row r="9">
      <c r="A9" s="31" t="inlineStr">
        <is>
          <t>B</t>
        </is>
      </c>
      <c r="B9" s="23" t="inlineStr">
        <is>
          <t>No enciende</t>
        </is>
      </c>
      <c r="C9" s="23" t="inlineStr">
        <is>
          <t>¿Reacciona al colocarlo en su base de carga?</t>
        </is>
      </c>
      <c r="D9" s="31" t="inlineStr">
        <is>
          <t>YN</t>
        </is>
      </c>
      <c r="E9" s="32" t="n">
        <v>0</v>
      </c>
      <c r="F9" s="32" t="n">
        <v>1</v>
      </c>
      <c r="G9" s="32" t="n">
        <v>0</v>
      </c>
      <c r="H9" s="32" t="n">
        <v>0</v>
      </c>
      <c r="I9" s="33">
        <f>IF(C9="",0,IFERROR(INDEX($E9:$H9,MATCH('Recepción'!$E$5,$E$1:$H$1,0)),0))</f>
        <v/>
      </c>
      <c r="J9" s="33">
        <f>IF(I9=0,0,IF(A9="S",1,IF(OR(B9='Recepción'!$E$13,B9='Recepción'!$E$14,B9='Recepción'!$E$15,AND(B9="Contacto con líquido",'Recepción'!$B$32&lt;&gt;""),AND(B9="Golpe / Caída",'Recepción'!$B$31&lt;&gt;""),AND(B9="No enciende",'Recepción'!$C$34&lt;&gt;"")),1,0)))</f>
        <v/>
      </c>
      <c r="K9" s="33">
        <f>IF(J9=1,COUNTIF($J$2:J9,1),0)</f>
        <v/>
      </c>
    </row>
    <row r="10">
      <c r="A10" s="31" t="inlineStr">
        <is>
          <t>B</t>
        </is>
      </c>
      <c r="B10" s="23" t="inlineStr">
        <is>
          <t>No enciende</t>
        </is>
      </c>
      <c r="C10" s="23" t="inlineStr">
        <is>
          <t>¿Se queda en el logo o se reinicia constantemente?</t>
        </is>
      </c>
      <c r="D10" s="31" t="inlineStr">
        <is>
          <t>YN</t>
        </is>
      </c>
      <c r="E10" s="32" t="n">
        <v>1</v>
      </c>
      <c r="F10" s="32" t="n">
        <v>0</v>
      </c>
      <c r="G10" s="32" t="n">
        <v>1</v>
      </c>
      <c r="H10" s="32" t="n">
        <v>1</v>
      </c>
      <c r="I10" s="33">
        <f>IF(C10="",0,IFERROR(INDEX($E10:$H10,MATCH('Recepción'!$E$5,$E$1:$H$1,0)),0))</f>
        <v/>
      </c>
      <c r="J10" s="33">
        <f>IF(I10=0,0,IF(A10="S",1,IF(OR(B10='Recepción'!$E$13,B10='Recepción'!$E$14,B10='Recepción'!$E$15,AND(B10="Contacto con líquido",'Recepción'!$B$32&lt;&gt;""),AND(B10="Golpe / Caída",'Recepción'!$B$31&lt;&gt;""),AND(B10="No enciende",'Recepción'!$C$34&lt;&gt;"")),1,0)))</f>
        <v/>
      </c>
      <c r="K10" s="33">
        <f>IF(J10=1,COUNTIF($J$2:J10,1),0)</f>
        <v/>
      </c>
    </row>
    <row r="11">
      <c r="A11" s="31" t="inlineStr">
        <is>
          <t>B</t>
        </is>
      </c>
      <c r="B11" s="23" t="inlineStr">
        <is>
          <t>No enciende</t>
        </is>
      </c>
      <c r="C11" s="23" t="inlineStr">
        <is>
          <t>¿Se escucha el ventilador o el disco al presionar encendido?</t>
        </is>
      </c>
      <c r="D11" s="31" t="inlineStr">
        <is>
          <t>YN</t>
        </is>
      </c>
      <c r="E11" s="32" t="n">
        <v>0</v>
      </c>
      <c r="F11" s="32" t="n">
        <v>0</v>
      </c>
      <c r="G11" s="32" t="n">
        <v>1</v>
      </c>
      <c r="H11" s="32" t="n">
        <v>0</v>
      </c>
      <c r="I11" s="33">
        <f>IF(C11="",0,IFERROR(INDEX($E11:$H11,MATCH('Recepción'!$E$5,$E$1:$H$1,0)),0))</f>
        <v/>
      </c>
      <c r="J11" s="33">
        <f>IF(I11=0,0,IF(A11="S",1,IF(OR(B11='Recepción'!$E$13,B11='Recepción'!$E$14,B11='Recepción'!$E$15,AND(B11="Contacto con líquido",'Recepción'!$B$32&lt;&gt;""),AND(B11="Golpe / Caída",'Recepción'!$B$31&lt;&gt;""),AND(B11="No enciende",'Recepción'!$C$34&lt;&gt;"")),1,0)))</f>
        <v/>
      </c>
      <c r="K11" s="33">
        <f>IF(J11=1,COUNTIF($J$2:J11,1),0)</f>
        <v/>
      </c>
    </row>
    <row r="12">
      <c r="A12" s="31" t="inlineStr">
        <is>
          <t>B</t>
        </is>
      </c>
      <c r="B12" s="23" t="inlineStr">
        <is>
          <t>No enciende</t>
        </is>
      </c>
      <c r="C12" s="23" t="inlineStr">
        <is>
          <t>¿Qué color de luz muestra la consola al intentar encender?</t>
        </is>
      </c>
      <c r="D12" s="31" t="inlineStr">
        <is>
          <t>TXT</t>
        </is>
      </c>
      <c r="E12" s="32" t="n">
        <v>0</v>
      </c>
      <c r="F12" s="32" t="n">
        <v>0</v>
      </c>
      <c r="G12" s="32" t="n">
        <v>0</v>
      </c>
      <c r="H12" s="32" t="n">
        <v>1</v>
      </c>
      <c r="I12" s="33">
        <f>IF(C12="",0,IFERROR(INDEX($E12:$H12,MATCH('Recepción'!$E$5,$E$1:$H$1,0)),0))</f>
        <v/>
      </c>
      <c r="J12" s="33">
        <f>IF(I12=0,0,IF(A12="S",1,IF(OR(B12='Recepción'!$E$13,B12='Recepción'!$E$14,B12='Recepción'!$E$15,AND(B12="Contacto con líquido",'Recepción'!$B$32&lt;&gt;""),AND(B12="Golpe / Caída",'Recepción'!$B$31&lt;&gt;""),AND(B12="No enciende",'Recepción'!$C$34&lt;&gt;"")),1,0)))</f>
        <v/>
      </c>
      <c r="K12" s="33">
        <f>IF(J12=1,COUNTIF($J$2:J12,1),0)</f>
        <v/>
      </c>
    </row>
    <row r="13">
      <c r="A13" s="31" t="inlineStr">
        <is>
          <t>B</t>
        </is>
      </c>
      <c r="B13" s="23" t="inlineStr">
        <is>
          <t>No enciende</t>
        </is>
      </c>
      <c r="C13" s="23" t="inlineStr">
        <is>
          <t>¿Se apaga sola a los pocos segundos de encender?</t>
        </is>
      </c>
      <c r="D13" s="31" t="inlineStr">
        <is>
          <t>YN</t>
        </is>
      </c>
      <c r="E13" s="32" t="n">
        <v>0</v>
      </c>
      <c r="F13" s="32" t="n">
        <v>0</v>
      </c>
      <c r="G13" s="32" t="n">
        <v>1</v>
      </c>
      <c r="H13" s="32" t="n">
        <v>1</v>
      </c>
      <c r="I13" s="33">
        <f>IF(C13="",0,IFERROR(INDEX($E13:$H13,MATCH('Recepción'!$E$5,$E$1:$H$1,0)),0))</f>
        <v/>
      </c>
      <c r="J13" s="33">
        <f>IF(I13=0,0,IF(A13="S",1,IF(OR(B13='Recepción'!$E$13,B13='Recepción'!$E$14,B13='Recepción'!$E$15,AND(B13="Contacto con líquido",'Recepción'!$B$32&lt;&gt;""),AND(B13="Golpe / Caída",'Recepción'!$B$31&lt;&gt;""),AND(B13="No enciende",'Recepción'!$C$34&lt;&gt;"")),1,0)))</f>
        <v/>
      </c>
      <c r="K13" s="33">
        <f>IF(J13=1,COUNTIF($J$2:J13,1),0)</f>
        <v/>
      </c>
    </row>
    <row r="14">
      <c r="A14" s="31" t="inlineStr">
        <is>
          <t>B</t>
        </is>
      </c>
      <c r="B14" s="23" t="inlineStr">
        <is>
          <t>No enciende</t>
        </is>
      </c>
      <c r="C14" s="23" t="inlineStr">
        <is>
          <t>¿Alguien intentó repararlo después de que dejó de encender?</t>
        </is>
      </c>
      <c r="D14" s="31" t="inlineStr">
        <is>
          <t>YN</t>
        </is>
      </c>
      <c r="E14" s="32" t="n">
        <v>1</v>
      </c>
      <c r="F14" s="32" t="n">
        <v>1</v>
      </c>
      <c r="G14" s="32" t="n">
        <v>1</v>
      </c>
      <c r="H14" s="32" t="n">
        <v>1</v>
      </c>
      <c r="I14" s="33">
        <f>IF(C14="",0,IFERROR(INDEX($E14:$H14,MATCH('Recepción'!$E$5,$E$1:$H$1,0)),0))</f>
        <v/>
      </c>
      <c r="J14" s="33">
        <f>IF(I14=0,0,IF(A14="S",1,IF(OR(B14='Recepción'!$E$13,B14='Recepción'!$E$14,B14='Recepción'!$E$15,AND(B14="Contacto con líquido",'Recepción'!$B$32&lt;&gt;""),AND(B14="Golpe / Caída",'Recepción'!$B$31&lt;&gt;""),AND(B14="No enciende",'Recepción'!$C$34&lt;&gt;"")),1,0)))</f>
        <v/>
      </c>
      <c r="K14" s="33">
        <f>IF(J14=1,COUNTIF($J$2:J14,1),0)</f>
        <v/>
      </c>
    </row>
    <row r="15">
      <c r="A15" s="31" t="inlineStr">
        <is>
          <t>B</t>
        </is>
      </c>
      <c r="B15" s="23" t="inlineStr">
        <is>
          <t>Batería / No carga</t>
        </is>
      </c>
      <c r="C15" s="23" t="inlineStr">
        <is>
          <t>¿Carga de manera intermitente?</t>
        </is>
      </c>
      <c r="D15" s="31" t="inlineStr">
        <is>
          <t>YN</t>
        </is>
      </c>
      <c r="E15" s="32" t="n">
        <v>1</v>
      </c>
      <c r="F15" s="32" t="n">
        <v>1</v>
      </c>
      <c r="G15" s="32" t="n">
        <v>1</v>
      </c>
      <c r="H15" s="32" t="n">
        <v>1</v>
      </c>
      <c r="I15" s="33">
        <f>IF(C15="",0,IFERROR(INDEX($E15:$H15,MATCH('Recepción'!$E$5,$E$1:$H$1,0)),0))</f>
        <v/>
      </c>
      <c r="J15" s="33">
        <f>IF(I15=0,0,IF(A15="S",1,IF(OR(B15='Recepción'!$E$13,B15='Recepción'!$E$14,B15='Recepción'!$E$15,AND(B15="Contacto con líquido",'Recepción'!$B$32&lt;&gt;""),AND(B15="Golpe / Caída",'Recepción'!$B$31&lt;&gt;""),AND(B15="No enciende",'Recepción'!$C$34&lt;&gt;"")),1,0)))</f>
        <v/>
      </c>
      <c r="K15" s="33">
        <f>IF(J15=1,COUNTIF($J$2:J15,1),0)</f>
        <v/>
      </c>
    </row>
    <row r="16">
      <c r="A16" s="31" t="inlineStr">
        <is>
          <t>B</t>
        </is>
      </c>
      <c r="B16" s="23" t="inlineStr">
        <is>
          <t>Batería / No carga</t>
        </is>
      </c>
      <c r="C16" s="23" t="inlineStr">
        <is>
          <t>¿Debe mover el cable para que cargue?</t>
        </is>
      </c>
      <c r="D16" s="31" t="inlineStr">
        <is>
          <t>YN</t>
        </is>
      </c>
      <c r="E16" s="32" t="n">
        <v>1</v>
      </c>
      <c r="F16" s="32" t="n">
        <v>0</v>
      </c>
      <c r="G16" s="32" t="n">
        <v>1</v>
      </c>
      <c r="H16" s="32" t="n">
        <v>0</v>
      </c>
      <c r="I16" s="33">
        <f>IF(C16="",0,IFERROR(INDEX($E16:$H16,MATCH('Recepción'!$E$5,$E$1:$H$1,0)),0))</f>
        <v/>
      </c>
      <c r="J16" s="33">
        <f>IF(I16=0,0,IF(A16="S",1,IF(OR(B16='Recepción'!$E$13,B16='Recepción'!$E$14,B16='Recepción'!$E$15,AND(B16="Contacto con líquido",'Recepción'!$B$32&lt;&gt;""),AND(B16="Golpe / Caída",'Recepción'!$B$31&lt;&gt;""),AND(B16="No enciende",'Recepción'!$C$34&lt;&gt;"")),1,0)))</f>
        <v/>
      </c>
      <c r="K16" s="33">
        <f>IF(J16=1,COUNTIF($J$2:J16,1),0)</f>
        <v/>
      </c>
    </row>
    <row r="17">
      <c r="A17" s="31" t="inlineStr">
        <is>
          <t>B</t>
        </is>
      </c>
      <c r="B17" s="23" t="inlineStr">
        <is>
          <t>Batería / No carga</t>
        </is>
      </c>
      <c r="C17" s="23" t="inlineStr">
        <is>
          <t>¿Se descarga rápidamente?</t>
        </is>
      </c>
      <c r="D17" s="31" t="inlineStr">
        <is>
          <t>YN</t>
        </is>
      </c>
      <c r="E17" s="32" t="n">
        <v>1</v>
      </c>
      <c r="F17" s="32" t="n">
        <v>1</v>
      </c>
      <c r="G17" s="32" t="n">
        <v>1</v>
      </c>
      <c r="H17" s="32" t="n">
        <v>1</v>
      </c>
      <c r="I17" s="33">
        <f>IF(C17="",0,IFERROR(INDEX($E17:$H17,MATCH('Recepción'!$E$5,$E$1:$H$1,0)),0))</f>
        <v/>
      </c>
      <c r="J17" s="33">
        <f>IF(I17=0,0,IF(A17="S",1,IF(OR(B17='Recepción'!$E$13,B17='Recepción'!$E$14,B17='Recepción'!$E$15,AND(B17="Contacto con líquido",'Recepción'!$B$32&lt;&gt;""),AND(B17="Golpe / Caída",'Recepción'!$B$31&lt;&gt;""),AND(B17="No enciende",'Recepción'!$C$34&lt;&gt;"")),1,0)))</f>
        <v/>
      </c>
      <c r="K17" s="33">
        <f>IF(J17=1,COUNTIF($J$2:J17,1),0)</f>
        <v/>
      </c>
    </row>
    <row r="18">
      <c r="A18" s="31" t="inlineStr">
        <is>
          <t>B</t>
        </is>
      </c>
      <c r="B18" s="23" t="inlineStr">
        <is>
          <t>Batería / No carga</t>
        </is>
      </c>
      <c r="C18" s="23" t="inlineStr">
        <is>
          <t>¿Se apaga aunque indique que todavía tiene batería?</t>
        </is>
      </c>
      <c r="D18" s="31" t="inlineStr">
        <is>
          <t>YN</t>
        </is>
      </c>
      <c r="E18" s="32" t="n">
        <v>1</v>
      </c>
      <c r="F18" s="32" t="n">
        <v>1</v>
      </c>
      <c r="G18" s="32" t="n">
        <v>1</v>
      </c>
      <c r="H18" s="32" t="n">
        <v>1</v>
      </c>
      <c r="I18" s="33">
        <f>IF(C18="",0,IFERROR(INDEX($E18:$H18,MATCH('Recepción'!$E$5,$E$1:$H$1,0)),0))</f>
        <v/>
      </c>
      <c r="J18" s="33">
        <f>IF(I18=0,0,IF(A18="S",1,IF(OR(B18='Recepción'!$E$13,B18='Recepción'!$E$14,B18='Recepción'!$E$15,AND(B18="Contacto con líquido",'Recepción'!$B$32&lt;&gt;""),AND(B18="Golpe / Caída",'Recepción'!$B$31&lt;&gt;""),AND(B18="No enciende",'Recepción'!$C$34&lt;&gt;"")),1,0)))</f>
        <v/>
      </c>
      <c r="K18" s="33">
        <f>IF(J18=1,COUNTIF($J$2:J18,1),0)</f>
        <v/>
      </c>
    </row>
    <row r="19">
      <c r="A19" s="31" t="inlineStr">
        <is>
          <t>B</t>
        </is>
      </c>
      <c r="B19" s="23" t="inlineStr">
        <is>
          <t>Batería / No carga</t>
        </is>
      </c>
      <c r="C19" s="23" t="inlineStr">
        <is>
          <t>¿La batería está inflada o ha deformado el equipo?</t>
        </is>
      </c>
      <c r="D19" s="31" t="inlineStr">
        <is>
          <t>YN</t>
        </is>
      </c>
      <c r="E19" s="32" t="n">
        <v>1</v>
      </c>
      <c r="F19" s="32" t="n">
        <v>1</v>
      </c>
      <c r="G19" s="32" t="n">
        <v>1</v>
      </c>
      <c r="H19" s="32" t="n">
        <v>1</v>
      </c>
      <c r="I19" s="33">
        <f>IF(C19="",0,IFERROR(INDEX($E19:$H19,MATCH('Recepción'!$E$5,$E$1:$H$1,0)),0))</f>
        <v/>
      </c>
      <c r="J19" s="33">
        <f>IF(I19=0,0,IF(A19="S",1,IF(OR(B19='Recepción'!$E$13,B19='Recepción'!$E$14,B19='Recepción'!$E$15,AND(B19="Contacto con líquido",'Recepción'!$B$32&lt;&gt;""),AND(B19="Golpe / Caída",'Recepción'!$B$31&lt;&gt;""),AND(B19="No enciende",'Recepción'!$C$34&lt;&gt;"")),1,0)))</f>
        <v/>
      </c>
      <c r="K19" s="33">
        <f>IF(J19=1,COUNTIF($J$2:J19,1),0)</f>
        <v/>
      </c>
    </row>
    <row r="20">
      <c r="A20" s="31" t="inlineStr">
        <is>
          <t>B</t>
        </is>
      </c>
      <c r="B20" s="23" t="inlineStr">
        <is>
          <t>Batería / No carga</t>
        </is>
      </c>
      <c r="C20" s="23" t="inlineStr">
        <is>
          <t>¿Utiliza cargador original?</t>
        </is>
      </c>
      <c r="D20" s="31" t="inlineStr">
        <is>
          <t>YN</t>
        </is>
      </c>
      <c r="E20" s="32" t="n">
        <v>1</v>
      </c>
      <c r="F20" s="32" t="n">
        <v>1</v>
      </c>
      <c r="G20" s="32" t="n">
        <v>1</v>
      </c>
      <c r="H20" s="32" t="n">
        <v>1</v>
      </c>
      <c r="I20" s="33">
        <f>IF(C20="",0,IFERROR(INDEX($E20:$H20,MATCH('Recepción'!$E$5,$E$1:$H$1,0)),0))</f>
        <v/>
      </c>
      <c r="J20" s="33">
        <f>IF(I20=0,0,IF(A20="S",1,IF(OR(B20='Recepción'!$E$13,B20='Recepción'!$E$14,B20='Recepción'!$E$15,AND(B20="Contacto con líquido",'Recepción'!$B$32&lt;&gt;""),AND(B20="Golpe / Caída",'Recepción'!$B$31&lt;&gt;""),AND(B20="No enciende",'Recepción'!$C$34&lt;&gt;"")),1,0)))</f>
        <v/>
      </c>
      <c r="K20" s="33">
        <f>IF(J20=1,COUNTIF($J$2:J20,1),0)</f>
        <v/>
      </c>
    </row>
    <row r="21">
      <c r="A21" s="31" t="inlineStr">
        <is>
          <t>B</t>
        </is>
      </c>
      <c r="B21" s="23" t="inlineStr">
        <is>
          <t>Batería / No carga</t>
        </is>
      </c>
      <c r="C21" s="23" t="inlineStr">
        <is>
          <t>¿Ha probado otro cargador?</t>
        </is>
      </c>
      <c r="D21" s="31" t="inlineStr">
        <is>
          <t>YN</t>
        </is>
      </c>
      <c r="E21" s="32" t="n">
        <v>1</v>
      </c>
      <c r="F21" s="32" t="n">
        <v>1</v>
      </c>
      <c r="G21" s="32" t="n">
        <v>1</v>
      </c>
      <c r="H21" s="32" t="n">
        <v>1</v>
      </c>
      <c r="I21" s="33">
        <f>IF(C21="",0,IFERROR(INDEX($E21:$H21,MATCH('Recepción'!$E$5,$E$1:$H$1,0)),0))</f>
        <v/>
      </c>
      <c r="J21" s="33">
        <f>IF(I21=0,0,IF(A21="S",1,IF(OR(B21='Recepción'!$E$13,B21='Recepción'!$E$14,B21='Recepción'!$E$15,AND(B21="Contacto con líquido",'Recepción'!$B$32&lt;&gt;""),AND(B21="Golpe / Caída",'Recepción'!$B$31&lt;&gt;""),AND(B21="No enciende",'Recepción'!$C$34&lt;&gt;"")),1,0)))</f>
        <v/>
      </c>
      <c r="K21" s="33">
        <f>IF(J21=1,COUNTIF($J$2:J21,1),0)</f>
        <v/>
      </c>
    </row>
    <row r="22">
      <c r="A22" s="31" t="inlineStr">
        <is>
          <t>B</t>
        </is>
      </c>
      <c r="B22" s="23" t="inlineStr">
        <is>
          <t>Batería / No carga</t>
        </is>
      </c>
      <c r="C22" s="23" t="inlineStr">
        <is>
          <t>¿Carga lenta o se detiene en cierto porcentaje?</t>
        </is>
      </c>
      <c r="D22" s="31" t="inlineStr">
        <is>
          <t>YN</t>
        </is>
      </c>
      <c r="E22" s="32" t="n">
        <v>1</v>
      </c>
      <c r="F22" s="32" t="n">
        <v>0</v>
      </c>
      <c r="G22" s="32" t="n">
        <v>0</v>
      </c>
      <c r="H22" s="32" t="n">
        <v>0</v>
      </c>
      <c r="I22" s="33">
        <f>IF(C22="",0,IFERROR(INDEX($E22:$H22,MATCH('Recepción'!$E$5,$E$1:$H$1,0)),0))</f>
        <v/>
      </c>
      <c r="J22" s="33">
        <f>IF(I22=0,0,IF(A22="S",1,IF(OR(B22='Recepción'!$E$13,B22='Recepción'!$E$14,B22='Recepción'!$E$15,AND(B22="Contacto con líquido",'Recepción'!$B$32&lt;&gt;""),AND(B22="Golpe / Caída",'Recepción'!$B$31&lt;&gt;""),AND(B22="No enciende",'Recepción'!$C$34&lt;&gt;"")),1,0)))</f>
        <v/>
      </c>
      <c r="K22" s="33">
        <f>IF(J22=1,COUNTIF($J$2:J22,1),0)</f>
        <v/>
      </c>
    </row>
    <row r="23">
      <c r="A23" s="31" t="inlineStr">
        <is>
          <t>B</t>
        </is>
      </c>
      <c r="B23" s="23" t="inlineStr">
        <is>
          <t>Batería / No carga</t>
        </is>
      </c>
      <c r="C23" s="23" t="inlineStr">
        <is>
          <t>¿El puerto de carga está flojo o sucio?</t>
        </is>
      </c>
      <c r="D23" s="31" t="inlineStr">
        <is>
          <t>YN</t>
        </is>
      </c>
      <c r="E23" s="32" t="n">
        <v>1</v>
      </c>
      <c r="F23" s="32" t="n">
        <v>0</v>
      </c>
      <c r="G23" s="32" t="n">
        <v>1</v>
      </c>
      <c r="H23" s="32" t="n">
        <v>0</v>
      </c>
      <c r="I23" s="33">
        <f>IF(C23="",0,IFERROR(INDEX($E23:$H23,MATCH('Recepción'!$E$5,$E$1:$H$1,0)),0))</f>
        <v/>
      </c>
      <c r="J23" s="33">
        <f>IF(I23=0,0,IF(A23="S",1,IF(OR(B23='Recepción'!$E$13,B23='Recepción'!$E$14,B23='Recepción'!$E$15,AND(B23="Contacto con líquido",'Recepción'!$B$32&lt;&gt;""),AND(B23="Golpe / Caída",'Recepción'!$B$31&lt;&gt;""),AND(B23="No enciende",'Recepción'!$C$34&lt;&gt;"")),1,0)))</f>
        <v/>
      </c>
      <c r="K23" s="33">
        <f>IF(J23=1,COUNTIF($J$2:J23,1),0)</f>
        <v/>
      </c>
    </row>
    <row r="24">
      <c r="A24" s="31" t="inlineStr">
        <is>
          <t>B</t>
        </is>
      </c>
      <c r="B24" s="23" t="inlineStr">
        <is>
          <t>Batería / No carga</t>
        </is>
      </c>
      <c r="C24" s="23" t="inlineStr">
        <is>
          <t>¿La base de carga está limpia y sin daños?</t>
        </is>
      </c>
      <c r="D24" s="31" t="inlineStr">
        <is>
          <t>YN</t>
        </is>
      </c>
      <c r="E24" s="32" t="n">
        <v>0</v>
      </c>
      <c r="F24" s="32" t="n">
        <v>1</v>
      </c>
      <c r="G24" s="32" t="n">
        <v>0</v>
      </c>
      <c r="H24" s="32" t="n">
        <v>0</v>
      </c>
      <c r="I24" s="33">
        <f>IF(C24="",0,IFERROR(INDEX($E24:$H24,MATCH('Recepción'!$E$5,$E$1:$H$1,0)),0))</f>
        <v/>
      </c>
      <c r="J24" s="33">
        <f>IF(I24=0,0,IF(A24="S",1,IF(OR(B24='Recepción'!$E$13,B24='Recepción'!$E$14,B24='Recepción'!$E$15,AND(B24="Contacto con líquido",'Recepción'!$B$32&lt;&gt;""),AND(B24="Golpe / Caída",'Recepción'!$B$31&lt;&gt;""),AND(B24="No enciende",'Recepción'!$C$34&lt;&gt;"")),1,0)))</f>
        <v/>
      </c>
      <c r="K24" s="33">
        <f>IF(J24=1,COUNTIF($J$2:J24,1),0)</f>
        <v/>
      </c>
    </row>
    <row r="25">
      <c r="A25" s="31" t="inlineStr">
        <is>
          <t>B</t>
        </is>
      </c>
      <c r="B25" s="23" t="inlineStr">
        <is>
          <t>Batería / No carga</t>
        </is>
      </c>
      <c r="C25" s="23" t="inlineStr">
        <is>
          <t>¿Enciende el indicador LED del cargador?</t>
        </is>
      </c>
      <c r="D25" s="31" t="inlineStr">
        <is>
          <t>YN</t>
        </is>
      </c>
      <c r="E25" s="32" t="n">
        <v>0</v>
      </c>
      <c r="F25" s="32" t="n">
        <v>0</v>
      </c>
      <c r="G25" s="32" t="n">
        <v>1</v>
      </c>
      <c r="H25" s="32" t="n">
        <v>0</v>
      </c>
      <c r="I25" s="33">
        <f>IF(C25="",0,IFERROR(INDEX($E25:$H25,MATCH('Recepción'!$E$5,$E$1:$H$1,0)),0))</f>
        <v/>
      </c>
      <c r="J25" s="33">
        <f>IF(I25=0,0,IF(A25="S",1,IF(OR(B25='Recepción'!$E$13,B25='Recepción'!$E$14,B25='Recepción'!$E$15,AND(B25="Contacto con líquido",'Recepción'!$B$32&lt;&gt;""),AND(B25="Golpe / Caída",'Recepción'!$B$31&lt;&gt;""),AND(B25="No enciende",'Recepción'!$C$34&lt;&gt;"")),1,0)))</f>
        <v/>
      </c>
      <c r="K25" s="33">
        <f>IF(J25=1,COUNTIF($J$2:J25,1),0)</f>
        <v/>
      </c>
    </row>
    <row r="26">
      <c r="A26" s="31" t="inlineStr">
        <is>
          <t>B</t>
        </is>
      </c>
      <c r="B26" s="23" t="inlineStr">
        <is>
          <t>Batería / No carga</t>
        </is>
      </c>
      <c r="C26" s="23" t="inlineStr">
        <is>
          <t>¿Aparece el mensaje «conectado, no carga»?</t>
        </is>
      </c>
      <c r="D26" s="31" t="inlineStr">
        <is>
          <t>YN</t>
        </is>
      </c>
      <c r="E26" s="32" t="n">
        <v>0</v>
      </c>
      <c r="F26" s="32" t="n">
        <v>0</v>
      </c>
      <c r="G26" s="32" t="n">
        <v>1</v>
      </c>
      <c r="H26" s="32" t="n">
        <v>0</v>
      </c>
      <c r="I26" s="33">
        <f>IF(C26="",0,IFERROR(INDEX($E26:$H26,MATCH('Recepción'!$E$5,$E$1:$H$1,0)),0))</f>
        <v/>
      </c>
      <c r="J26" s="33">
        <f>IF(I26=0,0,IF(A26="S",1,IF(OR(B26='Recepción'!$E$13,B26='Recepción'!$E$14,B26='Recepción'!$E$15,AND(B26="Contacto con líquido",'Recepción'!$B$32&lt;&gt;""),AND(B26="Golpe / Caída",'Recepción'!$B$31&lt;&gt;""),AND(B26="No enciende",'Recepción'!$C$34&lt;&gt;"")),1,0)))</f>
        <v/>
      </c>
      <c r="K26" s="33">
        <f>IF(J26=1,COUNTIF($J$2:J26,1),0)</f>
        <v/>
      </c>
    </row>
    <row r="27">
      <c r="A27" s="31" t="inlineStr">
        <is>
          <t>B</t>
        </is>
      </c>
      <c r="B27" s="23" t="inlineStr">
        <is>
          <t>Batería / No carga</t>
        </is>
      </c>
      <c r="C27" s="23" t="inlineStr">
        <is>
          <t>¿Es una consola portátil (Switch, Steam Deck, ROG Ally)?</t>
        </is>
      </c>
      <c r="D27" s="31" t="inlineStr">
        <is>
          <t>YN</t>
        </is>
      </c>
      <c r="E27" s="32" t="n">
        <v>0</v>
      </c>
      <c r="F27" s="32" t="n">
        <v>0</v>
      </c>
      <c r="G27" s="32" t="n">
        <v>0</v>
      </c>
      <c r="H27" s="32" t="n">
        <v>1</v>
      </c>
      <c r="I27" s="33">
        <f>IF(C27="",0,IFERROR(INDEX($E27:$H27,MATCH('Recepción'!$E$5,$E$1:$H$1,0)),0))</f>
        <v/>
      </c>
      <c r="J27" s="33">
        <f>IF(I27=0,0,IF(A27="S",1,IF(OR(B27='Recepción'!$E$13,B27='Recepción'!$E$14,B27='Recepción'!$E$15,AND(B27="Contacto con líquido",'Recepción'!$B$32&lt;&gt;""),AND(B27="Golpe / Caída",'Recepción'!$B$31&lt;&gt;""),AND(B27="No enciende",'Recepción'!$C$34&lt;&gt;"")),1,0)))</f>
        <v/>
      </c>
      <c r="K27" s="33">
        <f>IF(J27=1,COUNTIF($J$2:J27,1),0)</f>
        <v/>
      </c>
    </row>
    <row r="28">
      <c r="A28" s="31" t="inlineStr">
        <is>
          <t>B</t>
        </is>
      </c>
      <c r="B28" s="23" t="inlineStr">
        <is>
          <t>Batería / No carga</t>
        </is>
      </c>
      <c r="C28" s="23" t="inlineStr">
        <is>
          <t>Autonomía aproximada reportada (horas/minutos)</t>
        </is>
      </c>
      <c r="D28" s="31" t="inlineStr">
        <is>
          <t>TXT</t>
        </is>
      </c>
      <c r="E28" s="32" t="n">
        <v>1</v>
      </c>
      <c r="F28" s="32" t="n">
        <v>1</v>
      </c>
      <c r="G28" s="32" t="n">
        <v>1</v>
      </c>
      <c r="H28" s="32" t="n">
        <v>1</v>
      </c>
      <c r="I28" s="33">
        <f>IF(C28="",0,IFERROR(INDEX($E28:$H28,MATCH('Recepción'!$E$5,$E$1:$H$1,0)),0))</f>
        <v/>
      </c>
      <c r="J28" s="33">
        <f>IF(I28=0,0,IF(A28="S",1,IF(OR(B28='Recepción'!$E$13,B28='Recepción'!$E$14,B28='Recepción'!$E$15,AND(B28="Contacto con líquido",'Recepción'!$B$32&lt;&gt;""),AND(B28="Golpe / Caída",'Recepción'!$B$31&lt;&gt;""),AND(B28="No enciende",'Recepción'!$C$34&lt;&gt;"")),1,0)))</f>
        <v/>
      </c>
      <c r="K28" s="33">
        <f>IF(J28=1,COUNTIF($J$2:J28,1),0)</f>
        <v/>
      </c>
    </row>
    <row r="29">
      <c r="A29" s="31" t="inlineStr">
        <is>
          <t>B</t>
        </is>
      </c>
      <c r="B29" s="23" t="inlineStr">
        <is>
          <t>Calentamiento / Se apaga</t>
        </is>
      </c>
      <c r="C29" s="23" t="inlineStr">
        <is>
          <t>Se calienta en: uso normal</t>
        </is>
      </c>
      <c r="D29" s="31" t="inlineStr">
        <is>
          <t>CHK</t>
        </is>
      </c>
      <c r="E29" s="32" t="n">
        <v>1</v>
      </c>
      <c r="F29" s="32" t="n">
        <v>0</v>
      </c>
      <c r="G29" s="32" t="n">
        <v>1</v>
      </c>
      <c r="H29" s="32" t="n">
        <v>1</v>
      </c>
      <c r="I29" s="33">
        <f>IF(C29="",0,IFERROR(INDEX($E29:$H29,MATCH('Recepción'!$E$5,$E$1:$H$1,0)),0))</f>
        <v/>
      </c>
      <c r="J29" s="33">
        <f>IF(I29=0,0,IF(A29="S",1,IF(OR(B29='Recepción'!$E$13,B29='Recepción'!$E$14,B29='Recepción'!$E$15,AND(B29="Contacto con líquido",'Recepción'!$B$32&lt;&gt;""),AND(B29="Golpe / Caída",'Recepción'!$B$31&lt;&gt;""),AND(B29="No enciende",'Recepción'!$C$34&lt;&gt;"")),1,0)))</f>
        <v/>
      </c>
      <c r="K29" s="33">
        <f>IF(J29=1,COUNTIF($J$2:J29,1),0)</f>
        <v/>
      </c>
    </row>
    <row r="30">
      <c r="A30" s="31" t="inlineStr">
        <is>
          <t>B</t>
        </is>
      </c>
      <c r="B30" s="23" t="inlineStr">
        <is>
          <t>Calentamiento / Se apaga</t>
        </is>
      </c>
      <c r="C30" s="23" t="inlineStr">
        <is>
          <t>Se calienta en: juegos</t>
        </is>
      </c>
      <c r="D30" s="31" t="inlineStr">
        <is>
          <t>CHK</t>
        </is>
      </c>
      <c r="E30" s="32" t="n">
        <v>1</v>
      </c>
      <c r="F30" s="32" t="n">
        <v>0</v>
      </c>
      <c r="G30" s="32" t="n">
        <v>1</v>
      </c>
      <c r="H30" s="32" t="n">
        <v>1</v>
      </c>
      <c r="I30" s="33">
        <f>IF(C30="",0,IFERROR(INDEX($E30:$H30,MATCH('Recepción'!$E$5,$E$1:$H$1,0)),0))</f>
        <v/>
      </c>
      <c r="J30" s="33">
        <f>IF(I30=0,0,IF(A30="S",1,IF(OR(B30='Recepción'!$E$13,B30='Recepción'!$E$14,B30='Recepción'!$E$15,AND(B30="Contacto con líquido",'Recepción'!$B$32&lt;&gt;""),AND(B30="Golpe / Caída",'Recepción'!$B$31&lt;&gt;""),AND(B30="No enciende",'Recepción'!$C$34&lt;&gt;"")),1,0)))</f>
        <v/>
      </c>
      <c r="K30" s="33">
        <f>IF(J30=1,COUNTIF($J$2:J30,1),0)</f>
        <v/>
      </c>
    </row>
    <row r="31">
      <c r="A31" s="31" t="inlineStr">
        <is>
          <t>B</t>
        </is>
      </c>
      <c r="B31" s="23" t="inlineStr">
        <is>
          <t>Calentamiento / Se apaga</t>
        </is>
      </c>
      <c r="C31" s="23" t="inlineStr">
        <is>
          <t>Se calienta en: cargando</t>
        </is>
      </c>
      <c r="D31" s="31" t="inlineStr">
        <is>
          <t>CHK</t>
        </is>
      </c>
      <c r="E31" s="32" t="n">
        <v>1</v>
      </c>
      <c r="F31" s="32" t="n">
        <v>0</v>
      </c>
      <c r="G31" s="32" t="n">
        <v>1</v>
      </c>
      <c r="H31" s="32" t="n">
        <v>1</v>
      </c>
      <c r="I31" s="33">
        <f>IF(C31="",0,IFERROR(INDEX($E31:$H31,MATCH('Recepción'!$E$5,$E$1:$H$1,0)),0))</f>
        <v/>
      </c>
      <c r="J31" s="33">
        <f>IF(I31=0,0,IF(A31="S",1,IF(OR(B31='Recepción'!$E$13,B31='Recepción'!$E$14,B31='Recepción'!$E$15,AND(B31="Contacto con líquido",'Recepción'!$B$32&lt;&gt;""),AND(B31="Golpe / Caída",'Recepción'!$B$31&lt;&gt;""),AND(B31="No enciende",'Recepción'!$C$34&lt;&gt;"")),1,0)))</f>
        <v/>
      </c>
      <c r="K31" s="33">
        <f>IF(J31=1,COUNTIF($J$2:J31,1),0)</f>
        <v/>
      </c>
    </row>
    <row r="32">
      <c r="A32" s="31" t="inlineStr">
        <is>
          <t>B</t>
        </is>
      </c>
      <c r="B32" s="23" t="inlineStr">
        <is>
          <t>Calentamiento / Se apaga</t>
        </is>
      </c>
      <c r="C32" s="23" t="inlineStr">
        <is>
          <t>Se calienta en: siempre</t>
        </is>
      </c>
      <c r="D32" s="31" t="inlineStr">
        <is>
          <t>CHK</t>
        </is>
      </c>
      <c r="E32" s="32" t="n">
        <v>1</v>
      </c>
      <c r="F32" s="32" t="n">
        <v>0</v>
      </c>
      <c r="G32" s="32" t="n">
        <v>1</v>
      </c>
      <c r="H32" s="32" t="n">
        <v>1</v>
      </c>
      <c r="I32" s="33">
        <f>IF(C32="",0,IFERROR(INDEX($E32:$H32,MATCH('Recepción'!$E$5,$E$1:$H$1,0)),0))</f>
        <v/>
      </c>
      <c r="J32" s="33">
        <f>IF(I32=0,0,IF(A32="S",1,IF(OR(B32='Recepción'!$E$13,B32='Recepción'!$E$14,B32='Recepción'!$E$15,AND(B32="Contacto con líquido",'Recepción'!$B$32&lt;&gt;""),AND(B32="Golpe / Caída",'Recepción'!$B$31&lt;&gt;""),AND(B32="No enciende",'Recepción'!$C$34&lt;&gt;"")),1,0)))</f>
        <v/>
      </c>
      <c r="K32" s="33">
        <f>IF(J32=1,COUNTIF($J$2:J32,1),0)</f>
        <v/>
      </c>
    </row>
    <row r="33">
      <c r="A33" s="31" t="inlineStr">
        <is>
          <t>B</t>
        </is>
      </c>
      <c r="B33" s="23" t="inlineStr">
        <is>
          <t>Calentamiento / Se apaga</t>
        </is>
      </c>
      <c r="C33" s="23" t="inlineStr">
        <is>
          <t>¿Se apaga o reinicia cuando se calienta?</t>
        </is>
      </c>
      <c r="D33" s="31" t="inlineStr">
        <is>
          <t>YN</t>
        </is>
      </c>
      <c r="E33" s="32" t="n">
        <v>1</v>
      </c>
      <c r="F33" s="32" t="n">
        <v>0</v>
      </c>
      <c r="G33" s="32" t="n">
        <v>1</v>
      </c>
      <c r="H33" s="32" t="n">
        <v>1</v>
      </c>
      <c r="I33" s="33">
        <f>IF(C33="",0,IFERROR(INDEX($E33:$H33,MATCH('Recepción'!$E$5,$E$1:$H$1,0)),0))</f>
        <v/>
      </c>
      <c r="J33" s="33">
        <f>IF(I33=0,0,IF(A33="S",1,IF(OR(B33='Recepción'!$E$13,B33='Recepción'!$E$14,B33='Recepción'!$E$15,AND(B33="Contacto con líquido",'Recepción'!$B$32&lt;&gt;""),AND(B33="Golpe / Caída",'Recepción'!$B$31&lt;&gt;""),AND(B33="No enciende",'Recepción'!$C$34&lt;&gt;"")),1,0)))</f>
        <v/>
      </c>
      <c r="K33" s="33">
        <f>IF(J33=1,COUNTIF($J$2:J33,1),0)</f>
        <v/>
      </c>
    </row>
    <row r="34">
      <c r="A34" s="31" t="inlineStr">
        <is>
          <t>B</t>
        </is>
      </c>
      <c r="B34" s="23" t="inlineStr">
        <is>
          <t>Calentamiento / Se apaga</t>
        </is>
      </c>
      <c r="C34" s="23" t="inlineStr">
        <is>
          <t>¿Ha notado pérdida de rendimiento?</t>
        </is>
      </c>
      <c r="D34" s="31" t="inlineStr">
        <is>
          <t>YN</t>
        </is>
      </c>
      <c r="E34" s="32" t="n">
        <v>1</v>
      </c>
      <c r="F34" s="32" t="n">
        <v>0</v>
      </c>
      <c r="G34" s="32" t="n">
        <v>1</v>
      </c>
      <c r="H34" s="32" t="n">
        <v>1</v>
      </c>
      <c r="I34" s="33">
        <f>IF(C34="",0,IFERROR(INDEX($E34:$H34,MATCH('Recepción'!$E$5,$E$1:$H$1,0)),0))</f>
        <v/>
      </c>
      <c r="J34" s="33">
        <f>IF(I34=0,0,IF(A34="S",1,IF(OR(B34='Recepción'!$E$13,B34='Recepción'!$E$14,B34='Recepción'!$E$15,AND(B34="Contacto con líquido",'Recepción'!$B$32&lt;&gt;""),AND(B34="Golpe / Caída",'Recepción'!$B$31&lt;&gt;""),AND(B34="No enciende",'Recepción'!$C$34&lt;&gt;"")),1,0)))</f>
        <v/>
      </c>
      <c r="K34" s="33">
        <f>IF(J34=1,COUNTIF($J$2:J34,1),0)</f>
        <v/>
      </c>
    </row>
    <row r="35">
      <c r="A35" s="31" t="inlineStr">
        <is>
          <t>B</t>
        </is>
      </c>
      <c r="B35" s="23" t="inlineStr">
        <is>
          <t>Calentamiento / Se apaga</t>
        </is>
      </c>
      <c r="C35" s="23" t="inlineStr">
        <is>
          <t>¿En qué zona se calienta (batería, cámara, parte superior)?</t>
        </is>
      </c>
      <c r="D35" s="31" t="inlineStr">
        <is>
          <t>TXT</t>
        </is>
      </c>
      <c r="E35" s="32" t="n">
        <v>1</v>
      </c>
      <c r="F35" s="32" t="n">
        <v>0</v>
      </c>
      <c r="G35" s="32" t="n">
        <v>0</v>
      </c>
      <c r="H35" s="32" t="n">
        <v>0</v>
      </c>
      <c r="I35" s="33">
        <f>IF(C35="",0,IFERROR(INDEX($E35:$H35,MATCH('Recepción'!$E$5,$E$1:$H$1,0)),0))</f>
        <v/>
      </c>
      <c r="J35" s="33">
        <f>IF(I35=0,0,IF(A35="S",1,IF(OR(B35='Recepción'!$E$13,B35='Recepción'!$E$14,B35='Recepción'!$E$15,AND(B35="Contacto con líquido",'Recepción'!$B$32&lt;&gt;""),AND(B35="Golpe / Caída",'Recepción'!$B$31&lt;&gt;""),AND(B35="No enciende",'Recepción'!$C$34&lt;&gt;"")),1,0)))</f>
        <v/>
      </c>
      <c r="K35" s="33">
        <f>IF(J35=1,COUNTIF($J$2:J35,1),0)</f>
        <v/>
      </c>
    </row>
    <row r="36">
      <c r="A36" s="31" t="inlineStr">
        <is>
          <t>B</t>
        </is>
      </c>
      <c r="B36" s="23" t="inlineStr">
        <is>
          <t>Calentamiento / Se apaga</t>
        </is>
      </c>
      <c r="C36" s="23" t="inlineStr">
        <is>
          <t>¿Usa funda gruesa o lo utiliza mientras carga?</t>
        </is>
      </c>
      <c r="D36" s="31" t="inlineStr">
        <is>
          <t>YN</t>
        </is>
      </c>
      <c r="E36" s="32" t="n">
        <v>1</v>
      </c>
      <c r="F36" s="32" t="n">
        <v>0</v>
      </c>
      <c r="G36" s="32" t="n">
        <v>0</v>
      </c>
      <c r="H36" s="32" t="n">
        <v>0</v>
      </c>
      <c r="I36" s="33">
        <f>IF(C36="",0,IFERROR(INDEX($E36:$H36,MATCH('Recepción'!$E$5,$E$1:$H$1,0)),0))</f>
        <v/>
      </c>
      <c r="J36" s="33">
        <f>IF(I36=0,0,IF(A36="S",1,IF(OR(B36='Recepción'!$E$13,B36='Recepción'!$E$14,B36='Recepción'!$E$15,AND(B36="Contacto con líquido",'Recepción'!$B$32&lt;&gt;""),AND(B36="Golpe / Caída",'Recepción'!$B$31&lt;&gt;""),AND(B36="No enciende",'Recepción'!$C$34&lt;&gt;"")),1,0)))</f>
        <v/>
      </c>
      <c r="K36" s="33">
        <f>IF(J36=1,COUNTIF($J$2:J36,1),0)</f>
        <v/>
      </c>
    </row>
    <row r="37">
      <c r="A37" s="31" t="inlineStr">
        <is>
          <t>B</t>
        </is>
      </c>
      <c r="B37" s="23" t="inlineStr">
        <is>
          <t>Calentamiento / Se apaga</t>
        </is>
      </c>
      <c r="C37" s="23" t="inlineStr">
        <is>
          <t>¿Los ventiladores hacen mucho ruido?</t>
        </is>
      </c>
      <c r="D37" s="31" t="inlineStr">
        <is>
          <t>YN</t>
        </is>
      </c>
      <c r="E37" s="32" t="n">
        <v>0</v>
      </c>
      <c r="F37" s="32" t="n">
        <v>0</v>
      </c>
      <c r="G37" s="32" t="n">
        <v>1</v>
      </c>
      <c r="H37" s="32" t="n">
        <v>1</v>
      </c>
      <c r="I37" s="33">
        <f>IF(C37="",0,IFERROR(INDEX($E37:$H37,MATCH('Recepción'!$E$5,$E$1:$H$1,0)),0))</f>
        <v/>
      </c>
      <c r="J37" s="33">
        <f>IF(I37=0,0,IF(A37="S",1,IF(OR(B37='Recepción'!$E$13,B37='Recepción'!$E$14,B37='Recepción'!$E$15,AND(B37="Contacto con líquido",'Recepción'!$B$32&lt;&gt;""),AND(B37="Golpe / Caída",'Recepción'!$B$31&lt;&gt;""),AND(B37="No enciende",'Recepción'!$C$34&lt;&gt;"")),1,0)))</f>
        <v/>
      </c>
      <c r="K37" s="33">
        <f>IF(J37=1,COUNTIF($J$2:J37,1),0)</f>
        <v/>
      </c>
    </row>
    <row r="38">
      <c r="A38" s="31" t="inlineStr">
        <is>
          <t>B</t>
        </is>
      </c>
      <c r="B38" s="23" t="inlineStr">
        <is>
          <t>Calentamiento / Se apaga</t>
        </is>
      </c>
      <c r="C38" s="23" t="inlineStr">
        <is>
          <t>¿Las rejillas de ventilación tienen polvo o están tapadas?</t>
        </is>
      </c>
      <c r="D38" s="31" t="inlineStr">
        <is>
          <t>YN</t>
        </is>
      </c>
      <c r="E38" s="32" t="n">
        <v>0</v>
      </c>
      <c r="F38" s="32" t="n">
        <v>0</v>
      </c>
      <c r="G38" s="32" t="n">
        <v>1</v>
      </c>
      <c r="H38" s="32" t="n">
        <v>1</v>
      </c>
      <c r="I38" s="33">
        <f>IF(C38="",0,IFERROR(INDEX($E38:$H38,MATCH('Recepción'!$E$5,$E$1:$H$1,0)),0))</f>
        <v/>
      </c>
      <c r="J38" s="33">
        <f>IF(I38=0,0,IF(A38="S",1,IF(OR(B38='Recepción'!$E$13,B38='Recepción'!$E$14,B38='Recepción'!$E$15,AND(B38="Contacto con líquido",'Recepción'!$B$32&lt;&gt;""),AND(B38="Golpe / Caída",'Recepción'!$B$31&lt;&gt;""),AND(B38="No enciende",'Recepción'!$C$34&lt;&gt;"")),1,0)))</f>
        <v/>
      </c>
      <c r="K38" s="33">
        <f>IF(J38=1,COUNTIF($J$2:J38,1),0)</f>
        <v/>
      </c>
    </row>
    <row r="39">
      <c r="A39" s="31" t="inlineStr">
        <is>
          <t>B</t>
        </is>
      </c>
      <c r="B39" s="23" t="inlineStr">
        <is>
          <t>Calentamiento / Se apaga</t>
        </is>
      </c>
      <c r="C39" s="23" t="inlineStr">
        <is>
          <t>¿Cuándo fue el último mantenimiento o limpieza?</t>
        </is>
      </c>
      <c r="D39" s="31" t="inlineStr">
        <is>
          <t>TXT</t>
        </is>
      </c>
      <c r="E39" s="32" t="n">
        <v>0</v>
      </c>
      <c r="F39" s="32" t="n">
        <v>0</v>
      </c>
      <c r="G39" s="32" t="n">
        <v>1</v>
      </c>
      <c r="H39" s="32" t="n">
        <v>1</v>
      </c>
      <c r="I39" s="33">
        <f>IF(C39="",0,IFERROR(INDEX($E39:$H39,MATCH('Recepción'!$E$5,$E$1:$H$1,0)),0))</f>
        <v/>
      </c>
      <c r="J39" s="33">
        <f>IF(I39=0,0,IF(A39="S",1,IF(OR(B39='Recepción'!$E$13,B39='Recepción'!$E$14,B39='Recepción'!$E$15,AND(B39="Contacto con líquido",'Recepción'!$B$32&lt;&gt;""),AND(B39="Golpe / Caída",'Recepción'!$B$31&lt;&gt;""),AND(B39="No enciende",'Recepción'!$C$34&lt;&gt;"")),1,0)))</f>
        <v/>
      </c>
      <c r="K39" s="33">
        <f>IF(J39=1,COUNTIF($J$2:J39,1),0)</f>
        <v/>
      </c>
    </row>
    <row r="40">
      <c r="A40" s="31" t="inlineStr">
        <is>
          <t>B</t>
        </is>
      </c>
      <c r="B40" s="23" t="inlineStr">
        <is>
          <t>Calentamiento / Se apaga</t>
        </is>
      </c>
      <c r="C40" s="23" t="inlineStr">
        <is>
          <t>¿Está ubicada en un espacio cerrado o sin ventilación?</t>
        </is>
      </c>
      <c r="D40" s="31" t="inlineStr">
        <is>
          <t>YN</t>
        </is>
      </c>
      <c r="E40" s="32" t="n">
        <v>0</v>
      </c>
      <c r="F40" s="32" t="n">
        <v>0</v>
      </c>
      <c r="G40" s="32" t="n">
        <v>0</v>
      </c>
      <c r="H40" s="32" t="n">
        <v>1</v>
      </c>
      <c r="I40" s="33">
        <f>IF(C40="",0,IFERROR(INDEX($E40:$H40,MATCH('Recepción'!$E$5,$E$1:$H$1,0)),0))</f>
        <v/>
      </c>
      <c r="J40" s="33">
        <f>IF(I40=0,0,IF(A40="S",1,IF(OR(B40='Recepción'!$E$13,B40='Recepción'!$E$14,B40='Recepción'!$E$15,AND(B40="Contacto con líquido",'Recepción'!$B$32&lt;&gt;""),AND(B40="Golpe / Caída",'Recepción'!$B$31&lt;&gt;""),AND(B40="No enciende",'Recepción'!$C$34&lt;&gt;"")),1,0)))</f>
        <v/>
      </c>
      <c r="K40" s="33">
        <f>IF(J40=1,COUNTIF($J$2:J40,1),0)</f>
        <v/>
      </c>
    </row>
    <row r="41">
      <c r="A41" s="31" t="inlineStr">
        <is>
          <t>B</t>
        </is>
      </c>
      <c r="B41" s="23" t="inlineStr">
        <is>
          <t>Calentamiento / Se apaga</t>
        </is>
      </c>
      <c r="C41" s="23" t="inlineStr">
        <is>
          <t>¿Se apaga durante los juegos?</t>
        </is>
      </c>
      <c r="D41" s="31" t="inlineStr">
        <is>
          <t>YN</t>
        </is>
      </c>
      <c r="E41" s="32" t="n">
        <v>0</v>
      </c>
      <c r="F41" s="32" t="n">
        <v>0</v>
      </c>
      <c r="G41" s="32" t="n">
        <v>0</v>
      </c>
      <c r="H41" s="32" t="n">
        <v>1</v>
      </c>
      <c r="I41" s="33">
        <f>IF(C41="",0,IFERROR(INDEX($E41:$H41,MATCH('Recepción'!$E$5,$E$1:$H$1,0)),0))</f>
        <v/>
      </c>
      <c r="J41" s="33">
        <f>IF(I41=0,0,IF(A41="S",1,IF(OR(B41='Recepción'!$E$13,B41='Recepción'!$E$14,B41='Recepción'!$E$15,AND(B41="Contacto con líquido",'Recepción'!$B$32&lt;&gt;""),AND(B41="Golpe / Caída",'Recepción'!$B$31&lt;&gt;""),AND(B41="No enciende",'Recepción'!$C$34&lt;&gt;"")),1,0)))</f>
        <v/>
      </c>
      <c r="K41" s="33">
        <f>IF(J41=1,COUNTIF($J$2:J41,1),0)</f>
        <v/>
      </c>
    </row>
    <row r="42">
      <c r="A42" s="31" t="inlineStr">
        <is>
          <t>B</t>
        </is>
      </c>
      <c r="B42" s="23" t="inlineStr">
        <is>
          <t>Contacto con líquido</t>
        </is>
      </c>
      <c r="C42" s="23" t="inlineStr">
        <is>
          <t>Tipo de líquido: Agua</t>
        </is>
      </c>
      <c r="D42" s="31" t="inlineStr">
        <is>
          <t>CHK</t>
        </is>
      </c>
      <c r="E42" s="32" t="n">
        <v>1</v>
      </c>
      <c r="F42" s="32" t="n">
        <v>1</v>
      </c>
      <c r="G42" s="32" t="n">
        <v>1</v>
      </c>
      <c r="H42" s="32" t="n">
        <v>1</v>
      </c>
      <c r="I42" s="33">
        <f>IF(C42="",0,IFERROR(INDEX($E42:$H42,MATCH('Recepción'!$E$5,$E$1:$H$1,0)),0))</f>
        <v/>
      </c>
      <c r="J42" s="33">
        <f>IF(I42=0,0,IF(A42="S",1,IF(OR(B42='Recepción'!$E$13,B42='Recepción'!$E$14,B42='Recepción'!$E$15,AND(B42="Contacto con líquido",'Recepción'!$B$32&lt;&gt;""),AND(B42="Golpe / Caída",'Recepción'!$B$31&lt;&gt;""),AND(B42="No enciende",'Recepción'!$C$34&lt;&gt;"")),1,0)))</f>
        <v/>
      </c>
      <c r="K42" s="33">
        <f>IF(J42=1,COUNTIF($J$2:J42,1),0)</f>
        <v/>
      </c>
    </row>
    <row r="43">
      <c r="A43" s="31" t="inlineStr">
        <is>
          <t>B</t>
        </is>
      </c>
      <c r="B43" s="23" t="inlineStr">
        <is>
          <t>Contacto con líquido</t>
        </is>
      </c>
      <c r="C43" s="23" t="inlineStr">
        <is>
          <t>Tipo de líquido: Agua de piscina</t>
        </is>
      </c>
      <c r="D43" s="31" t="inlineStr">
        <is>
          <t>CHK</t>
        </is>
      </c>
      <c r="E43" s="32" t="n">
        <v>1</v>
      </c>
      <c r="F43" s="32" t="n">
        <v>1</v>
      </c>
      <c r="G43" s="32" t="n">
        <v>1</v>
      </c>
      <c r="H43" s="32" t="n">
        <v>1</v>
      </c>
      <c r="I43" s="33">
        <f>IF(C43="",0,IFERROR(INDEX($E43:$H43,MATCH('Recepción'!$E$5,$E$1:$H$1,0)),0))</f>
        <v/>
      </c>
      <c r="J43" s="33">
        <f>IF(I43=0,0,IF(A43="S",1,IF(OR(B43='Recepción'!$E$13,B43='Recepción'!$E$14,B43='Recepción'!$E$15,AND(B43="Contacto con líquido",'Recepción'!$B$32&lt;&gt;""),AND(B43="Golpe / Caída",'Recepción'!$B$31&lt;&gt;""),AND(B43="No enciende",'Recepción'!$C$34&lt;&gt;"")),1,0)))</f>
        <v/>
      </c>
      <c r="K43" s="33">
        <f>IF(J43=1,COUNTIF($J$2:J43,1),0)</f>
        <v/>
      </c>
    </row>
    <row r="44">
      <c r="A44" s="31" t="inlineStr">
        <is>
          <t>B</t>
        </is>
      </c>
      <c r="B44" s="23" t="inlineStr">
        <is>
          <t>Contacto con líquido</t>
        </is>
      </c>
      <c r="C44" s="23" t="inlineStr">
        <is>
          <t>Tipo de líquido: Agua de mar</t>
        </is>
      </c>
      <c r="D44" s="31" t="inlineStr">
        <is>
          <t>CHK</t>
        </is>
      </c>
      <c r="E44" s="32" t="n">
        <v>1</v>
      </c>
      <c r="F44" s="32" t="n">
        <v>1</v>
      </c>
      <c r="G44" s="32" t="n">
        <v>1</v>
      </c>
      <c r="H44" s="32" t="n">
        <v>1</v>
      </c>
      <c r="I44" s="33">
        <f>IF(C44="",0,IFERROR(INDEX($E44:$H44,MATCH('Recepción'!$E$5,$E$1:$H$1,0)),0))</f>
        <v/>
      </c>
      <c r="J44" s="33">
        <f>IF(I44=0,0,IF(A44="S",1,IF(OR(B44='Recepción'!$E$13,B44='Recepción'!$E$14,B44='Recepción'!$E$15,AND(B44="Contacto con líquido",'Recepción'!$B$32&lt;&gt;""),AND(B44="Golpe / Caída",'Recepción'!$B$31&lt;&gt;""),AND(B44="No enciende",'Recepción'!$C$34&lt;&gt;"")),1,0)))</f>
        <v/>
      </c>
      <c r="K44" s="33">
        <f>IF(J44=1,COUNTIF($J$2:J44,1),0)</f>
        <v/>
      </c>
    </row>
    <row r="45">
      <c r="A45" s="31" t="inlineStr">
        <is>
          <t>B</t>
        </is>
      </c>
      <c r="B45" s="23" t="inlineStr">
        <is>
          <t>Contacto con líquido</t>
        </is>
      </c>
      <c r="C45" s="23" t="inlineStr">
        <is>
          <t>Tipo de líquido: Café</t>
        </is>
      </c>
      <c r="D45" s="31" t="inlineStr">
        <is>
          <t>CHK</t>
        </is>
      </c>
      <c r="E45" s="32" t="n">
        <v>1</v>
      </c>
      <c r="F45" s="32" t="n">
        <v>1</v>
      </c>
      <c r="G45" s="32" t="n">
        <v>1</v>
      </c>
      <c r="H45" s="32" t="n">
        <v>1</v>
      </c>
      <c r="I45" s="33">
        <f>IF(C45="",0,IFERROR(INDEX($E45:$H45,MATCH('Recepción'!$E$5,$E$1:$H$1,0)),0))</f>
        <v/>
      </c>
      <c r="J45" s="33">
        <f>IF(I45=0,0,IF(A45="S",1,IF(OR(B45='Recepción'!$E$13,B45='Recepción'!$E$14,B45='Recepción'!$E$15,AND(B45="Contacto con líquido",'Recepción'!$B$32&lt;&gt;""),AND(B45="Golpe / Caída",'Recepción'!$B$31&lt;&gt;""),AND(B45="No enciende",'Recepción'!$C$34&lt;&gt;"")),1,0)))</f>
        <v/>
      </c>
      <c r="K45" s="33">
        <f>IF(J45=1,COUNTIF($J$2:J45,1),0)</f>
        <v/>
      </c>
    </row>
    <row r="46">
      <c r="A46" s="31" t="inlineStr">
        <is>
          <t>B</t>
        </is>
      </c>
      <c r="B46" s="23" t="inlineStr">
        <is>
          <t>Contacto con líquido</t>
        </is>
      </c>
      <c r="C46" s="23" t="inlineStr">
        <is>
          <t>Tipo de líquido: Gaseosa</t>
        </is>
      </c>
      <c r="D46" s="31" t="inlineStr">
        <is>
          <t>CHK</t>
        </is>
      </c>
      <c r="E46" s="32" t="n">
        <v>1</v>
      </c>
      <c r="F46" s="32" t="n">
        <v>1</v>
      </c>
      <c r="G46" s="32" t="n">
        <v>1</v>
      </c>
      <c r="H46" s="32" t="n">
        <v>1</v>
      </c>
      <c r="I46" s="33">
        <f>IF(C46="",0,IFERROR(INDEX($E46:$H46,MATCH('Recepción'!$E$5,$E$1:$H$1,0)),0))</f>
        <v/>
      </c>
      <c r="J46" s="33">
        <f>IF(I46=0,0,IF(A46="S",1,IF(OR(B46='Recepción'!$E$13,B46='Recepción'!$E$14,B46='Recepción'!$E$15,AND(B46="Contacto con líquido",'Recepción'!$B$32&lt;&gt;""),AND(B46="Golpe / Caída",'Recepción'!$B$31&lt;&gt;""),AND(B46="No enciende",'Recepción'!$C$34&lt;&gt;"")),1,0)))</f>
        <v/>
      </c>
      <c r="K46" s="33">
        <f>IF(J46=1,COUNTIF($J$2:J46,1),0)</f>
        <v/>
      </c>
    </row>
    <row r="47">
      <c r="A47" s="31" t="inlineStr">
        <is>
          <t>B</t>
        </is>
      </c>
      <c r="B47" s="23" t="inlineStr">
        <is>
          <t>Contacto con líquido</t>
        </is>
      </c>
      <c r="C47" s="23" t="inlineStr">
        <is>
          <t>Tipo de líquido: Alcohol</t>
        </is>
      </c>
      <c r="D47" s="31" t="inlineStr">
        <is>
          <t>CHK</t>
        </is>
      </c>
      <c r="E47" s="32" t="n">
        <v>1</v>
      </c>
      <c r="F47" s="32" t="n">
        <v>1</v>
      </c>
      <c r="G47" s="32" t="n">
        <v>1</v>
      </c>
      <c r="H47" s="32" t="n">
        <v>1</v>
      </c>
      <c r="I47" s="33">
        <f>IF(C47="",0,IFERROR(INDEX($E47:$H47,MATCH('Recepción'!$E$5,$E$1:$H$1,0)),0))</f>
        <v/>
      </c>
      <c r="J47" s="33">
        <f>IF(I47=0,0,IF(A47="S",1,IF(OR(B47='Recepción'!$E$13,B47='Recepción'!$E$14,B47='Recepción'!$E$15,AND(B47="Contacto con líquido",'Recepción'!$B$32&lt;&gt;""),AND(B47="Golpe / Caída",'Recepción'!$B$31&lt;&gt;""),AND(B47="No enciende",'Recepción'!$C$34&lt;&gt;"")),1,0)))</f>
        <v/>
      </c>
      <c r="K47" s="33">
        <f>IF(J47=1,COUNTIF($J$2:J47,1),0)</f>
        <v/>
      </c>
    </row>
    <row r="48">
      <c r="A48" s="31" t="inlineStr">
        <is>
          <t>B</t>
        </is>
      </c>
      <c r="B48" s="23" t="inlineStr">
        <is>
          <t>Contacto con líquido</t>
        </is>
      </c>
      <c r="C48" s="23" t="inlineStr">
        <is>
          <t>Tipo de líquido: Otro líquido</t>
        </is>
      </c>
      <c r="D48" s="31" t="inlineStr">
        <is>
          <t>CHK</t>
        </is>
      </c>
      <c r="E48" s="32" t="n">
        <v>1</v>
      </c>
      <c r="F48" s="32" t="n">
        <v>1</v>
      </c>
      <c r="G48" s="32" t="n">
        <v>1</v>
      </c>
      <c r="H48" s="32" t="n">
        <v>1</v>
      </c>
      <c r="I48" s="33">
        <f>IF(C48="",0,IFERROR(INDEX($E48:$H48,MATCH('Recepción'!$E$5,$E$1:$H$1,0)),0))</f>
        <v/>
      </c>
      <c r="J48" s="33">
        <f>IF(I48=0,0,IF(A48="S",1,IF(OR(B48='Recepción'!$E$13,B48='Recepción'!$E$14,B48='Recepción'!$E$15,AND(B48="Contacto con líquido",'Recepción'!$B$32&lt;&gt;""),AND(B48="Golpe / Caída",'Recepción'!$B$31&lt;&gt;""),AND(B48="No enciende",'Recepción'!$C$34&lt;&gt;"")),1,0)))</f>
        <v/>
      </c>
      <c r="K48" s="33">
        <f>IF(J48=1,COUNTIF($J$2:J48,1),0)</f>
        <v/>
      </c>
    </row>
    <row r="49">
      <c r="A49" s="31" t="inlineStr">
        <is>
          <t>B</t>
        </is>
      </c>
      <c r="B49" s="23" t="inlineStr">
        <is>
          <t>Contacto con líquido</t>
        </is>
      </c>
      <c r="C49" s="23" t="inlineStr">
        <is>
          <t>¿Cuándo ocurrió? (escriba en Detalle)</t>
        </is>
      </c>
      <c r="D49" s="31" t="inlineStr">
        <is>
          <t>TXT</t>
        </is>
      </c>
      <c r="E49" s="32" t="n">
        <v>1</v>
      </c>
      <c r="F49" s="32" t="n">
        <v>1</v>
      </c>
      <c r="G49" s="32" t="n">
        <v>1</v>
      </c>
      <c r="H49" s="32" t="n">
        <v>1</v>
      </c>
      <c r="I49" s="33">
        <f>IF(C49="",0,IFERROR(INDEX($E49:$H49,MATCH('Recepción'!$E$5,$E$1:$H$1,0)),0))</f>
        <v/>
      </c>
      <c r="J49" s="33">
        <f>IF(I49=0,0,IF(A49="S",1,IF(OR(B49='Recepción'!$E$13,B49='Recepción'!$E$14,B49='Recepción'!$E$15,AND(B49="Contacto con líquido",'Recepción'!$B$32&lt;&gt;""),AND(B49="Golpe / Caída",'Recepción'!$B$31&lt;&gt;""),AND(B49="No enciende",'Recepción'!$C$34&lt;&gt;"")),1,0)))</f>
        <v/>
      </c>
      <c r="K49" s="33">
        <f>IF(J49=1,COUNTIF($J$2:J49,1),0)</f>
        <v/>
      </c>
    </row>
    <row r="50">
      <c r="A50" s="31" t="inlineStr">
        <is>
          <t>B</t>
        </is>
      </c>
      <c r="B50" s="23" t="inlineStr">
        <is>
          <t>Contacto con líquido</t>
        </is>
      </c>
      <c r="C50" s="23" t="inlineStr">
        <is>
          <t>¿Continuó utilizando el equipo?</t>
        </is>
      </c>
      <c r="D50" s="31" t="inlineStr">
        <is>
          <t>YN</t>
        </is>
      </c>
      <c r="E50" s="32" t="n">
        <v>1</v>
      </c>
      <c r="F50" s="32" t="n">
        <v>1</v>
      </c>
      <c r="G50" s="32" t="n">
        <v>1</v>
      </c>
      <c r="H50" s="32" t="n">
        <v>1</v>
      </c>
      <c r="I50" s="33">
        <f>IF(C50="",0,IFERROR(INDEX($E50:$H50,MATCH('Recepción'!$E$5,$E$1:$H$1,0)),0))</f>
        <v/>
      </c>
      <c r="J50" s="33">
        <f>IF(I50=0,0,IF(A50="S",1,IF(OR(B50='Recepción'!$E$13,B50='Recepción'!$E$14,B50='Recepción'!$E$15,AND(B50="Contacto con líquido",'Recepción'!$B$32&lt;&gt;""),AND(B50="Golpe / Caída",'Recepción'!$B$31&lt;&gt;""),AND(B50="No enciende",'Recepción'!$C$34&lt;&gt;"")),1,0)))</f>
        <v/>
      </c>
      <c r="K50" s="33">
        <f>IF(J50=1,COUNTIF($J$2:J50,1),0)</f>
        <v/>
      </c>
    </row>
    <row r="51">
      <c r="A51" s="31" t="inlineStr">
        <is>
          <t>B</t>
        </is>
      </c>
      <c r="B51" s="23" t="inlineStr">
        <is>
          <t>Contacto con líquido</t>
        </is>
      </c>
      <c r="C51" s="23" t="inlineStr">
        <is>
          <t>¿Intentó encenderlo?</t>
        </is>
      </c>
      <c r="D51" s="31" t="inlineStr">
        <is>
          <t>YN</t>
        </is>
      </c>
      <c r="E51" s="32" t="n">
        <v>1</v>
      </c>
      <c r="F51" s="32" t="n">
        <v>1</v>
      </c>
      <c r="G51" s="32" t="n">
        <v>1</v>
      </c>
      <c r="H51" s="32" t="n">
        <v>1</v>
      </c>
      <c r="I51" s="33">
        <f>IF(C51="",0,IFERROR(INDEX($E51:$H51,MATCH('Recepción'!$E$5,$E$1:$H$1,0)),0))</f>
        <v/>
      </c>
      <c r="J51" s="33">
        <f>IF(I51=0,0,IF(A51="S",1,IF(OR(B51='Recepción'!$E$13,B51='Recepción'!$E$14,B51='Recepción'!$E$15,AND(B51="Contacto con líquido",'Recepción'!$B$32&lt;&gt;""),AND(B51="Golpe / Caída",'Recepción'!$B$31&lt;&gt;""),AND(B51="No enciende",'Recepción'!$C$34&lt;&gt;"")),1,0)))</f>
        <v/>
      </c>
      <c r="K51" s="33">
        <f>IF(J51=1,COUNTIF($J$2:J51,1),0)</f>
        <v/>
      </c>
    </row>
    <row r="52">
      <c r="A52" s="31" t="inlineStr">
        <is>
          <t>B</t>
        </is>
      </c>
      <c r="B52" s="23" t="inlineStr">
        <is>
          <t>Contacto con líquido</t>
        </is>
      </c>
      <c r="C52" s="23" t="inlineStr">
        <is>
          <t>¿Lo conectó al cargador después de mojarse?</t>
        </is>
      </c>
      <c r="D52" s="31" t="inlineStr">
        <is>
          <t>YN</t>
        </is>
      </c>
      <c r="E52" s="32" t="n">
        <v>1</v>
      </c>
      <c r="F52" s="32" t="n">
        <v>1</v>
      </c>
      <c r="G52" s="32" t="n">
        <v>1</v>
      </c>
      <c r="H52" s="32" t="n">
        <v>1</v>
      </c>
      <c r="I52" s="33">
        <f>IF(C52="",0,IFERROR(INDEX($E52:$H52,MATCH('Recepción'!$E$5,$E$1:$H$1,0)),0))</f>
        <v/>
      </c>
      <c r="J52" s="33">
        <f>IF(I52=0,0,IF(A52="S",1,IF(OR(B52='Recepción'!$E$13,B52='Recepción'!$E$14,B52='Recepción'!$E$15,AND(B52="Contacto con líquido",'Recepción'!$B$32&lt;&gt;""),AND(B52="Golpe / Caída",'Recepción'!$B$31&lt;&gt;""),AND(B52="No enciende",'Recepción'!$C$34&lt;&gt;"")),1,0)))</f>
        <v/>
      </c>
      <c r="K52" s="33">
        <f>IF(J52=1,COUNTIF($J$2:J52,1),0)</f>
        <v/>
      </c>
    </row>
    <row r="53">
      <c r="A53" s="31" t="inlineStr">
        <is>
          <t>B</t>
        </is>
      </c>
      <c r="B53" s="23" t="inlineStr">
        <is>
          <t>Contacto con líquido</t>
        </is>
      </c>
      <c r="C53" s="23" t="inlineStr">
        <is>
          <t>¿Fue abierto posteriormente?</t>
        </is>
      </c>
      <c r="D53" s="31" t="inlineStr">
        <is>
          <t>YN</t>
        </is>
      </c>
      <c r="E53" s="32" t="n">
        <v>1</v>
      </c>
      <c r="F53" s="32" t="n">
        <v>1</v>
      </c>
      <c r="G53" s="32" t="n">
        <v>1</v>
      </c>
      <c r="H53" s="32" t="n">
        <v>1</v>
      </c>
      <c r="I53" s="33">
        <f>IF(C53="",0,IFERROR(INDEX($E53:$H53,MATCH('Recepción'!$E$5,$E$1:$H$1,0)),0))</f>
        <v/>
      </c>
      <c r="J53" s="33">
        <f>IF(I53=0,0,IF(A53="S",1,IF(OR(B53='Recepción'!$E$13,B53='Recepción'!$E$14,B53='Recepción'!$E$15,AND(B53="Contacto con líquido",'Recepción'!$B$32&lt;&gt;""),AND(B53="Golpe / Caída",'Recepción'!$B$31&lt;&gt;""),AND(B53="No enciende",'Recepción'!$C$34&lt;&gt;"")),1,0)))</f>
        <v/>
      </c>
      <c r="K53" s="33">
        <f>IF(J53=1,COUNTIF($J$2:J53,1),0)</f>
        <v/>
      </c>
    </row>
    <row r="54">
      <c r="A54" s="31" t="inlineStr">
        <is>
          <t>B</t>
        </is>
      </c>
      <c r="B54" s="23" t="inlineStr">
        <is>
          <t>Contacto con líquido</t>
        </is>
      </c>
      <c r="C54" s="23" t="inlineStr">
        <is>
          <t>¿Recibió limpieza o reparación previa?</t>
        </is>
      </c>
      <c r="D54" s="31" t="inlineStr">
        <is>
          <t>YN</t>
        </is>
      </c>
      <c r="E54" s="32" t="n">
        <v>1</v>
      </c>
      <c r="F54" s="32" t="n">
        <v>1</v>
      </c>
      <c r="G54" s="32" t="n">
        <v>1</v>
      </c>
      <c r="H54" s="32" t="n">
        <v>1</v>
      </c>
      <c r="I54" s="33">
        <f>IF(C54="",0,IFERROR(INDEX($E54:$H54,MATCH('Recepción'!$E$5,$E$1:$H$1,0)),0))</f>
        <v/>
      </c>
      <c r="J54" s="33">
        <f>IF(I54=0,0,IF(A54="S",1,IF(OR(B54='Recepción'!$E$13,B54='Recepción'!$E$14,B54='Recepción'!$E$15,AND(B54="Contacto con líquido",'Recepción'!$B$32&lt;&gt;""),AND(B54="Golpe / Caída",'Recepción'!$B$31&lt;&gt;""),AND(B54="No enciende",'Recepción'!$C$34&lt;&gt;"")),1,0)))</f>
        <v/>
      </c>
      <c r="K54" s="33">
        <f>IF(J54=1,COUNTIF($J$2:J54,1),0)</f>
        <v/>
      </c>
    </row>
    <row r="55">
      <c r="A55" s="31" t="inlineStr">
        <is>
          <t>B</t>
        </is>
      </c>
      <c r="B55" s="23" t="inlineStr">
        <is>
          <t>Contacto con líquido</t>
        </is>
      </c>
      <c r="C55" s="23" t="inlineStr">
        <is>
          <t>¿Usó arroz, secador u otro método casero?</t>
        </is>
      </c>
      <c r="D55" s="31" t="inlineStr">
        <is>
          <t>YN</t>
        </is>
      </c>
      <c r="E55" s="32" t="n">
        <v>1</v>
      </c>
      <c r="F55" s="32" t="n">
        <v>1</v>
      </c>
      <c r="G55" s="32" t="n">
        <v>1</v>
      </c>
      <c r="H55" s="32" t="n">
        <v>1</v>
      </c>
      <c r="I55" s="33">
        <f>IF(C55="",0,IFERROR(INDEX($E55:$H55,MATCH('Recepción'!$E$5,$E$1:$H$1,0)),0))</f>
        <v/>
      </c>
      <c r="J55" s="33">
        <f>IF(I55=0,0,IF(A55="S",1,IF(OR(B55='Recepción'!$E$13,B55='Recepción'!$E$14,B55='Recepción'!$E$15,AND(B55="Contacto con líquido",'Recepción'!$B$32&lt;&gt;""),AND(B55="Golpe / Caída",'Recepción'!$B$31&lt;&gt;""),AND(B55="No enciende",'Recepción'!$C$34&lt;&gt;"")),1,0)))</f>
        <v/>
      </c>
      <c r="K55" s="33">
        <f>IF(J55=1,COUNTIF($J$2:J55,1),0)</f>
        <v/>
      </c>
    </row>
    <row r="56">
      <c r="A56" s="31" t="inlineStr">
        <is>
          <t>B</t>
        </is>
      </c>
      <c r="B56" s="23" t="inlineStr">
        <is>
          <t>Contacto con líquido</t>
        </is>
      </c>
      <c r="C56" s="23" t="inlineStr">
        <is>
          <t>¿Tiene certificación de resistencia al agua (IP67/IP68)?</t>
        </is>
      </c>
      <c r="D56" s="31" t="inlineStr">
        <is>
          <t>YNS</t>
        </is>
      </c>
      <c r="E56" s="32" t="n">
        <v>1</v>
      </c>
      <c r="F56" s="32" t="n">
        <v>1</v>
      </c>
      <c r="G56" s="32" t="n">
        <v>0</v>
      </c>
      <c r="H56" s="32" t="n">
        <v>0</v>
      </c>
      <c r="I56" s="33">
        <f>IF(C56="",0,IFERROR(INDEX($E56:$H56,MATCH('Recepción'!$E$5,$E$1:$H$1,0)),0))</f>
        <v/>
      </c>
      <c r="J56" s="33">
        <f>IF(I56=0,0,IF(A56="S",1,IF(OR(B56='Recepción'!$E$13,B56='Recepción'!$E$14,B56='Recepción'!$E$15,AND(B56="Contacto con líquido",'Recepción'!$B$32&lt;&gt;""),AND(B56="Golpe / Caída",'Recepción'!$B$31&lt;&gt;""),AND(B56="No enciende",'Recepción'!$C$34&lt;&gt;"")),1,0)))</f>
        <v/>
      </c>
      <c r="K56" s="33">
        <f>IF(J56=1,COUNTIF($J$2:J56,1),0)</f>
        <v/>
      </c>
    </row>
    <row r="57">
      <c r="A57" s="31" t="inlineStr">
        <is>
          <t>B</t>
        </is>
      </c>
      <c r="B57" s="23" t="inlineStr">
        <is>
          <t>Golpe / Caída</t>
        </is>
      </c>
      <c r="C57" s="23" t="inlineStr">
        <is>
          <t>¿Cuándo ocurrió? (escriba en Detalle)</t>
        </is>
      </c>
      <c r="D57" s="31" t="inlineStr">
        <is>
          <t>TXT</t>
        </is>
      </c>
      <c r="E57" s="32" t="n">
        <v>1</v>
      </c>
      <c r="F57" s="32" t="n">
        <v>1</v>
      </c>
      <c r="G57" s="32" t="n">
        <v>1</v>
      </c>
      <c r="H57" s="32" t="n">
        <v>1</v>
      </c>
      <c r="I57" s="33">
        <f>IF(C57="",0,IFERROR(INDEX($E57:$H57,MATCH('Recepción'!$E$5,$E$1:$H$1,0)),0))</f>
        <v/>
      </c>
      <c r="J57" s="33">
        <f>IF(I57=0,0,IF(A57="S",1,IF(OR(B57='Recepción'!$E$13,B57='Recepción'!$E$14,B57='Recepción'!$E$15,AND(B57="Contacto con líquido",'Recepción'!$B$32&lt;&gt;""),AND(B57="Golpe / Caída",'Recepción'!$B$31&lt;&gt;""),AND(B57="No enciende",'Recepción'!$C$34&lt;&gt;"")),1,0)))</f>
        <v/>
      </c>
      <c r="K57" s="33">
        <f>IF(J57=1,COUNTIF($J$2:J57,1),0)</f>
        <v/>
      </c>
    </row>
    <row r="58">
      <c r="A58" s="31" t="inlineStr">
        <is>
          <t>B</t>
        </is>
      </c>
      <c r="B58" s="23" t="inlineStr">
        <is>
          <t>Golpe / Caída</t>
        </is>
      </c>
      <c r="C58" s="23" t="inlineStr">
        <is>
          <t>¿Continuó funcionando después del golpe?</t>
        </is>
      </c>
      <c r="D58" s="31" t="inlineStr">
        <is>
          <t>YN</t>
        </is>
      </c>
      <c r="E58" s="32" t="n">
        <v>1</v>
      </c>
      <c r="F58" s="32" t="n">
        <v>1</v>
      </c>
      <c r="G58" s="32" t="n">
        <v>1</v>
      </c>
      <c r="H58" s="32" t="n">
        <v>1</v>
      </c>
      <c r="I58" s="33">
        <f>IF(C58="",0,IFERROR(INDEX($E58:$H58,MATCH('Recepción'!$E$5,$E$1:$H$1,0)),0))</f>
        <v/>
      </c>
      <c r="J58" s="33">
        <f>IF(I58=0,0,IF(A58="S",1,IF(OR(B58='Recepción'!$E$13,B58='Recepción'!$E$14,B58='Recepción'!$E$15,AND(B58="Contacto con líquido",'Recepción'!$B$32&lt;&gt;""),AND(B58="Golpe / Caída",'Recepción'!$B$31&lt;&gt;""),AND(B58="No enciende",'Recepción'!$C$34&lt;&gt;"")),1,0)))</f>
        <v/>
      </c>
      <c r="K58" s="33">
        <f>IF(J58=1,COUNTIF($J$2:J58,1),0)</f>
        <v/>
      </c>
    </row>
    <row r="59">
      <c r="A59" s="31" t="inlineStr">
        <is>
          <t>B</t>
        </is>
      </c>
      <c r="B59" s="23" t="inlineStr">
        <is>
          <t>Golpe / Caída</t>
        </is>
      </c>
      <c r="C59" s="23" t="inlineStr">
        <is>
          <t>¿La falla apareció inmediatamente?</t>
        </is>
      </c>
      <c r="D59" s="31" t="inlineStr">
        <is>
          <t>YN</t>
        </is>
      </c>
      <c r="E59" s="32" t="n">
        <v>1</v>
      </c>
      <c r="F59" s="32" t="n">
        <v>1</v>
      </c>
      <c r="G59" s="32" t="n">
        <v>1</v>
      </c>
      <c r="H59" s="32" t="n">
        <v>1</v>
      </c>
      <c r="I59" s="33">
        <f>IF(C59="",0,IFERROR(INDEX($E59:$H59,MATCH('Recepción'!$E$5,$E$1:$H$1,0)),0))</f>
        <v/>
      </c>
      <c r="J59" s="33">
        <f>IF(I59=0,0,IF(A59="S",1,IF(OR(B59='Recepción'!$E$13,B59='Recepción'!$E$14,B59='Recepción'!$E$15,AND(B59="Contacto con líquido",'Recepción'!$B$32&lt;&gt;""),AND(B59="Golpe / Caída",'Recepción'!$B$31&lt;&gt;""),AND(B59="No enciende",'Recepción'!$C$34&lt;&gt;"")),1,0)))</f>
        <v/>
      </c>
      <c r="K59" s="33">
        <f>IF(J59=1,COUNTIF($J$2:J59,1),0)</f>
        <v/>
      </c>
    </row>
    <row r="60">
      <c r="A60" s="31" t="inlineStr">
        <is>
          <t>B</t>
        </is>
      </c>
      <c r="B60" s="23" t="inlineStr">
        <is>
          <t>Golpe / Caída</t>
        </is>
      </c>
      <c r="C60" s="23" t="inlineStr">
        <is>
          <t>¿Se dañó la pantalla o el táctil?</t>
        </is>
      </c>
      <c r="D60" s="31" t="inlineStr">
        <is>
          <t>YN</t>
        </is>
      </c>
      <c r="E60" s="32" t="n">
        <v>1</v>
      </c>
      <c r="F60" s="32" t="n">
        <v>1</v>
      </c>
      <c r="G60" s="32" t="n">
        <v>1</v>
      </c>
      <c r="H60" s="32" t="n">
        <v>0</v>
      </c>
      <c r="I60" s="33">
        <f>IF(C60="",0,IFERROR(INDEX($E60:$H60,MATCH('Recepción'!$E$5,$E$1:$H$1,0)),0))</f>
        <v/>
      </c>
      <c r="J60" s="33">
        <f>IF(I60=0,0,IF(A60="S",1,IF(OR(B60='Recepción'!$E$13,B60='Recepción'!$E$14,B60='Recepción'!$E$15,AND(B60="Contacto con líquido",'Recepción'!$B$32&lt;&gt;""),AND(B60="Golpe / Caída",'Recepción'!$B$31&lt;&gt;""),AND(B60="No enciende",'Recepción'!$C$34&lt;&gt;"")),1,0)))</f>
        <v/>
      </c>
      <c r="K60" s="33">
        <f>IF(J60=1,COUNTIF($J$2:J60,1),0)</f>
        <v/>
      </c>
    </row>
    <row r="61">
      <c r="A61" s="31" t="inlineStr">
        <is>
          <t>B</t>
        </is>
      </c>
      <c r="B61" s="23" t="inlineStr">
        <is>
          <t>Golpe / Caída</t>
        </is>
      </c>
      <c r="C61" s="23" t="inlineStr">
        <is>
          <t>¿Presentó problemas de imagen?</t>
        </is>
      </c>
      <c r="D61" s="31" t="inlineStr">
        <is>
          <t>YN</t>
        </is>
      </c>
      <c r="E61" s="32" t="n">
        <v>1</v>
      </c>
      <c r="F61" s="32" t="n">
        <v>1</v>
      </c>
      <c r="G61" s="32" t="n">
        <v>1</v>
      </c>
      <c r="H61" s="32" t="n">
        <v>1</v>
      </c>
      <c r="I61" s="33">
        <f>IF(C61="",0,IFERROR(INDEX($E61:$H61,MATCH('Recepción'!$E$5,$E$1:$H$1,0)),0))</f>
        <v/>
      </c>
      <c r="J61" s="33">
        <f>IF(I61=0,0,IF(A61="S",1,IF(OR(B61='Recepción'!$E$13,B61='Recepción'!$E$14,B61='Recepción'!$E$15,AND(B61="Contacto con líquido",'Recepción'!$B$32&lt;&gt;""),AND(B61="Golpe / Caída",'Recepción'!$B$31&lt;&gt;""),AND(B61="No enciende",'Recepción'!$C$34&lt;&gt;"")),1,0)))</f>
        <v/>
      </c>
      <c r="K61" s="33">
        <f>IF(J61=1,COUNTIF($J$2:J61,1),0)</f>
        <v/>
      </c>
    </row>
    <row r="62">
      <c r="A62" s="31" t="inlineStr">
        <is>
          <t>B</t>
        </is>
      </c>
      <c r="B62" s="23" t="inlineStr">
        <is>
          <t>Golpe / Caída</t>
        </is>
      </c>
      <c r="C62" s="23" t="inlineStr">
        <is>
          <t>¿Se deformó la carcasa o el chasis?</t>
        </is>
      </c>
      <c r="D62" s="31" t="inlineStr">
        <is>
          <t>YN</t>
        </is>
      </c>
      <c r="E62" s="32" t="n">
        <v>1</v>
      </c>
      <c r="F62" s="32" t="n">
        <v>1</v>
      </c>
      <c r="G62" s="32" t="n">
        <v>1</v>
      </c>
      <c r="H62" s="32" t="n">
        <v>1</v>
      </c>
      <c r="I62" s="33">
        <f>IF(C62="",0,IFERROR(INDEX($E62:$H62,MATCH('Recepción'!$E$5,$E$1:$H$1,0)),0))</f>
        <v/>
      </c>
      <c r="J62" s="33">
        <f>IF(I62=0,0,IF(A62="S",1,IF(OR(B62='Recepción'!$E$13,B62='Recepción'!$E$14,B62='Recepción'!$E$15,AND(B62="Contacto con líquido",'Recepción'!$B$32&lt;&gt;""),AND(B62="Golpe / Caída",'Recepción'!$B$31&lt;&gt;""),AND(B62="No enciende",'Recepción'!$C$34&lt;&gt;"")),1,0)))</f>
        <v/>
      </c>
      <c r="K62" s="33">
        <f>IF(J62=1,COUNTIF($J$2:J62,1),0)</f>
        <v/>
      </c>
    </row>
    <row r="63">
      <c r="A63" s="31" t="inlineStr">
        <is>
          <t>B</t>
        </is>
      </c>
      <c r="B63" s="23" t="inlineStr">
        <is>
          <t>Golpe / Caída</t>
        </is>
      </c>
      <c r="C63" s="23" t="inlineStr">
        <is>
          <t>¿Dejó de encender?</t>
        </is>
      </c>
      <c r="D63" s="31" t="inlineStr">
        <is>
          <t>YN</t>
        </is>
      </c>
      <c r="E63" s="32" t="n">
        <v>1</v>
      </c>
      <c r="F63" s="32" t="n">
        <v>1</v>
      </c>
      <c r="G63" s="32" t="n">
        <v>1</v>
      </c>
      <c r="H63" s="32" t="n">
        <v>1</v>
      </c>
      <c r="I63" s="33">
        <f>IF(C63="",0,IFERROR(INDEX($E63:$H63,MATCH('Recepción'!$E$5,$E$1:$H$1,0)),0))</f>
        <v/>
      </c>
      <c r="J63" s="33">
        <f>IF(I63=0,0,IF(A63="S",1,IF(OR(B63='Recepción'!$E$13,B63='Recepción'!$E$14,B63='Recepción'!$E$15,AND(B63="Contacto con líquido",'Recepción'!$B$32&lt;&gt;""),AND(B63="Golpe / Caída",'Recepción'!$B$31&lt;&gt;""),AND(B63="No enciende",'Recepción'!$C$34&lt;&gt;"")),1,0)))</f>
        <v/>
      </c>
      <c r="K63" s="33">
        <f>IF(J63=1,COUNTIF($J$2:J63,1),0)</f>
        <v/>
      </c>
    </row>
    <row r="64">
      <c r="A64" s="31" t="inlineStr">
        <is>
          <t>B</t>
        </is>
      </c>
      <c r="B64" s="23" t="inlineStr">
        <is>
          <t>Golpe / Caída</t>
        </is>
      </c>
      <c r="C64" s="23" t="inlineStr">
        <is>
          <t>¿Cayó con la pantalla abierta o cerrada? (laptop)</t>
        </is>
      </c>
      <c r="D64" s="31" t="inlineStr">
        <is>
          <t>TXT</t>
        </is>
      </c>
      <c r="E64" s="32" t="n">
        <v>0</v>
      </c>
      <c r="F64" s="32" t="n">
        <v>0</v>
      </c>
      <c r="G64" s="32" t="n">
        <v>1</v>
      </c>
      <c r="H64" s="32" t="n">
        <v>0</v>
      </c>
      <c r="I64" s="33">
        <f>IF(C64="",0,IFERROR(INDEX($E64:$H64,MATCH('Recepción'!$E$5,$E$1:$H$1,0)),0))</f>
        <v/>
      </c>
      <c r="J64" s="33">
        <f>IF(I64=0,0,IF(A64="S",1,IF(OR(B64='Recepción'!$E$13,B64='Recepción'!$E$14,B64='Recepción'!$E$15,AND(B64="Contacto con líquido",'Recepción'!$B$32&lt;&gt;""),AND(B64="Golpe / Caída",'Recepción'!$B$31&lt;&gt;""),AND(B64="No enciende",'Recepción'!$C$34&lt;&gt;"")),1,0)))</f>
        <v/>
      </c>
      <c r="K64" s="33">
        <f>IF(J64=1,COUNTIF($J$2:J64,1),0)</f>
        <v/>
      </c>
    </row>
    <row r="65">
      <c r="A65" s="31" t="inlineStr">
        <is>
          <t>B</t>
        </is>
      </c>
      <c r="B65" s="23" t="inlineStr">
        <is>
          <t>Golpe / Caída</t>
        </is>
      </c>
      <c r="C65" s="23" t="inlineStr">
        <is>
          <t>¿Tenía un disco dentro de la consola al caer?</t>
        </is>
      </c>
      <c r="D65" s="31" t="inlineStr">
        <is>
          <t>YN</t>
        </is>
      </c>
      <c r="E65" s="32" t="n">
        <v>0</v>
      </c>
      <c r="F65" s="32" t="n">
        <v>0</v>
      </c>
      <c r="G65" s="32" t="n">
        <v>0</v>
      </c>
      <c r="H65" s="32" t="n">
        <v>1</v>
      </c>
      <c r="I65" s="33">
        <f>IF(C65="",0,IFERROR(INDEX($E65:$H65,MATCH('Recepción'!$E$5,$E$1:$H$1,0)),0))</f>
        <v/>
      </c>
      <c r="J65" s="33">
        <f>IF(I65=0,0,IF(A65="S",1,IF(OR(B65='Recepción'!$E$13,B65='Recepción'!$E$14,B65='Recepción'!$E$15,AND(B65="Contacto con líquido",'Recepción'!$B$32&lt;&gt;""),AND(B65="Golpe / Caída",'Recepción'!$B$31&lt;&gt;""),AND(B65="No enciende",'Recepción'!$C$34&lt;&gt;"")),1,0)))</f>
        <v/>
      </c>
      <c r="K65" s="33">
        <f>IF(J65=1,COUNTIF($J$2:J65,1),0)</f>
        <v/>
      </c>
    </row>
    <row r="66">
      <c r="A66" s="31" t="inlineStr">
        <is>
          <t>B</t>
        </is>
      </c>
      <c r="B66" s="23" t="inlineStr">
        <is>
          <t>Golpe / Caída</t>
        </is>
      </c>
      <c r="C66" s="23" t="inlineStr">
        <is>
          <t>Zona donde recibió el impacto</t>
        </is>
      </c>
      <c r="D66" s="31" t="inlineStr">
        <is>
          <t>TXT</t>
        </is>
      </c>
      <c r="E66" s="32" t="n">
        <v>1</v>
      </c>
      <c r="F66" s="32" t="n">
        <v>1</v>
      </c>
      <c r="G66" s="32" t="n">
        <v>1</v>
      </c>
      <c r="H66" s="32" t="n">
        <v>1</v>
      </c>
      <c r="I66" s="33">
        <f>IF(C66="",0,IFERROR(INDEX($E66:$H66,MATCH('Recepción'!$E$5,$E$1:$H$1,0)),0))</f>
        <v/>
      </c>
      <c r="J66" s="33">
        <f>IF(I66=0,0,IF(A66="S",1,IF(OR(B66='Recepción'!$E$13,B66='Recepción'!$E$14,B66='Recepción'!$E$15,AND(B66="Contacto con líquido",'Recepción'!$B$32&lt;&gt;""),AND(B66="Golpe / Caída",'Recepción'!$B$31&lt;&gt;""),AND(B66="No enciende",'Recepción'!$C$34&lt;&gt;"")),1,0)))</f>
        <v/>
      </c>
      <c r="K66" s="33">
        <f>IF(J66=1,COUNTIF($J$2:J66,1),0)</f>
        <v/>
      </c>
    </row>
    <row r="67">
      <c r="A67" s="31" t="inlineStr">
        <is>
          <t>B</t>
        </is>
      </c>
      <c r="B67" s="23" t="inlineStr">
        <is>
          <t>Pantalla / Imagen</t>
        </is>
      </c>
      <c r="C67" s="23" t="inlineStr">
        <is>
          <t>¿Pantalla quebrada?</t>
        </is>
      </c>
      <c r="D67" s="31" t="inlineStr">
        <is>
          <t>YN</t>
        </is>
      </c>
      <c r="E67" s="32" t="n">
        <v>1</v>
      </c>
      <c r="F67" s="32" t="n">
        <v>1</v>
      </c>
      <c r="G67" s="32" t="n">
        <v>1</v>
      </c>
      <c r="H67" s="32" t="n">
        <v>0</v>
      </c>
      <c r="I67" s="33">
        <f>IF(C67="",0,IFERROR(INDEX($E67:$H67,MATCH('Recepción'!$E$5,$E$1:$H$1,0)),0))</f>
        <v/>
      </c>
      <c r="J67" s="33">
        <f>IF(I67=0,0,IF(A67="S",1,IF(OR(B67='Recepción'!$E$13,B67='Recepción'!$E$14,B67='Recepción'!$E$15,AND(B67="Contacto con líquido",'Recepción'!$B$32&lt;&gt;""),AND(B67="Golpe / Caída",'Recepción'!$B$31&lt;&gt;""),AND(B67="No enciende",'Recepción'!$C$34&lt;&gt;"")),1,0)))</f>
        <v/>
      </c>
      <c r="K67" s="33">
        <f>IF(J67=1,COUNTIF($J$2:J67,1),0)</f>
        <v/>
      </c>
    </row>
    <row r="68">
      <c r="A68" s="31" t="inlineStr">
        <is>
          <t>B</t>
        </is>
      </c>
      <c r="B68" s="23" t="inlineStr">
        <is>
          <t>Pantalla / Imagen</t>
        </is>
      </c>
      <c r="C68" s="23" t="inlineStr">
        <is>
          <t>¿Sin imagen?</t>
        </is>
      </c>
      <c r="D68" s="31" t="inlineStr">
        <is>
          <t>YN</t>
        </is>
      </c>
      <c r="E68" s="32" t="n">
        <v>1</v>
      </c>
      <c r="F68" s="32" t="n">
        <v>1</v>
      </c>
      <c r="G68" s="32" t="n">
        <v>1</v>
      </c>
      <c r="H68" s="32" t="n">
        <v>1</v>
      </c>
      <c r="I68" s="33">
        <f>IF(C68="",0,IFERROR(INDEX($E68:$H68,MATCH('Recepción'!$E$5,$E$1:$H$1,0)),0))</f>
        <v/>
      </c>
      <c r="J68" s="33">
        <f>IF(I68=0,0,IF(A68="S",1,IF(OR(B68='Recepción'!$E$13,B68='Recepción'!$E$14,B68='Recepción'!$E$15,AND(B68="Contacto con líquido",'Recepción'!$B$32&lt;&gt;""),AND(B68="Golpe / Caída",'Recepción'!$B$31&lt;&gt;""),AND(B68="No enciende",'Recepción'!$C$34&lt;&gt;"")),1,0)))</f>
        <v/>
      </c>
      <c r="K68" s="33">
        <f>IF(J68=1,COUNTIF($J$2:J68,1),0)</f>
        <v/>
      </c>
    </row>
    <row r="69">
      <c r="A69" s="31" t="inlineStr">
        <is>
          <t>B</t>
        </is>
      </c>
      <c r="B69" s="23" t="inlineStr">
        <is>
          <t>Pantalla / Imagen</t>
        </is>
      </c>
      <c r="C69" s="23" t="inlineStr">
        <is>
          <t>¿Imagen intermitente?</t>
        </is>
      </c>
      <c r="D69" s="31" t="inlineStr">
        <is>
          <t>YN</t>
        </is>
      </c>
      <c r="E69" s="32" t="n">
        <v>1</v>
      </c>
      <c r="F69" s="32" t="n">
        <v>1</v>
      </c>
      <c r="G69" s="32" t="n">
        <v>1</v>
      </c>
      <c r="H69" s="32" t="n">
        <v>1</v>
      </c>
      <c r="I69" s="33">
        <f>IF(C69="",0,IFERROR(INDEX($E69:$H69,MATCH('Recepción'!$E$5,$E$1:$H$1,0)),0))</f>
        <v/>
      </c>
      <c r="J69" s="33">
        <f>IF(I69=0,0,IF(A69="S",1,IF(OR(B69='Recepción'!$E$13,B69='Recepción'!$E$14,B69='Recepción'!$E$15,AND(B69="Contacto con líquido",'Recepción'!$B$32&lt;&gt;""),AND(B69="Golpe / Caída",'Recepción'!$B$31&lt;&gt;""),AND(B69="No enciende",'Recepción'!$C$34&lt;&gt;"")),1,0)))</f>
        <v/>
      </c>
      <c r="K69" s="33">
        <f>IF(J69=1,COUNTIF($J$2:J69,1),0)</f>
        <v/>
      </c>
    </row>
    <row r="70">
      <c r="A70" s="31" t="inlineStr">
        <is>
          <t>B</t>
        </is>
      </c>
      <c r="B70" s="23" t="inlineStr">
        <is>
          <t>Pantalla / Imagen</t>
        </is>
      </c>
      <c r="C70" s="23" t="inlineStr">
        <is>
          <t>¿Líneas en la imagen?</t>
        </is>
      </c>
      <c r="D70" s="31" t="inlineStr">
        <is>
          <t>YN</t>
        </is>
      </c>
      <c r="E70" s="32" t="n">
        <v>1</v>
      </c>
      <c r="F70" s="32" t="n">
        <v>1</v>
      </c>
      <c r="G70" s="32" t="n">
        <v>1</v>
      </c>
      <c r="H70" s="32" t="n">
        <v>1</v>
      </c>
      <c r="I70" s="33">
        <f>IF(C70="",0,IFERROR(INDEX($E70:$H70,MATCH('Recepción'!$E$5,$E$1:$H$1,0)),0))</f>
        <v/>
      </c>
      <c r="J70" s="33">
        <f>IF(I70=0,0,IF(A70="S",1,IF(OR(B70='Recepción'!$E$13,B70='Recepción'!$E$14,B70='Recepción'!$E$15,AND(B70="Contacto con líquido",'Recepción'!$B$32&lt;&gt;""),AND(B70="Golpe / Caída",'Recepción'!$B$31&lt;&gt;""),AND(B70="No enciende",'Recepción'!$C$34&lt;&gt;"")),1,0)))</f>
        <v/>
      </c>
      <c r="K70" s="33">
        <f>IF(J70=1,COUNTIF($J$2:J70,1),0)</f>
        <v/>
      </c>
    </row>
    <row r="71">
      <c r="A71" s="31" t="inlineStr">
        <is>
          <t>B</t>
        </is>
      </c>
      <c r="B71" s="23" t="inlineStr">
        <is>
          <t>Pantalla / Imagen</t>
        </is>
      </c>
      <c r="C71" s="23" t="inlineStr">
        <is>
          <t>¿Manchas?</t>
        </is>
      </c>
      <c r="D71" s="31" t="inlineStr">
        <is>
          <t>YN</t>
        </is>
      </c>
      <c r="E71" s="32" t="n">
        <v>1</v>
      </c>
      <c r="F71" s="32" t="n">
        <v>1</v>
      </c>
      <c r="G71" s="32" t="n">
        <v>1</v>
      </c>
      <c r="H71" s="32" t="n">
        <v>0</v>
      </c>
      <c r="I71" s="33">
        <f>IF(C71="",0,IFERROR(INDEX($E71:$H71,MATCH('Recepción'!$E$5,$E$1:$H$1,0)),0))</f>
        <v/>
      </c>
      <c r="J71" s="33">
        <f>IF(I71=0,0,IF(A71="S",1,IF(OR(B71='Recepción'!$E$13,B71='Recepción'!$E$14,B71='Recepción'!$E$15,AND(B71="Contacto con líquido",'Recepción'!$B$32&lt;&gt;""),AND(B71="Golpe / Caída",'Recepción'!$B$31&lt;&gt;""),AND(B71="No enciende",'Recepción'!$C$34&lt;&gt;"")),1,0)))</f>
        <v/>
      </c>
      <c r="K71" s="33">
        <f>IF(J71=1,COUNTIF($J$2:J71,1),0)</f>
        <v/>
      </c>
    </row>
    <row r="72">
      <c r="A72" s="31" t="inlineStr">
        <is>
          <t>B</t>
        </is>
      </c>
      <c r="B72" s="23" t="inlineStr">
        <is>
          <t>Pantalla / Imagen</t>
        </is>
      </c>
      <c r="C72" s="23" t="inlineStr">
        <is>
          <t>¿Parpadeo?</t>
        </is>
      </c>
      <c r="D72" s="31" t="inlineStr">
        <is>
          <t>YN</t>
        </is>
      </c>
      <c r="E72" s="32" t="n">
        <v>1</v>
      </c>
      <c r="F72" s="32" t="n">
        <v>1</v>
      </c>
      <c r="G72" s="32" t="n">
        <v>1</v>
      </c>
      <c r="H72" s="32" t="n">
        <v>1</v>
      </c>
      <c r="I72" s="33">
        <f>IF(C72="",0,IFERROR(INDEX($E72:$H72,MATCH('Recepción'!$E$5,$E$1:$H$1,0)),0))</f>
        <v/>
      </c>
      <c r="J72" s="33">
        <f>IF(I72=0,0,IF(A72="S",1,IF(OR(B72='Recepción'!$E$13,B72='Recepción'!$E$14,B72='Recepción'!$E$15,AND(B72="Contacto con líquido",'Recepción'!$B$32&lt;&gt;""),AND(B72="Golpe / Caída",'Recepción'!$B$31&lt;&gt;""),AND(B72="No enciende",'Recepción'!$C$34&lt;&gt;"")),1,0)))</f>
        <v/>
      </c>
      <c r="K72" s="33">
        <f>IF(J72=1,COUNTIF($J$2:J72,1),0)</f>
        <v/>
      </c>
    </row>
    <row r="73">
      <c r="A73" s="31" t="inlineStr">
        <is>
          <t>B</t>
        </is>
      </c>
      <c r="B73" s="23" t="inlineStr">
        <is>
          <t>Pantalla / Imagen</t>
        </is>
      </c>
      <c r="C73" s="23" t="inlineStr">
        <is>
          <t>¿Sombra?</t>
        </is>
      </c>
      <c r="D73" s="31" t="inlineStr">
        <is>
          <t>YN</t>
        </is>
      </c>
      <c r="E73" s="32" t="n">
        <v>1</v>
      </c>
      <c r="F73" s="32" t="n">
        <v>1</v>
      </c>
      <c r="G73" s="32" t="n">
        <v>1</v>
      </c>
      <c r="H73" s="32" t="n">
        <v>0</v>
      </c>
      <c r="I73" s="33">
        <f>IF(C73="",0,IFERROR(INDEX($E73:$H73,MATCH('Recepción'!$E$5,$E$1:$H$1,0)),0))</f>
        <v/>
      </c>
      <c r="J73" s="33">
        <f>IF(I73=0,0,IF(A73="S",1,IF(OR(B73='Recepción'!$E$13,B73='Recepción'!$E$14,B73='Recepción'!$E$15,AND(B73="Contacto con líquido",'Recepción'!$B$32&lt;&gt;""),AND(B73="Golpe / Caída",'Recepción'!$B$31&lt;&gt;""),AND(B73="No enciende",'Recepción'!$C$34&lt;&gt;"")),1,0)))</f>
        <v/>
      </c>
      <c r="K73" s="33">
        <f>IF(J73=1,COUNTIF($J$2:J73,1),0)</f>
        <v/>
      </c>
    </row>
    <row r="74">
      <c r="A74" s="31" t="inlineStr">
        <is>
          <t>B</t>
        </is>
      </c>
      <c r="B74" s="23" t="inlineStr">
        <is>
          <t>Pantalla / Imagen</t>
        </is>
      </c>
      <c r="C74" s="23" t="inlineStr">
        <is>
          <t>¿Imagen distorsionada?</t>
        </is>
      </c>
      <c r="D74" s="31" t="inlineStr">
        <is>
          <t>YN</t>
        </is>
      </c>
      <c r="E74" s="32" t="n">
        <v>1</v>
      </c>
      <c r="F74" s="32" t="n">
        <v>1</v>
      </c>
      <c r="G74" s="32" t="n">
        <v>1</v>
      </c>
      <c r="H74" s="32" t="n">
        <v>1</v>
      </c>
      <c r="I74" s="33">
        <f>IF(C74="",0,IFERROR(INDEX($E74:$H74,MATCH('Recepción'!$E$5,$E$1:$H$1,0)),0))</f>
        <v/>
      </c>
      <c r="J74" s="33">
        <f>IF(I74=0,0,IF(A74="S",1,IF(OR(B74='Recepción'!$E$13,B74='Recepción'!$E$14,B74='Recepción'!$E$15,AND(B74="Contacto con líquido",'Recepción'!$B$32&lt;&gt;""),AND(B74="Golpe / Caída",'Recepción'!$B$31&lt;&gt;""),AND(B74="No enciende",'Recepción'!$C$34&lt;&gt;"")),1,0)))</f>
        <v/>
      </c>
      <c r="K74" s="33">
        <f>IF(J74=1,COUNTIF($J$2:J74,1),0)</f>
        <v/>
      </c>
    </row>
    <row r="75">
      <c r="A75" s="31" t="inlineStr">
        <is>
          <t>B</t>
        </is>
      </c>
      <c r="B75" s="23" t="inlineStr">
        <is>
          <t>Pantalla / Imagen</t>
        </is>
      </c>
      <c r="C75" s="23" t="inlineStr">
        <is>
          <t>¿El touch no funciona?</t>
        </is>
      </c>
      <c r="D75" s="31" t="inlineStr">
        <is>
          <t>YN</t>
        </is>
      </c>
      <c r="E75" s="32" t="n">
        <v>1</v>
      </c>
      <c r="F75" s="32" t="n">
        <v>1</v>
      </c>
      <c r="G75" s="32" t="n">
        <v>0</v>
      </c>
      <c r="H75" s="32" t="n">
        <v>0</v>
      </c>
      <c r="I75" s="33">
        <f>IF(C75="",0,IFERROR(INDEX($E75:$H75,MATCH('Recepción'!$E$5,$E$1:$H$1,0)),0))</f>
        <v/>
      </c>
      <c r="J75" s="33">
        <f>IF(I75=0,0,IF(A75="S",1,IF(OR(B75='Recepción'!$E$13,B75='Recepción'!$E$14,B75='Recepción'!$E$15,AND(B75="Contacto con líquido",'Recepción'!$B$32&lt;&gt;""),AND(B75="Golpe / Caída",'Recepción'!$B$31&lt;&gt;""),AND(B75="No enciende",'Recepción'!$C$34&lt;&gt;"")),1,0)))</f>
        <v/>
      </c>
      <c r="K75" s="33">
        <f>IF(J75=1,COUNTIF($J$2:J75,1),0)</f>
        <v/>
      </c>
    </row>
    <row r="76">
      <c r="A76" s="31" t="inlineStr">
        <is>
          <t>B</t>
        </is>
      </c>
      <c r="B76" s="23" t="inlineStr">
        <is>
          <t>Pantalla / Imagen</t>
        </is>
      </c>
      <c r="C76" s="23" t="inlineStr">
        <is>
          <t>¿La imagen desaparece al mover la pantalla? (laptop)</t>
        </is>
      </c>
      <c r="D76" s="31" t="inlineStr">
        <is>
          <t>YN</t>
        </is>
      </c>
      <c r="E76" s="32" t="n">
        <v>0</v>
      </c>
      <c r="F76" s="32" t="n">
        <v>0</v>
      </c>
      <c r="G76" s="32" t="n">
        <v>1</v>
      </c>
      <c r="H76" s="32" t="n">
        <v>0</v>
      </c>
      <c r="I76" s="33">
        <f>IF(C76="",0,IFERROR(INDEX($E76:$H76,MATCH('Recepción'!$E$5,$E$1:$H$1,0)),0))</f>
        <v/>
      </c>
      <c r="J76" s="33">
        <f>IF(I76=0,0,IF(A76="S",1,IF(OR(B76='Recepción'!$E$13,B76='Recepción'!$E$14,B76='Recepción'!$E$15,AND(B76="Contacto con líquido",'Recepción'!$B$32&lt;&gt;""),AND(B76="Golpe / Caída",'Recepción'!$B$31&lt;&gt;""),AND(B76="No enciende",'Recepción'!$C$34&lt;&gt;"")),1,0)))</f>
        <v/>
      </c>
      <c r="K76" s="33">
        <f>IF(J76=1,COUNTIF($J$2:J76,1),0)</f>
        <v/>
      </c>
    </row>
    <row r="77">
      <c r="A77" s="31" t="inlineStr">
        <is>
          <t>B</t>
        </is>
      </c>
      <c r="B77" s="23" t="inlineStr">
        <is>
          <t>Pantalla / Imagen</t>
        </is>
      </c>
      <c r="C77" s="23" t="inlineStr">
        <is>
          <t>¿Se ve imagen en un monitor o TV externo?</t>
        </is>
      </c>
      <c r="D77" s="31" t="inlineStr">
        <is>
          <t>YN</t>
        </is>
      </c>
      <c r="E77" s="32" t="n">
        <v>0</v>
      </c>
      <c r="F77" s="32" t="n">
        <v>0</v>
      </c>
      <c r="G77" s="32" t="n">
        <v>1</v>
      </c>
      <c r="H77" s="32" t="n">
        <v>0</v>
      </c>
      <c r="I77" s="33">
        <f>IF(C77="",0,IFERROR(INDEX($E77:$H77,MATCH('Recepción'!$E$5,$E$1:$H$1,0)),0))</f>
        <v/>
      </c>
      <c r="J77" s="33">
        <f>IF(I77=0,0,IF(A77="S",1,IF(OR(B77='Recepción'!$E$13,B77='Recepción'!$E$14,B77='Recepción'!$E$15,AND(B77="Contacto con líquido",'Recepción'!$B$32&lt;&gt;""),AND(B77="Golpe / Caída",'Recepción'!$B$31&lt;&gt;""),AND(B77="No enciende",'Recepción'!$C$34&lt;&gt;"")),1,0)))</f>
        <v/>
      </c>
      <c r="K77" s="33">
        <f>IF(J77=1,COUNTIF($J$2:J77,1),0)</f>
        <v/>
      </c>
    </row>
    <row r="78">
      <c r="A78" s="31" t="inlineStr">
        <is>
          <t>B</t>
        </is>
      </c>
      <c r="B78" s="23" t="inlineStr">
        <is>
          <t>Pantalla / Imagen</t>
        </is>
      </c>
      <c r="C78" s="23" t="inlineStr">
        <is>
          <t>¿El monitor enciende pero dice «sin señal»? (PC)</t>
        </is>
      </c>
      <c r="D78" s="31" t="inlineStr">
        <is>
          <t>YN</t>
        </is>
      </c>
      <c r="E78" s="32" t="n">
        <v>0</v>
      </c>
      <c r="F78" s="32" t="n">
        <v>0</v>
      </c>
      <c r="G78" s="32" t="n">
        <v>1</v>
      </c>
      <c r="H78" s="32" t="n">
        <v>0</v>
      </c>
      <c r="I78" s="33">
        <f>IF(C78="",0,IFERROR(INDEX($E78:$H78,MATCH('Recepción'!$E$5,$E$1:$H$1,0)),0))</f>
        <v/>
      </c>
      <c r="J78" s="33">
        <f>IF(I78=0,0,IF(A78="S",1,IF(OR(B78='Recepción'!$E$13,B78='Recepción'!$E$14,B78='Recepción'!$E$15,AND(B78="Contacto con líquido",'Recepción'!$B$32&lt;&gt;""),AND(B78="Golpe / Caída",'Recepción'!$B$31&lt;&gt;""),AND(B78="No enciende",'Recepción'!$C$34&lt;&gt;"")),1,0)))</f>
        <v/>
      </c>
      <c r="K78" s="33">
        <f>IF(J78=1,COUNTIF($J$2:J78,1),0)</f>
        <v/>
      </c>
    </row>
    <row r="79">
      <c r="A79" s="31" t="inlineStr">
        <is>
          <t>B</t>
        </is>
      </c>
      <c r="B79" s="23" t="inlineStr">
        <is>
          <t>Pantalla / Imagen</t>
        </is>
      </c>
      <c r="C79" s="23" t="inlineStr">
        <is>
          <t>¿Ha probado con otro monitor y otro cable? (PC)</t>
        </is>
      </c>
      <c r="D79" s="31" t="inlineStr">
        <is>
          <t>YN</t>
        </is>
      </c>
      <c r="E79" s="32" t="n">
        <v>0</v>
      </c>
      <c r="F79" s="32" t="n">
        <v>0</v>
      </c>
      <c r="G79" s="32" t="n">
        <v>1</v>
      </c>
      <c r="H79" s="32" t="n">
        <v>0</v>
      </c>
      <c r="I79" s="33">
        <f>IF(C79="",0,IFERROR(INDEX($E79:$H79,MATCH('Recepción'!$E$5,$E$1:$H$1,0)),0))</f>
        <v/>
      </c>
      <c r="J79" s="33">
        <f>IF(I79=0,0,IF(A79="S",1,IF(OR(B79='Recepción'!$E$13,B79='Recepción'!$E$14,B79='Recepción'!$E$15,AND(B79="Contacto con líquido",'Recepción'!$B$32&lt;&gt;""),AND(B79="Golpe / Caída",'Recepción'!$B$31&lt;&gt;""),AND(B79="No enciende",'Recepción'!$C$34&lt;&gt;"")),1,0)))</f>
        <v/>
      </c>
      <c r="K79" s="33">
        <f>IF(J79=1,COUNTIF($J$2:J79,1),0)</f>
        <v/>
      </c>
    </row>
    <row r="80">
      <c r="A80" s="31" t="inlineStr">
        <is>
          <t>B</t>
        </is>
      </c>
      <c r="B80" s="23" t="inlineStr">
        <is>
          <t>Pantalla / Imagen</t>
        </is>
      </c>
      <c r="C80" s="23" t="inlineStr">
        <is>
          <t>¿Ha probado otro cable HDMI y otro puerto del televisor?</t>
        </is>
      </c>
      <c r="D80" s="31" t="inlineStr">
        <is>
          <t>YN</t>
        </is>
      </c>
      <c r="E80" s="32" t="n">
        <v>0</v>
      </c>
      <c r="F80" s="32" t="n">
        <v>0</v>
      </c>
      <c r="G80" s="32" t="n">
        <v>0</v>
      </c>
      <c r="H80" s="32" t="n">
        <v>1</v>
      </c>
      <c r="I80" s="33">
        <f>IF(C80="",0,IFERROR(INDEX($E80:$H80,MATCH('Recepción'!$E$5,$E$1:$H$1,0)),0))</f>
        <v/>
      </c>
      <c r="J80" s="33">
        <f>IF(I80=0,0,IF(A80="S",1,IF(OR(B80='Recepción'!$E$13,B80='Recepción'!$E$14,B80='Recepción'!$E$15,AND(B80="Contacto con líquido",'Recepción'!$B$32&lt;&gt;""),AND(B80="Golpe / Caída",'Recepción'!$B$31&lt;&gt;""),AND(B80="No enciende",'Recepción'!$C$34&lt;&gt;"")),1,0)))</f>
        <v/>
      </c>
      <c r="K80" s="33">
        <f>IF(J80=1,COUNTIF($J$2:J80,1),0)</f>
        <v/>
      </c>
    </row>
    <row r="81">
      <c r="A81" s="31" t="inlineStr">
        <is>
          <t>B</t>
        </is>
      </c>
      <c r="B81" s="23" t="inlineStr">
        <is>
          <t>Pantalla / Imagen</t>
        </is>
      </c>
      <c r="C81" s="23" t="inlineStr">
        <is>
          <t>¿Sale imagen pero sin sonido?</t>
        </is>
      </c>
      <c r="D81" s="31" t="inlineStr">
        <is>
          <t>YN</t>
        </is>
      </c>
      <c r="E81" s="32" t="n">
        <v>0</v>
      </c>
      <c r="F81" s="32" t="n">
        <v>0</v>
      </c>
      <c r="G81" s="32" t="n">
        <v>0</v>
      </c>
      <c r="H81" s="32" t="n">
        <v>1</v>
      </c>
      <c r="I81" s="33">
        <f>IF(C81="",0,IFERROR(INDEX($E81:$H81,MATCH('Recepción'!$E$5,$E$1:$H$1,0)),0))</f>
        <v/>
      </c>
      <c r="J81" s="33">
        <f>IF(I81=0,0,IF(A81="S",1,IF(OR(B81='Recepción'!$E$13,B81='Recepción'!$E$14,B81='Recepción'!$E$15,AND(B81="Contacto con líquido",'Recepción'!$B$32&lt;&gt;""),AND(B81="Golpe / Caída",'Recepción'!$B$31&lt;&gt;""),AND(B81="No enciende",'Recepción'!$C$34&lt;&gt;"")),1,0)))</f>
        <v/>
      </c>
      <c r="K81" s="33">
        <f>IF(J81=1,COUNTIF($J$2:J81,1),0)</f>
        <v/>
      </c>
    </row>
    <row r="82">
      <c r="A82" s="31" t="inlineStr">
        <is>
          <t>B</t>
        </is>
      </c>
      <c r="B82" s="23" t="inlineStr">
        <is>
          <t>Pantalla / Imagen</t>
        </is>
      </c>
      <c r="C82" s="23" t="inlineStr">
        <is>
          <t>¿La luz de la consola enciende pero no hay señal en pantalla?</t>
        </is>
      </c>
      <c r="D82" s="31" t="inlineStr">
        <is>
          <t>YN</t>
        </is>
      </c>
      <c r="E82" s="32" t="n">
        <v>0</v>
      </c>
      <c r="F82" s="32" t="n">
        <v>0</v>
      </c>
      <c r="G82" s="32" t="n">
        <v>0</v>
      </c>
      <c r="H82" s="32" t="n">
        <v>1</v>
      </c>
      <c r="I82" s="33">
        <f>IF(C82="",0,IFERROR(INDEX($E82:$H82,MATCH('Recepción'!$E$5,$E$1:$H$1,0)),0))</f>
        <v/>
      </c>
      <c r="J82" s="33">
        <f>IF(I82=0,0,IF(A82="S",1,IF(OR(B82='Recepción'!$E$13,B82='Recepción'!$E$14,B82='Recepción'!$E$15,AND(B82="Contacto con líquido",'Recepción'!$B$32&lt;&gt;""),AND(B82="Golpe / Caída",'Recepción'!$B$31&lt;&gt;""),AND(B82="No enciende",'Recepción'!$C$34&lt;&gt;"")),1,0)))</f>
        <v/>
      </c>
      <c r="K82" s="33">
        <f>IF(J82=1,COUNTIF($J$2:J82,1),0)</f>
        <v/>
      </c>
    </row>
    <row r="83">
      <c r="A83" s="31" t="inlineStr">
        <is>
          <t>B</t>
        </is>
      </c>
      <c r="B83" s="23" t="inlineStr">
        <is>
          <t>Pantalla / Imagen</t>
        </is>
      </c>
      <c r="C83" s="23" t="inlineStr">
        <is>
          <t>¿Ocurrió después de un golpe o caída?</t>
        </is>
      </c>
      <c r="D83" s="31" t="inlineStr">
        <is>
          <t>YN</t>
        </is>
      </c>
      <c r="E83" s="32" t="n">
        <v>1</v>
      </c>
      <c r="F83" s="32" t="n">
        <v>1</v>
      </c>
      <c r="G83" s="32" t="n">
        <v>1</v>
      </c>
      <c r="H83" s="32" t="n">
        <v>1</v>
      </c>
      <c r="I83" s="33">
        <f>IF(C83="",0,IFERROR(INDEX($E83:$H83,MATCH('Recepción'!$E$5,$E$1:$H$1,0)),0))</f>
        <v/>
      </c>
      <c r="J83" s="33">
        <f>IF(I83=0,0,IF(A83="S",1,IF(OR(B83='Recepción'!$E$13,B83='Recepción'!$E$14,B83='Recepción'!$E$15,AND(B83="Contacto con líquido",'Recepción'!$B$32&lt;&gt;""),AND(B83="Golpe / Caída",'Recepción'!$B$31&lt;&gt;""),AND(B83="No enciende",'Recepción'!$C$34&lt;&gt;"")),1,0)))</f>
        <v/>
      </c>
      <c r="K83" s="33">
        <f>IF(J83=1,COUNTIF($J$2:J83,1),0)</f>
        <v/>
      </c>
    </row>
    <row r="84">
      <c r="A84" s="31" t="inlineStr">
        <is>
          <t>B</t>
        </is>
      </c>
      <c r="B84" s="23" t="inlineStr">
        <is>
          <t>Lentitud / Sistema</t>
        </is>
      </c>
      <c r="C84" s="23" t="inlineStr">
        <is>
          <t>¿Cuándo comenzó la lentitud o el problema? (escriba en Detalle)</t>
        </is>
      </c>
      <c r="D84" s="31" t="inlineStr">
        <is>
          <t>TXT</t>
        </is>
      </c>
      <c r="E84" s="32" t="n">
        <v>1</v>
      </c>
      <c r="F84" s="32" t="n">
        <v>1</v>
      </c>
      <c r="G84" s="32" t="n">
        <v>1</v>
      </c>
      <c r="H84" s="32" t="n">
        <v>1</v>
      </c>
      <c r="I84" s="33">
        <f>IF(C84="",0,IFERROR(INDEX($E84:$H84,MATCH('Recepción'!$E$5,$E$1:$H$1,0)),0))</f>
        <v/>
      </c>
      <c r="J84" s="33">
        <f>IF(I84=0,0,IF(A84="S",1,IF(OR(B84='Recepción'!$E$13,B84='Recepción'!$E$14,B84='Recepción'!$E$15,AND(B84="Contacto con líquido",'Recepción'!$B$32&lt;&gt;""),AND(B84="Golpe / Caída",'Recepción'!$B$31&lt;&gt;""),AND(B84="No enciende",'Recepción'!$C$34&lt;&gt;"")),1,0)))</f>
        <v/>
      </c>
      <c r="K84" s="33">
        <f>IF(J84=1,COUNTIF($J$2:J84,1),0)</f>
        <v/>
      </c>
    </row>
    <row r="85">
      <c r="A85" s="31" t="inlineStr">
        <is>
          <t>B</t>
        </is>
      </c>
      <c r="B85" s="23" t="inlineStr">
        <is>
          <t>Lentitud / Sistema</t>
        </is>
      </c>
      <c r="C85" s="23" t="inlineStr">
        <is>
          <t>¿Tarda demasiado en encender?</t>
        </is>
      </c>
      <c r="D85" s="31" t="inlineStr">
        <is>
          <t>YN</t>
        </is>
      </c>
      <c r="E85" s="32" t="n">
        <v>1</v>
      </c>
      <c r="F85" s="32" t="n">
        <v>0</v>
      </c>
      <c r="G85" s="32" t="n">
        <v>1</v>
      </c>
      <c r="H85" s="32" t="n">
        <v>0</v>
      </c>
      <c r="I85" s="33">
        <f>IF(C85="",0,IFERROR(INDEX($E85:$H85,MATCH('Recepción'!$E$5,$E$1:$H$1,0)),0))</f>
        <v/>
      </c>
      <c r="J85" s="33">
        <f>IF(I85=0,0,IF(A85="S",1,IF(OR(B85='Recepción'!$E$13,B85='Recepción'!$E$14,B85='Recepción'!$E$15,AND(B85="Contacto con líquido",'Recepción'!$B$32&lt;&gt;""),AND(B85="Golpe / Caída",'Recepción'!$B$31&lt;&gt;""),AND(B85="No enciende",'Recepción'!$C$34&lt;&gt;"")),1,0)))</f>
        <v/>
      </c>
      <c r="K85" s="33">
        <f>IF(J85=1,COUNTIF($J$2:J85,1),0)</f>
        <v/>
      </c>
    </row>
    <row r="86">
      <c r="A86" s="31" t="inlineStr">
        <is>
          <t>B</t>
        </is>
      </c>
      <c r="B86" s="23" t="inlineStr">
        <is>
          <t>Lentitud / Sistema</t>
        </is>
      </c>
      <c r="C86" s="23" t="inlineStr">
        <is>
          <t>¿Se congela?</t>
        </is>
      </c>
      <c r="D86" s="31" t="inlineStr">
        <is>
          <t>YN</t>
        </is>
      </c>
      <c r="E86" s="32" t="n">
        <v>1</v>
      </c>
      <c r="F86" s="32" t="n">
        <v>1</v>
      </c>
      <c r="G86" s="32" t="n">
        <v>1</v>
      </c>
      <c r="H86" s="32" t="n">
        <v>1</v>
      </c>
      <c r="I86" s="33">
        <f>IF(C86="",0,IFERROR(INDEX($E86:$H86,MATCH('Recepción'!$E$5,$E$1:$H$1,0)),0))</f>
        <v/>
      </c>
      <c r="J86" s="33">
        <f>IF(I86=0,0,IF(A86="S",1,IF(OR(B86='Recepción'!$E$13,B86='Recepción'!$E$14,B86='Recepción'!$E$15,AND(B86="Contacto con líquido",'Recepción'!$B$32&lt;&gt;""),AND(B86="Golpe / Caída",'Recepción'!$B$31&lt;&gt;""),AND(B86="No enciende",'Recepción'!$C$34&lt;&gt;"")),1,0)))</f>
        <v/>
      </c>
      <c r="K86" s="33">
        <f>IF(J86=1,COUNTIF($J$2:J86,1),0)</f>
        <v/>
      </c>
    </row>
    <row r="87">
      <c r="A87" s="31" t="inlineStr">
        <is>
          <t>B</t>
        </is>
      </c>
      <c r="B87" s="23" t="inlineStr">
        <is>
          <t>Lentitud / Sistema</t>
        </is>
      </c>
      <c r="C87" s="23" t="inlineStr">
        <is>
          <t>¿Se reinicia solo?</t>
        </is>
      </c>
      <c r="D87" s="31" t="inlineStr">
        <is>
          <t>YN</t>
        </is>
      </c>
      <c r="E87" s="32" t="n">
        <v>1</v>
      </c>
      <c r="F87" s="32" t="n">
        <v>1</v>
      </c>
      <c r="G87" s="32" t="n">
        <v>1</v>
      </c>
      <c r="H87" s="32" t="n">
        <v>1</v>
      </c>
      <c r="I87" s="33">
        <f>IF(C87="",0,IFERROR(INDEX($E87:$H87,MATCH('Recepción'!$E$5,$E$1:$H$1,0)),0))</f>
        <v/>
      </c>
      <c r="J87" s="33">
        <f>IF(I87=0,0,IF(A87="S",1,IF(OR(B87='Recepción'!$E$13,B87='Recepción'!$E$14,B87='Recepción'!$E$15,AND(B87="Contacto con líquido",'Recepción'!$B$32&lt;&gt;""),AND(B87="Golpe / Caída",'Recepción'!$B$31&lt;&gt;""),AND(B87="No enciende",'Recepción'!$C$34&lt;&gt;"")),1,0)))</f>
        <v/>
      </c>
      <c r="K87" s="33">
        <f>IF(J87=1,COUNTIF($J$2:J87,1),0)</f>
        <v/>
      </c>
    </row>
    <row r="88">
      <c r="A88" s="31" t="inlineStr">
        <is>
          <t>B</t>
        </is>
      </c>
      <c r="B88" s="23" t="inlineStr">
        <is>
          <t>Lentitud / Sistema</t>
        </is>
      </c>
      <c r="C88" s="23" t="inlineStr">
        <is>
          <t>¿Presenta pantalla azul o error?</t>
        </is>
      </c>
      <c r="D88" s="31" t="inlineStr">
        <is>
          <t>YN</t>
        </is>
      </c>
      <c r="E88" s="32" t="n">
        <v>0</v>
      </c>
      <c r="F88" s="32" t="n">
        <v>0</v>
      </c>
      <c r="G88" s="32" t="n">
        <v>1</v>
      </c>
      <c r="H88" s="32" t="n">
        <v>0</v>
      </c>
      <c r="I88" s="33">
        <f>IF(C88="",0,IFERROR(INDEX($E88:$H88,MATCH('Recepción'!$E$5,$E$1:$H$1,0)),0))</f>
        <v/>
      </c>
      <c r="J88" s="33">
        <f>IF(I88=0,0,IF(A88="S",1,IF(OR(B88='Recepción'!$E$13,B88='Recepción'!$E$14,B88='Recepción'!$E$15,AND(B88="Contacto con líquido",'Recepción'!$B$32&lt;&gt;""),AND(B88="Golpe / Caída",'Recepción'!$B$31&lt;&gt;""),AND(B88="No enciende",'Recepción'!$C$34&lt;&gt;"")),1,0)))</f>
        <v/>
      </c>
      <c r="K88" s="33">
        <f>IF(J88=1,COUNTIF($J$2:J88,1),0)</f>
        <v/>
      </c>
    </row>
    <row r="89">
      <c r="A89" s="31" t="inlineStr">
        <is>
          <t>B</t>
        </is>
      </c>
      <c r="B89" s="23" t="inlineStr">
        <is>
          <t>Lentitud / Sistema</t>
        </is>
      </c>
      <c r="C89" s="23" t="inlineStr">
        <is>
          <t>¿Muestra signo de prohibido, pantalla gris o reinicio por error? (Mac)</t>
        </is>
      </c>
      <c r="D89" s="31" t="inlineStr">
        <is>
          <t>YN</t>
        </is>
      </c>
      <c r="E89" s="32" t="n">
        <v>0</v>
      </c>
      <c r="F89" s="32" t="n">
        <v>0</v>
      </c>
      <c r="G89" s="32" t="n">
        <v>1</v>
      </c>
      <c r="H89" s="32" t="n">
        <v>0</v>
      </c>
      <c r="I89" s="33">
        <f>IF(C89="",0,IFERROR(INDEX($E89:$H89,MATCH('Recepción'!$E$5,$E$1:$H$1,0)),0))</f>
        <v/>
      </c>
      <c r="J89" s="33">
        <f>IF(I89=0,0,IF(A89="S",1,IF(OR(B89='Recepción'!$E$13,B89='Recepción'!$E$14,B89='Recepción'!$E$15,AND(B89="Contacto con líquido",'Recepción'!$B$32&lt;&gt;""),AND(B89="Golpe / Caída",'Recepción'!$B$31&lt;&gt;""),AND(B89="No enciende",'Recepción'!$C$34&lt;&gt;"")),1,0)))</f>
        <v/>
      </c>
      <c r="K89" s="33">
        <f>IF(J89=1,COUNTIF($J$2:J89,1),0)</f>
        <v/>
      </c>
    </row>
    <row r="90">
      <c r="A90" s="31" t="inlineStr">
        <is>
          <t>B</t>
        </is>
      </c>
      <c r="B90" s="23" t="inlineStr">
        <is>
          <t>Lentitud / Sistema</t>
        </is>
      </c>
      <c r="C90" s="23" t="inlineStr">
        <is>
          <t>¿Qué código de error aparece en la consola?</t>
        </is>
      </c>
      <c r="D90" s="31" t="inlineStr">
        <is>
          <t>TXT</t>
        </is>
      </c>
      <c r="E90" s="32" t="n">
        <v>0</v>
      </c>
      <c r="F90" s="32" t="n">
        <v>0</v>
      </c>
      <c r="G90" s="32" t="n">
        <v>0</v>
      </c>
      <c r="H90" s="32" t="n">
        <v>1</v>
      </c>
      <c r="I90" s="33">
        <f>IF(C90="",0,IFERROR(INDEX($E90:$H90,MATCH('Recepción'!$E$5,$E$1:$H$1,0)),0))</f>
        <v/>
      </c>
      <c r="J90" s="33">
        <f>IF(I90=0,0,IF(A90="S",1,IF(OR(B90='Recepción'!$E$13,B90='Recepción'!$E$14,B90='Recepción'!$E$15,AND(B90="Contacto con líquido",'Recepción'!$B$32&lt;&gt;""),AND(B90="Golpe / Caída",'Recepción'!$B$31&lt;&gt;""),AND(B90="No enciende",'Recepción'!$C$34&lt;&gt;"")),1,0)))</f>
        <v/>
      </c>
      <c r="K90" s="33">
        <f>IF(J90=1,COUNTIF($J$2:J90,1),0)</f>
        <v/>
      </c>
    </row>
    <row r="91">
      <c r="A91" s="31" t="inlineStr">
        <is>
          <t>B</t>
        </is>
      </c>
      <c r="B91" s="23" t="inlineStr">
        <is>
          <t>Lentitud / Sistema</t>
        </is>
      </c>
      <c r="C91" s="23" t="inlineStr">
        <is>
          <t>¿Qué programa, app o juego falla en específico?</t>
        </is>
      </c>
      <c r="D91" s="31" t="inlineStr">
        <is>
          <t>TXT</t>
        </is>
      </c>
      <c r="E91" s="32" t="n">
        <v>1</v>
      </c>
      <c r="F91" s="32" t="n">
        <v>1</v>
      </c>
      <c r="G91" s="32" t="n">
        <v>1</v>
      </c>
      <c r="H91" s="32" t="n">
        <v>1</v>
      </c>
      <c r="I91" s="33">
        <f>IF(C91="",0,IFERROR(INDEX($E91:$H91,MATCH('Recepción'!$E$5,$E$1:$H$1,0)),0))</f>
        <v/>
      </c>
      <c r="J91" s="33">
        <f>IF(I91=0,0,IF(A91="S",1,IF(OR(B91='Recepción'!$E$13,B91='Recepción'!$E$14,B91='Recepción'!$E$15,AND(B91="Contacto con líquido",'Recepción'!$B$32&lt;&gt;""),AND(B91="Golpe / Caída",'Recepción'!$B$31&lt;&gt;""),AND(B91="No enciende",'Recepción'!$C$34&lt;&gt;"")),1,0)))</f>
        <v/>
      </c>
      <c r="K91" s="33">
        <f>IF(J91=1,COUNTIF($J$2:J91,1),0)</f>
        <v/>
      </c>
    </row>
    <row r="92">
      <c r="A92" s="31" t="inlineStr">
        <is>
          <t>B</t>
        </is>
      </c>
      <c r="B92" s="23" t="inlineStr">
        <is>
          <t>Lentitud / Sistema</t>
        </is>
      </c>
      <c r="C92" s="23" t="inlineStr">
        <is>
          <t>¿Se realizó recientemente alguna actualización?</t>
        </is>
      </c>
      <c r="D92" s="31" t="inlineStr">
        <is>
          <t>YN</t>
        </is>
      </c>
      <c r="E92" s="32" t="n">
        <v>1</v>
      </c>
      <c r="F92" s="32" t="n">
        <v>1</v>
      </c>
      <c r="G92" s="32" t="n">
        <v>1</v>
      </c>
      <c r="H92" s="32" t="n">
        <v>1</v>
      </c>
      <c r="I92" s="33">
        <f>IF(C92="",0,IFERROR(INDEX($E92:$H92,MATCH('Recepción'!$E$5,$E$1:$H$1,0)),0))</f>
        <v/>
      </c>
      <c r="J92" s="33">
        <f>IF(I92=0,0,IF(A92="S",1,IF(OR(B92='Recepción'!$E$13,B92='Recepción'!$E$14,B92='Recepción'!$E$15,AND(B92="Contacto con líquido",'Recepción'!$B$32&lt;&gt;""),AND(B92="Golpe / Caída",'Recepción'!$B$31&lt;&gt;""),AND(B92="No enciende",'Recepción'!$C$34&lt;&gt;"")),1,0)))</f>
        <v/>
      </c>
      <c r="K92" s="33">
        <f>IF(J92=1,COUNTIF($J$2:J92,1),0)</f>
        <v/>
      </c>
    </row>
    <row r="93">
      <c r="A93" s="31" t="inlineStr">
        <is>
          <t>B</t>
        </is>
      </c>
      <c r="B93" s="23" t="inlineStr">
        <is>
          <t>Lentitud / Sistema</t>
        </is>
      </c>
      <c r="C93" s="23" t="inlineStr">
        <is>
          <t>¿Aparece «memoria llena» o tiene poco almacenamiento?</t>
        </is>
      </c>
      <c r="D93" s="31" t="inlineStr">
        <is>
          <t>YN</t>
        </is>
      </c>
      <c r="E93" s="32" t="n">
        <v>1</v>
      </c>
      <c r="F93" s="32" t="n">
        <v>0</v>
      </c>
      <c r="G93" s="32" t="n">
        <v>0</v>
      </c>
      <c r="H93" s="32" t="n">
        <v>0</v>
      </c>
      <c r="I93" s="33">
        <f>IF(C93="",0,IFERROR(INDEX($E93:$H93,MATCH('Recepción'!$E$5,$E$1:$H$1,0)),0))</f>
        <v/>
      </c>
      <c r="J93" s="33">
        <f>IF(I93=0,0,IF(A93="S",1,IF(OR(B93='Recepción'!$E$13,B93='Recepción'!$E$14,B93='Recepción'!$E$15,AND(B93="Contacto con líquido",'Recepción'!$B$32&lt;&gt;""),AND(B93="Golpe / Caída",'Recepción'!$B$31&lt;&gt;""),AND(B93="No enciende",'Recepción'!$C$34&lt;&gt;"")),1,0)))</f>
        <v/>
      </c>
      <c r="K93" s="33">
        <f>IF(J93=1,COUNTIF($J$2:J93,1),0)</f>
        <v/>
      </c>
    </row>
    <row r="94">
      <c r="A94" s="31" t="inlineStr">
        <is>
          <t>B</t>
        </is>
      </c>
      <c r="B94" s="23" t="inlineStr">
        <is>
          <t>Lentitud / Sistema</t>
        </is>
      </c>
      <c r="C94" s="23" t="inlineStr">
        <is>
          <t>¿Las aplicaciones se cierran solas?</t>
        </is>
      </c>
      <c r="D94" s="31" t="inlineStr">
        <is>
          <t>YN</t>
        </is>
      </c>
      <c r="E94" s="32" t="n">
        <v>1</v>
      </c>
      <c r="F94" s="32" t="n">
        <v>0</v>
      </c>
      <c r="G94" s="32" t="n">
        <v>0</v>
      </c>
      <c r="H94" s="32" t="n">
        <v>0</v>
      </c>
      <c r="I94" s="33">
        <f>IF(C94="",0,IFERROR(INDEX($E94:$H94,MATCH('Recepción'!$E$5,$E$1:$H$1,0)),0))</f>
        <v/>
      </c>
      <c r="J94" s="33">
        <f>IF(I94=0,0,IF(A94="S",1,IF(OR(B94='Recepción'!$E$13,B94='Recepción'!$E$14,B94='Recepción'!$E$15,AND(B94="Contacto con líquido",'Recepción'!$B$32&lt;&gt;""),AND(B94="Golpe / Caída",'Recepción'!$B$31&lt;&gt;""),AND(B94="No enciende",'Recepción'!$C$34&lt;&gt;"")),1,0)))</f>
        <v/>
      </c>
      <c r="K94" s="33">
        <f>IF(J94=1,COUNTIF($J$2:J94,1),0)</f>
        <v/>
      </c>
    </row>
    <row r="95">
      <c r="A95" s="31" t="inlineStr">
        <is>
          <t>B</t>
        </is>
      </c>
      <c r="B95" s="23" t="inlineStr">
        <is>
          <t>Lentitud / Sistema</t>
        </is>
      </c>
      <c r="C95" s="23" t="inlineStr">
        <is>
          <t>¿Necesita conservar los programas instalados?</t>
        </is>
      </c>
      <c r="D95" s="31" t="inlineStr">
        <is>
          <t>YN</t>
        </is>
      </c>
      <c r="E95" s="32" t="n">
        <v>0</v>
      </c>
      <c r="F95" s="32" t="n">
        <v>0</v>
      </c>
      <c r="G95" s="32" t="n">
        <v>1</v>
      </c>
      <c r="H95" s="32" t="n">
        <v>0</v>
      </c>
      <c r="I95" s="33">
        <f>IF(C95="",0,IFERROR(INDEX($E95:$H95,MATCH('Recepción'!$E$5,$E$1:$H$1,0)),0))</f>
        <v/>
      </c>
      <c r="J95" s="33">
        <f>IF(I95=0,0,IF(A95="S",1,IF(OR(B95='Recepción'!$E$13,B95='Recepción'!$E$14,B95='Recepción'!$E$15,AND(B95="Contacto con líquido",'Recepción'!$B$32&lt;&gt;""),AND(B95="Golpe / Caída",'Recepción'!$B$31&lt;&gt;""),AND(B95="No enciende",'Recepción'!$C$34&lt;&gt;"")),1,0)))</f>
        <v/>
      </c>
      <c r="K95" s="33">
        <f>IF(J95=1,COUNTIF($J$2:J95,1),0)</f>
        <v/>
      </c>
    </row>
    <row r="96">
      <c r="A96" s="31" t="inlineStr">
        <is>
          <t>B</t>
        </is>
      </c>
      <c r="B96" s="23" t="inlineStr">
        <is>
          <t>Lentitud / Sistema</t>
        </is>
      </c>
      <c r="C96" s="23" t="inlineStr">
        <is>
          <t>¿Tiene virus, anuncios o ventanas emergentes?</t>
        </is>
      </c>
      <c r="D96" s="31" t="inlineStr">
        <is>
          <t>YN</t>
        </is>
      </c>
      <c r="E96" s="32" t="n">
        <v>0</v>
      </c>
      <c r="F96" s="32" t="n">
        <v>0</v>
      </c>
      <c r="G96" s="32" t="n">
        <v>1</v>
      </c>
      <c r="H96" s="32" t="n">
        <v>0</v>
      </c>
      <c r="I96" s="33">
        <f>IF(C96="",0,IFERROR(INDEX($E96:$H96,MATCH('Recepción'!$E$5,$E$1:$H$1,0)),0))</f>
        <v/>
      </c>
      <c r="J96" s="33">
        <f>IF(I96=0,0,IF(A96="S",1,IF(OR(B96='Recepción'!$E$13,B96='Recepción'!$E$14,B96='Recepción'!$E$15,AND(B96="Contacto con líquido",'Recepción'!$B$32&lt;&gt;""),AND(B96="Golpe / Caída",'Recepción'!$B$31&lt;&gt;""),AND(B96="No enciende",'Recepción'!$C$34&lt;&gt;"")),1,0)))</f>
        <v/>
      </c>
      <c r="K96" s="33">
        <f>IF(J96=1,COUNTIF($J$2:J96,1),0)</f>
        <v/>
      </c>
    </row>
    <row r="97">
      <c r="A97" s="31" t="inlineStr">
        <is>
          <t>B</t>
        </is>
      </c>
      <c r="B97" s="23" t="inlineStr">
        <is>
          <t>Lentitud / Sistema</t>
        </is>
      </c>
      <c r="C97" s="23" t="inlineStr">
        <is>
          <t>¿Qué sistema operativo y versión utiliza?</t>
        </is>
      </c>
      <c r="D97" s="31" t="inlineStr">
        <is>
          <t>TXT</t>
        </is>
      </c>
      <c r="E97" s="32" t="n">
        <v>0</v>
      </c>
      <c r="F97" s="32" t="n">
        <v>0</v>
      </c>
      <c r="G97" s="32" t="n">
        <v>1</v>
      </c>
      <c r="H97" s="32" t="n">
        <v>0</v>
      </c>
      <c r="I97" s="33">
        <f>IF(C97="",0,IFERROR(INDEX($E97:$H97,MATCH('Recepción'!$E$5,$E$1:$H$1,0)),0))</f>
        <v/>
      </c>
      <c r="J97" s="33">
        <f>IF(I97=0,0,IF(A97="S",1,IF(OR(B97='Recepción'!$E$13,B97='Recepción'!$E$14,B97='Recepción'!$E$15,AND(B97="Contacto con líquido",'Recepción'!$B$32&lt;&gt;""),AND(B97="Golpe / Caída",'Recepción'!$B$31&lt;&gt;""),AND(B97="No enciende",'Recepción'!$C$34&lt;&gt;"")),1,0)))</f>
        <v/>
      </c>
      <c r="K97" s="33">
        <f>IF(J97=1,COUNTIF($J$2:J97,1),0)</f>
        <v/>
      </c>
    </row>
    <row r="98">
      <c r="A98" s="31" t="inlineStr">
        <is>
          <t>B</t>
        </is>
      </c>
      <c r="B98" s="23" t="inlineStr">
        <is>
          <t>Disco / Almacenamiento</t>
        </is>
      </c>
      <c r="C98" s="23" t="inlineStr">
        <is>
          <t>¿Se escuchan clics o ruidos raros del disco?</t>
        </is>
      </c>
      <c r="D98" s="31" t="inlineStr">
        <is>
          <t>YN</t>
        </is>
      </c>
      <c r="E98" s="32" t="n">
        <v>0</v>
      </c>
      <c r="F98" s="32" t="n">
        <v>0</v>
      </c>
      <c r="G98" s="32" t="n">
        <v>1</v>
      </c>
      <c r="H98" s="32" t="n">
        <v>1</v>
      </c>
      <c r="I98" s="33">
        <f>IF(C98="",0,IFERROR(INDEX($E98:$H98,MATCH('Recepción'!$E$5,$E$1:$H$1,0)),0))</f>
        <v/>
      </c>
      <c r="J98" s="33">
        <f>IF(I98=0,0,IF(A98="S",1,IF(OR(B98='Recepción'!$E$13,B98='Recepción'!$E$14,B98='Recepción'!$E$15,AND(B98="Contacto con líquido",'Recepción'!$B$32&lt;&gt;""),AND(B98="Golpe / Caída",'Recepción'!$B$31&lt;&gt;""),AND(B98="No enciende",'Recepción'!$C$34&lt;&gt;"")),1,0)))</f>
        <v/>
      </c>
      <c r="K98" s="33">
        <f>IF(J98=1,COUNTIF($J$2:J98,1),0)</f>
        <v/>
      </c>
    </row>
    <row r="99">
      <c r="A99" s="31" t="inlineStr">
        <is>
          <t>B</t>
        </is>
      </c>
      <c r="B99" s="23" t="inlineStr">
        <is>
          <t>Disco / Almacenamiento</t>
        </is>
      </c>
      <c r="C99" s="23" t="inlineStr">
        <is>
          <t>¿Aparece «disco no encontrado» o error de arranque?</t>
        </is>
      </c>
      <c r="D99" s="31" t="inlineStr">
        <is>
          <t>YN</t>
        </is>
      </c>
      <c r="E99" s="32" t="n">
        <v>0</v>
      </c>
      <c r="F99" s="32" t="n">
        <v>0</v>
      </c>
      <c r="G99" s="32" t="n">
        <v>1</v>
      </c>
      <c r="H99" s="32" t="n">
        <v>0</v>
      </c>
      <c r="I99" s="33">
        <f>IF(C99="",0,IFERROR(INDEX($E99:$H99,MATCH('Recepción'!$E$5,$E$1:$H$1,0)),0))</f>
        <v/>
      </c>
      <c r="J99" s="33">
        <f>IF(I99=0,0,IF(A99="S",1,IF(OR(B99='Recepción'!$E$13,B99='Recepción'!$E$14,B99='Recepción'!$E$15,AND(B99="Contacto con líquido",'Recepción'!$B$32&lt;&gt;""),AND(B99="Golpe / Caída",'Recepción'!$B$31&lt;&gt;""),AND(B99="No enciende",'Recepción'!$C$34&lt;&gt;"")),1,0)))</f>
        <v/>
      </c>
      <c r="K99" s="33">
        <f>IF(J99=1,COUNTIF($J$2:J99,1),0)</f>
        <v/>
      </c>
    </row>
    <row r="100">
      <c r="A100" s="31" t="inlineStr">
        <is>
          <t>B</t>
        </is>
      </c>
      <c r="B100" s="23" t="inlineStr">
        <is>
          <t>Disco / Almacenamiento</t>
        </is>
      </c>
      <c r="C100" s="23" t="inlineStr">
        <is>
          <t>¿Hay archivos que desaparecen o no se pueden abrir?</t>
        </is>
      </c>
      <c r="D100" s="31" t="inlineStr">
        <is>
          <t>YN</t>
        </is>
      </c>
      <c r="E100" s="32" t="n">
        <v>0</v>
      </c>
      <c r="F100" s="32" t="n">
        <v>0</v>
      </c>
      <c r="G100" s="32" t="n">
        <v>1</v>
      </c>
      <c r="H100" s="32" t="n">
        <v>0</v>
      </c>
      <c r="I100" s="33">
        <f>IF(C100="",0,IFERROR(INDEX($E100:$H100,MATCH('Recepción'!$E$5,$E$1:$H$1,0)),0))</f>
        <v/>
      </c>
      <c r="J100" s="33">
        <f>IF(I100=0,0,IF(A100="S",1,IF(OR(B100='Recepción'!$E$13,B100='Recepción'!$E$14,B100='Recepción'!$E$15,AND(B100="Contacto con líquido",'Recepción'!$B$32&lt;&gt;""),AND(B100="Golpe / Caída",'Recepción'!$B$31&lt;&gt;""),AND(B100="No enciende",'Recepción'!$C$34&lt;&gt;"")),1,0)))</f>
        <v/>
      </c>
      <c r="K100" s="33">
        <f>IF(J100=1,COUNTIF($J$2:J100,1),0)</f>
        <v/>
      </c>
    </row>
    <row r="101">
      <c r="A101" s="31" t="inlineStr">
        <is>
          <t>B</t>
        </is>
      </c>
      <c r="B101" s="23" t="inlineStr">
        <is>
          <t>Disco / Almacenamiento</t>
        </is>
      </c>
      <c r="C101" s="23" t="inlineStr">
        <is>
          <t>¿El almacenamiento interno falla o se llena solo?</t>
        </is>
      </c>
      <c r="D101" s="31" t="inlineStr">
        <is>
          <t>YN</t>
        </is>
      </c>
      <c r="E101" s="32" t="n">
        <v>0</v>
      </c>
      <c r="F101" s="32" t="n">
        <v>0</v>
      </c>
      <c r="G101" s="32" t="n">
        <v>0</v>
      </c>
      <c r="H101" s="32" t="n">
        <v>1</v>
      </c>
      <c r="I101" s="33">
        <f>IF(C101="",0,IFERROR(INDEX($E101:$H101,MATCH('Recepción'!$E$5,$E$1:$H$1,0)),0))</f>
        <v/>
      </c>
      <c r="J101" s="33">
        <f>IF(I101=0,0,IF(A101="S",1,IF(OR(B101='Recepción'!$E$13,B101='Recepción'!$E$14,B101='Recepción'!$E$15,AND(B101="Contacto con líquido",'Recepción'!$B$32&lt;&gt;""),AND(B101="Golpe / Caída",'Recepción'!$B$31&lt;&gt;""),AND(B101="No enciende",'Recepción'!$C$34&lt;&gt;"")),1,0)))</f>
        <v/>
      </c>
      <c r="K101" s="33">
        <f>IF(J101=1,COUNTIF($J$2:J101,1),0)</f>
        <v/>
      </c>
    </row>
    <row r="102">
      <c r="A102" s="31" t="inlineStr">
        <is>
          <t>B</t>
        </is>
      </c>
      <c r="B102" s="23" t="inlineStr">
        <is>
          <t>Cuenta / Bloqueo</t>
        </is>
      </c>
      <c r="C102" s="23" t="inlineStr">
        <is>
          <t>¿Recuerda usuario y contraseña de su cuenta (Apple ID, Google, PSN, Xbox, Nintendo, Microsoft)?</t>
        </is>
      </c>
      <c r="D102" s="31" t="inlineStr">
        <is>
          <t>YN</t>
        </is>
      </c>
      <c r="E102" s="32" t="n">
        <v>1</v>
      </c>
      <c r="F102" s="32" t="n">
        <v>1</v>
      </c>
      <c r="G102" s="32" t="n">
        <v>1</v>
      </c>
      <c r="H102" s="32" t="n">
        <v>1</v>
      </c>
      <c r="I102" s="33">
        <f>IF(C102="",0,IFERROR(INDEX($E102:$H102,MATCH('Recepción'!$E$5,$E$1:$H$1,0)),0))</f>
        <v/>
      </c>
      <c r="J102" s="33">
        <f>IF(I102=0,0,IF(A102="S",1,IF(OR(B102='Recepción'!$E$13,B102='Recepción'!$E$14,B102='Recepción'!$E$15,AND(B102="Contacto con líquido",'Recepción'!$B$32&lt;&gt;""),AND(B102="Golpe / Caída",'Recepción'!$B$31&lt;&gt;""),AND(B102="No enciende",'Recepción'!$C$34&lt;&gt;"")),1,0)))</f>
        <v/>
      </c>
      <c r="K102" s="33">
        <f>IF(J102=1,COUNTIF($J$2:J102,1),0)</f>
        <v/>
      </c>
    </row>
    <row r="103">
      <c r="A103" s="31" t="inlineStr">
        <is>
          <t>B</t>
        </is>
      </c>
      <c r="B103" s="23" t="inlineStr">
        <is>
          <t>Cuenta / Bloqueo</t>
        </is>
      </c>
      <c r="C103" s="23" t="inlineStr">
        <is>
          <t>¿El equipo tiene bloqueo por contraseña, PIN o patrón?</t>
        </is>
      </c>
      <c r="D103" s="31" t="inlineStr">
        <is>
          <t>YN</t>
        </is>
      </c>
      <c r="E103" s="32" t="n">
        <v>1</v>
      </c>
      <c r="F103" s="32" t="n">
        <v>1</v>
      </c>
      <c r="G103" s="32" t="n">
        <v>1</v>
      </c>
      <c r="H103" s="32" t="n">
        <v>1</v>
      </c>
      <c r="I103" s="33">
        <f>IF(C103="",0,IFERROR(INDEX($E103:$H103,MATCH('Recepción'!$E$5,$E$1:$H$1,0)),0))</f>
        <v/>
      </c>
      <c r="J103" s="33">
        <f>IF(I103=0,0,IF(A103="S",1,IF(OR(B103='Recepción'!$E$13,B103='Recepción'!$E$14,B103='Recepción'!$E$15,AND(B103="Contacto con líquido",'Recepción'!$B$32&lt;&gt;""),AND(B103="Golpe / Caída",'Recepción'!$B$31&lt;&gt;""),AND(B103="No enciende",'Recepción'!$C$34&lt;&gt;"")),1,0)))</f>
        <v/>
      </c>
      <c r="K103" s="33">
        <f>IF(J103=1,COUNTIF($J$2:J103,1),0)</f>
        <v/>
      </c>
    </row>
    <row r="104">
      <c r="A104" s="31" t="inlineStr">
        <is>
          <t>B</t>
        </is>
      </c>
      <c r="B104" s="23" t="inlineStr">
        <is>
          <t>Cuenta / Bloqueo</t>
        </is>
      </c>
      <c r="C104" s="23" t="inlineStr">
        <is>
          <t>¿Tiene activado «Buscar mi dispositivo» o bloqueo de activación?</t>
        </is>
      </c>
      <c r="D104" s="31" t="inlineStr">
        <is>
          <t>YNS</t>
        </is>
      </c>
      <c r="E104" s="32" t="n">
        <v>1</v>
      </c>
      <c r="F104" s="32" t="n">
        <v>1</v>
      </c>
      <c r="G104" s="32" t="n">
        <v>1</v>
      </c>
      <c r="H104" s="32" t="n">
        <v>0</v>
      </c>
      <c r="I104" s="33">
        <f>IF(C104="",0,IFERROR(INDEX($E104:$H104,MATCH('Recepción'!$E$5,$E$1:$H$1,0)),0))</f>
        <v/>
      </c>
      <c r="J104" s="33">
        <f>IF(I104=0,0,IF(A104="S",1,IF(OR(B104='Recepción'!$E$13,B104='Recepción'!$E$14,B104='Recepción'!$E$15,AND(B104="Contacto con líquido",'Recepción'!$B$32&lt;&gt;""),AND(B104="Golpe / Caída",'Recepción'!$B$31&lt;&gt;""),AND(B104="No enciende",'Recepción'!$C$34&lt;&gt;"")),1,0)))</f>
        <v/>
      </c>
      <c r="K104" s="33">
        <f>IF(J104=1,COUNTIF($J$2:J104,1),0)</f>
        <v/>
      </c>
    </row>
    <row r="105">
      <c r="A105" s="31" t="inlineStr">
        <is>
          <t>B</t>
        </is>
      </c>
      <c r="B105" s="23" t="inlineStr">
        <is>
          <t>Cuenta / Bloqueo</t>
        </is>
      </c>
      <c r="C105" s="23" t="inlineStr">
        <is>
          <t>¿El equipo es de operadora o está bloqueado a una compañía?</t>
        </is>
      </c>
      <c r="D105" s="31" t="inlineStr">
        <is>
          <t>YNS</t>
        </is>
      </c>
      <c r="E105" s="32" t="n">
        <v>1</v>
      </c>
      <c r="F105" s="32" t="n">
        <v>0</v>
      </c>
      <c r="G105" s="32" t="n">
        <v>0</v>
      </c>
      <c r="H105" s="32" t="n">
        <v>0</v>
      </c>
      <c r="I105" s="33">
        <f>IF(C105="",0,IFERROR(INDEX($E105:$H105,MATCH('Recepción'!$E$5,$E$1:$H$1,0)),0))</f>
        <v/>
      </c>
      <c r="J105" s="33">
        <f>IF(I105=0,0,IF(A105="S",1,IF(OR(B105='Recepción'!$E$13,B105='Recepción'!$E$14,B105='Recepción'!$E$15,AND(B105="Contacto con líquido",'Recepción'!$B$32&lt;&gt;""),AND(B105="Golpe / Caída",'Recepción'!$B$31&lt;&gt;""),AND(B105="No enciende",'Recepción'!$C$34&lt;&gt;"")),1,0)))</f>
        <v/>
      </c>
      <c r="K105" s="33">
        <f>IF(J105=1,COUNTIF($J$2:J105,1),0)</f>
        <v/>
      </c>
    </row>
    <row r="106">
      <c r="A106" s="31" t="inlineStr">
        <is>
          <t>B</t>
        </is>
      </c>
      <c r="B106" s="23" t="inlineStr">
        <is>
          <t>Cuenta / Bloqueo</t>
        </is>
      </c>
      <c r="C106" s="23" t="inlineStr">
        <is>
          <t>¿Tiene juegos digitales o partidas guardadas que no puede perder?</t>
        </is>
      </c>
      <c r="D106" s="31" t="inlineStr">
        <is>
          <t>YN</t>
        </is>
      </c>
      <c r="E106" s="32" t="n">
        <v>0</v>
      </c>
      <c r="F106" s="32" t="n">
        <v>0</v>
      </c>
      <c r="G106" s="32" t="n">
        <v>0</v>
      </c>
      <c r="H106" s="32" t="n">
        <v>1</v>
      </c>
      <c r="I106" s="33">
        <f>IF(C106="",0,IFERROR(INDEX($E106:$H106,MATCH('Recepción'!$E$5,$E$1:$H$1,0)),0))</f>
        <v/>
      </c>
      <c r="J106" s="33">
        <f>IF(I106=0,0,IF(A106="S",1,IF(OR(B106='Recepción'!$E$13,B106='Recepción'!$E$14,B106='Recepción'!$E$15,AND(B106="Contacto con líquido",'Recepción'!$B$32&lt;&gt;""),AND(B106="Golpe / Caída",'Recepción'!$B$31&lt;&gt;""),AND(B106="No enciende",'Recepción'!$C$34&lt;&gt;"")),1,0)))</f>
        <v/>
      </c>
      <c r="K106" s="33">
        <f>IF(J106=1,COUNTIF($J$2:J106,1),0)</f>
        <v/>
      </c>
    </row>
    <row r="107">
      <c r="A107" s="31" t="inlineStr">
        <is>
          <t>B</t>
        </is>
      </c>
      <c r="B107" s="23" t="inlineStr">
        <is>
          <t>Audio / Cámara / Micrófono</t>
        </is>
      </c>
      <c r="C107" s="23" t="inlineStr">
        <is>
          <t>¿La bocina no suena o suena distorsionada?</t>
        </is>
      </c>
      <c r="D107" s="31" t="inlineStr">
        <is>
          <t>YN</t>
        </is>
      </c>
      <c r="E107" s="32" t="n">
        <v>1</v>
      </c>
      <c r="F107" s="32" t="n">
        <v>1</v>
      </c>
      <c r="G107" s="32" t="n">
        <v>1</v>
      </c>
      <c r="H107" s="32" t="n">
        <v>1</v>
      </c>
      <c r="I107" s="33">
        <f>IF(C107="",0,IFERROR(INDEX($E107:$H107,MATCH('Recepción'!$E$5,$E$1:$H$1,0)),0))</f>
        <v/>
      </c>
      <c r="J107" s="33">
        <f>IF(I107=0,0,IF(A107="S",1,IF(OR(B107='Recepción'!$E$13,B107='Recepción'!$E$14,B107='Recepción'!$E$15,AND(B107="Contacto con líquido",'Recepción'!$B$32&lt;&gt;""),AND(B107="Golpe / Caída",'Recepción'!$B$31&lt;&gt;""),AND(B107="No enciende",'Recepción'!$C$34&lt;&gt;"")),1,0)))</f>
        <v/>
      </c>
      <c r="K107" s="33">
        <f>IF(J107=1,COUNTIF($J$2:J107,1),0)</f>
        <v/>
      </c>
    </row>
    <row r="108">
      <c r="A108" s="31" t="inlineStr">
        <is>
          <t>B</t>
        </is>
      </c>
      <c r="B108" s="23" t="inlineStr">
        <is>
          <t>Audio / Cámara / Micrófono</t>
        </is>
      </c>
      <c r="C108" s="23" t="inlineStr">
        <is>
          <t>¿Se escucha solo de un lado?</t>
        </is>
      </c>
      <c r="D108" s="31" t="inlineStr">
        <is>
          <t>YN</t>
        </is>
      </c>
      <c r="E108" s="32" t="n">
        <v>1</v>
      </c>
      <c r="F108" s="32" t="n">
        <v>0</v>
      </c>
      <c r="G108" s="32" t="n">
        <v>1</v>
      </c>
      <c r="H108" s="32" t="n">
        <v>1</v>
      </c>
      <c r="I108" s="33">
        <f>IF(C108="",0,IFERROR(INDEX($E108:$H108,MATCH('Recepción'!$E$5,$E$1:$H$1,0)),0))</f>
        <v/>
      </c>
      <c r="J108" s="33">
        <f>IF(I108=0,0,IF(A108="S",1,IF(OR(B108='Recepción'!$E$13,B108='Recepción'!$E$14,B108='Recepción'!$E$15,AND(B108="Contacto con líquido",'Recepción'!$B$32&lt;&gt;""),AND(B108="Golpe / Caída",'Recepción'!$B$31&lt;&gt;""),AND(B108="No enciende",'Recepción'!$C$34&lt;&gt;"")),1,0)))</f>
        <v/>
      </c>
      <c r="K108" s="33">
        <f>IF(J108=1,COUNTIF($J$2:J108,1),0)</f>
        <v/>
      </c>
    </row>
    <row r="109">
      <c r="A109" s="31" t="inlineStr">
        <is>
          <t>B</t>
        </is>
      </c>
      <c r="B109" s="23" t="inlineStr">
        <is>
          <t>Audio / Cámara / Micrófono</t>
        </is>
      </c>
      <c r="C109" s="23" t="inlineStr">
        <is>
          <t>¿El micrófono no se escucha?</t>
        </is>
      </c>
      <c r="D109" s="31" t="inlineStr">
        <is>
          <t>YN</t>
        </is>
      </c>
      <c r="E109" s="32" t="n">
        <v>1</v>
      </c>
      <c r="F109" s="32" t="n">
        <v>1</v>
      </c>
      <c r="G109" s="32" t="n">
        <v>1</v>
      </c>
      <c r="H109" s="32" t="n">
        <v>0</v>
      </c>
      <c r="I109" s="33">
        <f>IF(C109="",0,IFERROR(INDEX($E109:$H109,MATCH('Recepción'!$E$5,$E$1:$H$1,0)),0))</f>
        <v/>
      </c>
      <c r="J109" s="33">
        <f>IF(I109=0,0,IF(A109="S",1,IF(OR(B109='Recepción'!$E$13,B109='Recepción'!$E$14,B109='Recepción'!$E$15,AND(B109="Contacto con líquido",'Recepción'!$B$32&lt;&gt;""),AND(B109="Golpe / Caída",'Recepción'!$B$31&lt;&gt;""),AND(B109="No enciende",'Recepción'!$C$34&lt;&gt;"")),1,0)))</f>
        <v/>
      </c>
      <c r="K109" s="33">
        <f>IF(J109=1,COUNTIF($J$2:J109,1),0)</f>
        <v/>
      </c>
    </row>
    <row r="110">
      <c r="A110" s="31" t="inlineStr">
        <is>
          <t>B</t>
        </is>
      </c>
      <c r="B110" s="23" t="inlineStr">
        <is>
          <t>Audio / Cámara / Micrófono</t>
        </is>
      </c>
      <c r="C110" s="23" t="inlineStr">
        <is>
          <t>¿La cámara frontal o webcam falla?</t>
        </is>
      </c>
      <c r="D110" s="31" t="inlineStr">
        <is>
          <t>YN</t>
        </is>
      </c>
      <c r="E110" s="32" t="n">
        <v>1</v>
      </c>
      <c r="F110" s="32" t="n">
        <v>0</v>
      </c>
      <c r="G110" s="32" t="n">
        <v>1</v>
      </c>
      <c r="H110" s="32" t="n">
        <v>0</v>
      </c>
      <c r="I110" s="33">
        <f>IF(C110="",0,IFERROR(INDEX($E110:$H110,MATCH('Recepción'!$E$5,$E$1:$H$1,0)),0))</f>
        <v/>
      </c>
      <c r="J110" s="33">
        <f>IF(I110=0,0,IF(A110="S",1,IF(OR(B110='Recepción'!$E$13,B110='Recepción'!$E$14,B110='Recepción'!$E$15,AND(B110="Contacto con líquido",'Recepción'!$B$32&lt;&gt;""),AND(B110="Golpe / Caída",'Recepción'!$B$31&lt;&gt;""),AND(B110="No enciende",'Recepción'!$C$34&lt;&gt;"")),1,0)))</f>
        <v/>
      </c>
      <c r="K110" s="33">
        <f>IF(J110=1,COUNTIF($J$2:J110,1),0)</f>
        <v/>
      </c>
    </row>
    <row r="111">
      <c r="A111" s="31" t="inlineStr">
        <is>
          <t>B</t>
        </is>
      </c>
      <c r="B111" s="23" t="inlineStr">
        <is>
          <t>Audio / Cámara / Micrófono</t>
        </is>
      </c>
      <c r="C111" s="23" t="inlineStr">
        <is>
          <t>¿La cámara trasera falla o sale borrosa?</t>
        </is>
      </c>
      <c r="D111" s="31" t="inlineStr">
        <is>
          <t>YN</t>
        </is>
      </c>
      <c r="E111" s="32" t="n">
        <v>1</v>
      </c>
      <c r="F111" s="32" t="n">
        <v>0</v>
      </c>
      <c r="G111" s="32" t="n">
        <v>0</v>
      </c>
      <c r="H111" s="32" t="n">
        <v>0</v>
      </c>
      <c r="I111" s="33">
        <f>IF(C111="",0,IFERROR(INDEX($E111:$H111,MATCH('Recepción'!$E$5,$E$1:$H$1,0)),0))</f>
        <v/>
      </c>
      <c r="J111" s="33">
        <f>IF(I111=0,0,IF(A111="S",1,IF(OR(B111='Recepción'!$E$13,B111='Recepción'!$E$14,B111='Recepción'!$E$15,AND(B111="Contacto con líquido",'Recepción'!$B$32&lt;&gt;""),AND(B111="Golpe / Caída",'Recepción'!$B$31&lt;&gt;""),AND(B111="No enciende",'Recepción'!$C$34&lt;&gt;"")),1,0)))</f>
        <v/>
      </c>
      <c r="K111" s="33">
        <f>IF(J111=1,COUNTIF($J$2:J111,1),0)</f>
        <v/>
      </c>
    </row>
    <row r="112">
      <c r="A112" s="31" t="inlineStr">
        <is>
          <t>B</t>
        </is>
      </c>
      <c r="B112" s="23" t="inlineStr">
        <is>
          <t>Audio / Cámara / Micrófono</t>
        </is>
      </c>
      <c r="C112" s="23" t="inlineStr">
        <is>
          <t>¿El puerto de audífonos no funciona?</t>
        </is>
      </c>
      <c r="D112" s="31" t="inlineStr">
        <is>
          <t>YN</t>
        </is>
      </c>
      <c r="E112" s="32" t="n">
        <v>1</v>
      </c>
      <c r="F112" s="32" t="n">
        <v>0</v>
      </c>
      <c r="G112" s="32" t="n">
        <v>1</v>
      </c>
      <c r="H112" s="32" t="n">
        <v>0</v>
      </c>
      <c r="I112" s="33">
        <f>IF(C112="",0,IFERROR(INDEX($E112:$H112,MATCH('Recepción'!$E$5,$E$1:$H$1,0)),0))</f>
        <v/>
      </c>
      <c r="J112" s="33">
        <f>IF(I112=0,0,IF(A112="S",1,IF(OR(B112='Recepción'!$E$13,B112='Recepción'!$E$14,B112='Recepción'!$E$15,AND(B112="Contacto con líquido",'Recepción'!$B$32&lt;&gt;""),AND(B112="Golpe / Caída",'Recepción'!$B$31&lt;&gt;""),AND(B112="No enciende",'Recepción'!$C$34&lt;&gt;"")),1,0)))</f>
        <v/>
      </c>
      <c r="K112" s="33">
        <f>IF(J112=1,COUNTIF($J$2:J112,1),0)</f>
        <v/>
      </c>
    </row>
    <row r="113">
      <c r="A113" s="31" t="inlineStr">
        <is>
          <t>B</t>
        </is>
      </c>
      <c r="B113" s="23" t="inlineStr">
        <is>
          <t>Audio / Cámara / Micrófono</t>
        </is>
      </c>
      <c r="C113" s="23" t="inlineStr">
        <is>
          <t>¿La vibración no funciona?</t>
        </is>
      </c>
      <c r="D113" s="31" t="inlineStr">
        <is>
          <t>YN</t>
        </is>
      </c>
      <c r="E113" s="32" t="n">
        <v>1</v>
      </c>
      <c r="F113" s="32" t="n">
        <v>1</v>
      </c>
      <c r="G113" s="32" t="n">
        <v>0</v>
      </c>
      <c r="H113" s="32" t="n">
        <v>0</v>
      </c>
      <c r="I113" s="33">
        <f>IF(C113="",0,IFERROR(INDEX($E113:$H113,MATCH('Recepción'!$E$5,$E$1:$H$1,0)),0))</f>
        <v/>
      </c>
      <c r="J113" s="33">
        <f>IF(I113=0,0,IF(A113="S",1,IF(OR(B113='Recepción'!$E$13,B113='Recepción'!$E$14,B113='Recepción'!$E$15,AND(B113="Contacto con líquido",'Recepción'!$B$32&lt;&gt;""),AND(B113="Golpe / Caída",'Recepción'!$B$31&lt;&gt;""),AND(B113="No enciende",'Recepción'!$C$34&lt;&gt;"")),1,0)))</f>
        <v/>
      </c>
      <c r="K113" s="33">
        <f>IF(J113=1,COUNTIF($J$2:J113,1),0)</f>
        <v/>
      </c>
    </row>
    <row r="114">
      <c r="A114" s="31" t="inlineStr">
        <is>
          <t>B</t>
        </is>
      </c>
      <c r="B114" s="23" t="inlineStr">
        <is>
          <t>Red / Señal / Conectividad</t>
        </is>
      </c>
      <c r="C114" s="23" t="inlineStr">
        <is>
          <t>¿Aparece «sin servicio» o no detecta la SIM?</t>
        </is>
      </c>
      <c r="D114" s="31" t="inlineStr">
        <is>
          <t>YN</t>
        </is>
      </c>
      <c r="E114" s="32" t="n">
        <v>1</v>
      </c>
      <c r="F114" s="32" t="n">
        <v>0</v>
      </c>
      <c r="G114" s="32" t="n">
        <v>0</v>
      </c>
      <c r="H114" s="32" t="n">
        <v>0</v>
      </c>
      <c r="I114" s="33">
        <f>IF(C114="",0,IFERROR(INDEX($E114:$H114,MATCH('Recepción'!$E$5,$E$1:$H$1,0)),0))</f>
        <v/>
      </c>
      <c r="J114" s="33">
        <f>IF(I114=0,0,IF(A114="S",1,IF(OR(B114='Recepción'!$E$13,B114='Recepción'!$E$14,B114='Recepción'!$E$15,AND(B114="Contacto con líquido",'Recepción'!$B$32&lt;&gt;""),AND(B114="Golpe / Caída",'Recepción'!$B$31&lt;&gt;""),AND(B114="No enciende",'Recepción'!$C$34&lt;&gt;"")),1,0)))</f>
        <v/>
      </c>
      <c r="K114" s="33">
        <f>IF(J114=1,COUNTIF($J$2:J114,1),0)</f>
        <v/>
      </c>
    </row>
    <row r="115">
      <c r="A115" s="31" t="inlineStr">
        <is>
          <t>B</t>
        </is>
      </c>
      <c r="B115" s="23" t="inlineStr">
        <is>
          <t>Red / Señal / Conectividad</t>
        </is>
      </c>
      <c r="C115" s="23" t="inlineStr">
        <is>
          <t>¿Las llamadas se cortan o no entran?</t>
        </is>
      </c>
      <c r="D115" s="31" t="inlineStr">
        <is>
          <t>YN</t>
        </is>
      </c>
      <c r="E115" s="32" t="n">
        <v>1</v>
      </c>
      <c r="F115" s="32" t="n">
        <v>0</v>
      </c>
      <c r="G115" s="32" t="n">
        <v>0</v>
      </c>
      <c r="H115" s="32" t="n">
        <v>0</v>
      </c>
      <c r="I115" s="33">
        <f>IF(C115="",0,IFERROR(INDEX($E115:$H115,MATCH('Recepción'!$E$5,$E$1:$H$1,0)),0))</f>
        <v/>
      </c>
      <c r="J115" s="33">
        <f>IF(I115=0,0,IF(A115="S",1,IF(OR(B115='Recepción'!$E$13,B115='Recepción'!$E$14,B115='Recepción'!$E$15,AND(B115="Contacto con líquido",'Recepción'!$B$32&lt;&gt;""),AND(B115="Golpe / Caída",'Recepción'!$B$31&lt;&gt;""),AND(B115="No enciende",'Recepción'!$C$34&lt;&gt;"")),1,0)))</f>
        <v/>
      </c>
      <c r="K115" s="33">
        <f>IF(J115=1,COUNTIF($J$2:J115,1),0)</f>
        <v/>
      </c>
    </row>
    <row r="116">
      <c r="A116" s="31" t="inlineStr">
        <is>
          <t>B</t>
        </is>
      </c>
      <c r="B116" s="23" t="inlineStr">
        <is>
          <t>Red / Señal / Conectividad</t>
        </is>
      </c>
      <c r="C116" s="23" t="inlineStr">
        <is>
          <t>¿Los datos móviles no funcionan?</t>
        </is>
      </c>
      <c r="D116" s="31" t="inlineStr">
        <is>
          <t>YN</t>
        </is>
      </c>
      <c r="E116" s="32" t="n">
        <v>1</v>
      </c>
      <c r="F116" s="32" t="n">
        <v>0</v>
      </c>
      <c r="G116" s="32" t="n">
        <v>0</v>
      </c>
      <c r="H116" s="32" t="n">
        <v>0</v>
      </c>
      <c r="I116" s="33">
        <f>IF(C116="",0,IFERROR(INDEX($E116:$H116,MATCH('Recepción'!$E$5,$E$1:$H$1,0)),0))</f>
        <v/>
      </c>
      <c r="J116" s="33">
        <f>IF(I116=0,0,IF(A116="S",1,IF(OR(B116='Recepción'!$E$13,B116='Recepción'!$E$14,B116='Recepción'!$E$15,AND(B116="Contacto con líquido",'Recepción'!$B$32&lt;&gt;""),AND(B116="Golpe / Caída",'Recepción'!$B$31&lt;&gt;""),AND(B116="No enciende",'Recepción'!$C$34&lt;&gt;"")),1,0)))</f>
        <v/>
      </c>
      <c r="K116" s="33">
        <f>IF(J116=1,COUNTIF($J$2:J116,1),0)</f>
        <v/>
      </c>
    </row>
    <row r="117">
      <c r="A117" s="31" t="inlineStr">
        <is>
          <t>B</t>
        </is>
      </c>
      <c r="B117" s="23" t="inlineStr">
        <is>
          <t>Red / Señal / Conectividad</t>
        </is>
      </c>
      <c r="C117" s="23" t="inlineStr">
        <is>
          <t>¿Ha probado la SIM en otro equipo?</t>
        </is>
      </c>
      <c r="D117" s="31" t="inlineStr">
        <is>
          <t>YN</t>
        </is>
      </c>
      <c r="E117" s="32" t="n">
        <v>1</v>
      </c>
      <c r="F117" s="32" t="n">
        <v>0</v>
      </c>
      <c r="G117" s="32" t="n">
        <v>0</v>
      </c>
      <c r="H117" s="32" t="n">
        <v>0</v>
      </c>
      <c r="I117" s="33">
        <f>IF(C117="",0,IFERROR(INDEX($E117:$H117,MATCH('Recepción'!$E$5,$E$1:$H$1,0)),0))</f>
        <v/>
      </c>
      <c r="J117" s="33">
        <f>IF(I117=0,0,IF(A117="S",1,IF(OR(B117='Recepción'!$E$13,B117='Recepción'!$E$14,B117='Recepción'!$E$15,AND(B117="Contacto con líquido",'Recepción'!$B$32&lt;&gt;""),AND(B117="Golpe / Caída",'Recepción'!$B$31&lt;&gt;""),AND(B117="No enciende",'Recepción'!$C$34&lt;&gt;"")),1,0)))</f>
        <v/>
      </c>
      <c r="K117" s="33">
        <f>IF(J117=1,COUNTIF($J$2:J117,1),0)</f>
        <v/>
      </c>
    </row>
    <row r="118">
      <c r="A118" s="31" t="inlineStr">
        <is>
          <t>B</t>
        </is>
      </c>
      <c r="B118" s="23" t="inlineStr">
        <is>
          <t>Red / Señal / Conectividad</t>
        </is>
      </c>
      <c r="C118" s="23" t="inlineStr">
        <is>
          <t>¿El Wi-Fi no conecta o se desconecta?</t>
        </is>
      </c>
      <c r="D118" s="31" t="inlineStr">
        <is>
          <t>YN</t>
        </is>
      </c>
      <c r="E118" s="32" t="n">
        <v>1</v>
      </c>
      <c r="F118" s="32" t="n">
        <v>0</v>
      </c>
      <c r="G118" s="32" t="n">
        <v>1</v>
      </c>
      <c r="H118" s="32" t="n">
        <v>1</v>
      </c>
      <c r="I118" s="33">
        <f>IF(C118="",0,IFERROR(INDEX($E118:$H118,MATCH('Recepción'!$E$5,$E$1:$H$1,0)),0))</f>
        <v/>
      </c>
      <c r="J118" s="33">
        <f>IF(I118=0,0,IF(A118="S",1,IF(OR(B118='Recepción'!$E$13,B118='Recepción'!$E$14,B118='Recepción'!$E$15,AND(B118="Contacto con líquido",'Recepción'!$B$32&lt;&gt;""),AND(B118="Golpe / Caída",'Recepción'!$B$31&lt;&gt;""),AND(B118="No enciende",'Recepción'!$C$34&lt;&gt;"")),1,0)))</f>
        <v/>
      </c>
      <c r="K118" s="33">
        <f>IF(J118=1,COUNTIF($J$2:J118,1),0)</f>
        <v/>
      </c>
    </row>
    <row r="119">
      <c r="A119" s="31" t="inlineStr">
        <is>
          <t>B</t>
        </is>
      </c>
      <c r="B119" s="23" t="inlineStr">
        <is>
          <t>Red / Señal / Conectividad</t>
        </is>
      </c>
      <c r="C119" s="23" t="inlineStr">
        <is>
          <t>¿El Bluetooth no funciona?</t>
        </is>
      </c>
      <c r="D119" s="31" t="inlineStr">
        <is>
          <t>YN</t>
        </is>
      </c>
      <c r="E119" s="32" t="n">
        <v>1</v>
      </c>
      <c r="F119" s="32" t="n">
        <v>1</v>
      </c>
      <c r="G119" s="32" t="n">
        <v>1</v>
      </c>
      <c r="H119" s="32" t="n">
        <v>1</v>
      </c>
      <c r="I119" s="33">
        <f>IF(C119="",0,IFERROR(INDEX($E119:$H119,MATCH('Recepción'!$E$5,$E$1:$H$1,0)),0))</f>
        <v/>
      </c>
      <c r="J119" s="33">
        <f>IF(I119=0,0,IF(A119="S",1,IF(OR(B119='Recepción'!$E$13,B119='Recepción'!$E$14,B119='Recepción'!$E$15,AND(B119="Contacto con líquido",'Recepción'!$B$32&lt;&gt;""),AND(B119="Golpe / Caída",'Recepción'!$B$31&lt;&gt;""),AND(B119="No enciende",'Recepción'!$C$34&lt;&gt;"")),1,0)))</f>
        <v/>
      </c>
      <c r="K119" s="33">
        <f>IF(J119=1,COUNTIF($J$2:J119,1),0)</f>
        <v/>
      </c>
    </row>
    <row r="120">
      <c r="A120" s="31" t="inlineStr">
        <is>
          <t>B</t>
        </is>
      </c>
      <c r="B120" s="23" t="inlineStr">
        <is>
          <t>Red / Señal / Conectividad</t>
        </is>
      </c>
      <c r="C120" s="23" t="inlineStr">
        <is>
          <t>¿El GPS falla?</t>
        </is>
      </c>
      <c r="D120" s="31" t="inlineStr">
        <is>
          <t>YN</t>
        </is>
      </c>
      <c r="E120" s="32" t="n">
        <v>1</v>
      </c>
      <c r="F120" s="32" t="n">
        <v>1</v>
      </c>
      <c r="G120" s="32" t="n">
        <v>0</v>
      </c>
      <c r="H120" s="32" t="n">
        <v>0</v>
      </c>
      <c r="I120" s="33">
        <f>IF(C120="",0,IFERROR(INDEX($E120:$H120,MATCH('Recepción'!$E$5,$E$1:$H$1,0)),0))</f>
        <v/>
      </c>
      <c r="J120" s="33">
        <f>IF(I120=0,0,IF(A120="S",1,IF(OR(B120='Recepción'!$E$13,B120='Recepción'!$E$14,B120='Recepción'!$E$15,AND(B120="Contacto con líquido",'Recepción'!$B$32&lt;&gt;""),AND(B120="Golpe / Caída",'Recepción'!$B$31&lt;&gt;""),AND(B120="No enciende",'Recepción'!$C$34&lt;&gt;"")),1,0)))</f>
        <v/>
      </c>
      <c r="K120" s="33">
        <f>IF(J120=1,COUNTIF($J$2:J120,1),0)</f>
        <v/>
      </c>
    </row>
    <row r="121">
      <c r="A121" s="31" t="inlineStr">
        <is>
          <t>B</t>
        </is>
      </c>
      <c r="B121" s="23" t="inlineStr">
        <is>
          <t>Red / Señal / Conectividad</t>
        </is>
      </c>
      <c r="C121" s="23" t="inlineStr">
        <is>
          <t>¿No sincroniza con el teléfono?</t>
        </is>
      </c>
      <c r="D121" s="31" t="inlineStr">
        <is>
          <t>YN</t>
        </is>
      </c>
      <c r="E121" s="32" t="n">
        <v>0</v>
      </c>
      <c r="F121" s="32" t="n">
        <v>1</v>
      </c>
      <c r="G121" s="32" t="n">
        <v>0</v>
      </c>
      <c r="H121" s="32" t="n">
        <v>0</v>
      </c>
      <c r="I121" s="33">
        <f>IF(C121="",0,IFERROR(INDEX($E121:$H121,MATCH('Recepción'!$E$5,$E$1:$H$1,0)),0))</f>
        <v/>
      </c>
      <c r="J121" s="33">
        <f>IF(I121=0,0,IF(A121="S",1,IF(OR(B121='Recepción'!$E$13,B121='Recepción'!$E$14,B121='Recepción'!$E$15,AND(B121="Contacto con líquido",'Recepción'!$B$32&lt;&gt;""),AND(B121="Golpe / Caída",'Recepción'!$B$31&lt;&gt;""),AND(B121="No enciende",'Recepción'!$C$34&lt;&gt;"")),1,0)))</f>
        <v/>
      </c>
      <c r="K121" s="33">
        <f>IF(J121=1,COUNTIF($J$2:J121,1),0)</f>
        <v/>
      </c>
    </row>
    <row r="122">
      <c r="A122" s="31" t="inlineStr">
        <is>
          <t>B</t>
        </is>
      </c>
      <c r="B122" s="23" t="inlineStr">
        <is>
          <t>Red / Señal / Conectividad</t>
        </is>
      </c>
      <c r="C122" s="23" t="inlineStr">
        <is>
          <t>¿Con qué teléfono está vinculado?</t>
        </is>
      </c>
      <c r="D122" s="31" t="inlineStr">
        <is>
          <t>TXT</t>
        </is>
      </c>
      <c r="E122" s="32" t="n">
        <v>0</v>
      </c>
      <c r="F122" s="32" t="n">
        <v>1</v>
      </c>
      <c r="G122" s="32" t="n">
        <v>0</v>
      </c>
      <c r="H122" s="32" t="n">
        <v>0</v>
      </c>
      <c r="I122" s="33">
        <f>IF(C122="",0,IFERROR(INDEX($E122:$H122,MATCH('Recepción'!$E$5,$E$1:$H$1,0)),0))</f>
        <v/>
      </c>
      <c r="J122" s="33">
        <f>IF(I122=0,0,IF(A122="S",1,IF(OR(B122='Recepción'!$E$13,B122='Recepción'!$E$14,B122='Recepción'!$E$15,AND(B122="Contacto con líquido",'Recepción'!$B$32&lt;&gt;""),AND(B122="Golpe / Caída",'Recepción'!$B$31&lt;&gt;""),AND(B122="No enciende",'Recepción'!$C$34&lt;&gt;"")),1,0)))</f>
        <v/>
      </c>
      <c r="K122" s="33">
        <f>IF(J122=1,COUNTIF($J$2:J122,1),0)</f>
        <v/>
      </c>
    </row>
    <row r="123">
      <c r="A123" s="31" t="inlineStr">
        <is>
          <t>B</t>
        </is>
      </c>
      <c r="B123" s="23" t="inlineStr">
        <is>
          <t>Red / Señal / Conectividad</t>
        </is>
      </c>
      <c r="C123" s="23" t="inlineStr">
        <is>
          <t>¿No le llegan las notificaciones?</t>
        </is>
      </c>
      <c r="D123" s="31" t="inlineStr">
        <is>
          <t>YN</t>
        </is>
      </c>
      <c r="E123" s="32" t="n">
        <v>0</v>
      </c>
      <c r="F123" s="32" t="n">
        <v>1</v>
      </c>
      <c r="G123" s="32" t="n">
        <v>0</v>
      </c>
      <c r="H123" s="32" t="n">
        <v>0</v>
      </c>
      <c r="I123" s="33">
        <f>IF(C123="",0,IFERROR(INDEX($E123:$H123,MATCH('Recepción'!$E$5,$E$1:$H$1,0)),0))</f>
        <v/>
      </c>
      <c r="J123" s="33">
        <f>IF(I123=0,0,IF(A123="S",1,IF(OR(B123='Recepción'!$E$13,B123='Recepción'!$E$14,B123='Recepción'!$E$15,AND(B123="Contacto con líquido",'Recepción'!$B$32&lt;&gt;""),AND(B123="Golpe / Caída",'Recepción'!$B$31&lt;&gt;""),AND(B123="No enciende",'Recepción'!$C$34&lt;&gt;"")),1,0)))</f>
        <v/>
      </c>
      <c r="K123" s="33">
        <f>IF(J123=1,COUNTIF($J$2:J123,1),0)</f>
        <v/>
      </c>
    </row>
    <row r="124">
      <c r="A124" s="31" t="inlineStr">
        <is>
          <t>B</t>
        </is>
      </c>
      <c r="B124" s="23" t="inlineStr">
        <is>
          <t>Red / Señal / Conectividad</t>
        </is>
      </c>
      <c r="C124" s="23" t="inlineStr">
        <is>
          <t>¿El puerto de red (Ethernet) no funciona?</t>
        </is>
      </c>
      <c r="D124" s="31" t="inlineStr">
        <is>
          <t>YN</t>
        </is>
      </c>
      <c r="E124" s="32" t="n">
        <v>0</v>
      </c>
      <c r="F124" s="32" t="n">
        <v>0</v>
      </c>
      <c r="G124" s="32" t="n">
        <v>1</v>
      </c>
      <c r="H124" s="32" t="n">
        <v>0</v>
      </c>
      <c r="I124" s="33">
        <f>IF(C124="",0,IFERROR(INDEX($E124:$H124,MATCH('Recepción'!$E$5,$E$1:$H$1,0)),0))</f>
        <v/>
      </c>
      <c r="J124" s="33">
        <f>IF(I124=0,0,IF(A124="S",1,IF(OR(B124='Recepción'!$E$13,B124='Recepción'!$E$14,B124='Recepción'!$E$15,AND(B124="Contacto con líquido",'Recepción'!$B$32&lt;&gt;""),AND(B124="Golpe / Caída",'Recepción'!$B$31&lt;&gt;""),AND(B124="No enciende",'Recepción'!$C$34&lt;&gt;"")),1,0)))</f>
        <v/>
      </c>
      <c r="K124" s="33">
        <f>IF(J124=1,COUNTIF($J$2:J124,1),0)</f>
        <v/>
      </c>
    </row>
    <row r="125">
      <c r="A125" s="31" t="inlineStr">
        <is>
          <t>B</t>
        </is>
      </c>
      <c r="B125" s="23" t="inlineStr">
        <is>
          <t>Red / Señal / Conectividad</t>
        </is>
      </c>
      <c r="C125" s="23" t="inlineStr">
        <is>
          <t>¿No conecta a los servicios en línea (PSN, Xbox Live, Nintendo)?</t>
        </is>
      </c>
      <c r="D125" s="31" t="inlineStr">
        <is>
          <t>YN</t>
        </is>
      </c>
      <c r="E125" s="32" t="n">
        <v>0</v>
      </c>
      <c r="F125" s="32" t="n">
        <v>0</v>
      </c>
      <c r="G125" s="32" t="n">
        <v>0</v>
      </c>
      <c r="H125" s="32" t="n">
        <v>1</v>
      </c>
      <c r="I125" s="33">
        <f>IF(C125="",0,IFERROR(INDEX($E125:$H125,MATCH('Recepción'!$E$5,$E$1:$H$1,0)),0))</f>
        <v/>
      </c>
      <c r="J125" s="33">
        <f>IF(I125=0,0,IF(A125="S",1,IF(OR(B125='Recepción'!$E$13,B125='Recepción'!$E$14,B125='Recepción'!$E$15,AND(B125="Contacto con líquido",'Recepción'!$B$32&lt;&gt;""),AND(B125="Golpe / Caída",'Recepción'!$B$31&lt;&gt;""),AND(B125="No enciende",'Recepción'!$C$34&lt;&gt;"")),1,0)))</f>
        <v/>
      </c>
      <c r="K125" s="33">
        <f>IF(J125=1,COUNTIF($J$2:J125,1),0)</f>
        <v/>
      </c>
    </row>
    <row r="126">
      <c r="A126" s="31" t="inlineStr">
        <is>
          <t>B</t>
        </is>
      </c>
      <c r="B126" s="23" t="inlineStr">
        <is>
          <t>Teclado / Touchpad / Puertos</t>
        </is>
      </c>
      <c r="C126" s="23" t="inlineStr">
        <is>
          <t>¿Hay teclas que no funcionan?</t>
        </is>
      </c>
      <c r="D126" s="31" t="inlineStr">
        <is>
          <t>YN</t>
        </is>
      </c>
      <c r="E126" s="32" t="n">
        <v>0</v>
      </c>
      <c r="F126" s="32" t="n">
        <v>0</v>
      </c>
      <c r="G126" s="32" t="n">
        <v>1</v>
      </c>
      <c r="H126" s="32" t="n">
        <v>0</v>
      </c>
      <c r="I126" s="33">
        <f>IF(C126="",0,IFERROR(INDEX($E126:$H126,MATCH('Recepción'!$E$5,$E$1:$H$1,0)),0))</f>
        <v/>
      </c>
      <c r="J126" s="33">
        <f>IF(I126=0,0,IF(A126="S",1,IF(OR(B126='Recepción'!$E$13,B126='Recepción'!$E$14,B126='Recepción'!$E$15,AND(B126="Contacto con líquido",'Recepción'!$B$32&lt;&gt;""),AND(B126="Golpe / Caída",'Recepción'!$B$31&lt;&gt;""),AND(B126="No enciende",'Recepción'!$C$34&lt;&gt;"")),1,0)))</f>
        <v/>
      </c>
      <c r="K126" s="33">
        <f>IF(J126=1,COUNTIF($J$2:J126,1),0)</f>
        <v/>
      </c>
    </row>
    <row r="127">
      <c r="A127" s="31" t="inlineStr">
        <is>
          <t>B</t>
        </is>
      </c>
      <c r="B127" s="23" t="inlineStr">
        <is>
          <t>Teclado / Touchpad / Puertos</t>
        </is>
      </c>
      <c r="C127" s="23" t="inlineStr">
        <is>
          <t>¿El touchpad falla o hace clic solo? (laptop)</t>
        </is>
      </c>
      <c r="D127" s="31" t="inlineStr">
        <is>
          <t>YN</t>
        </is>
      </c>
      <c r="E127" s="32" t="n">
        <v>0</v>
      </c>
      <c r="F127" s="32" t="n">
        <v>0</v>
      </c>
      <c r="G127" s="32" t="n">
        <v>1</v>
      </c>
      <c r="H127" s="32" t="n">
        <v>0</v>
      </c>
      <c r="I127" s="33">
        <f>IF(C127="",0,IFERROR(INDEX($E127:$H127,MATCH('Recepción'!$E$5,$E$1:$H$1,0)),0))</f>
        <v/>
      </c>
      <c r="J127" s="33">
        <f>IF(I127=0,0,IF(A127="S",1,IF(OR(B127='Recepción'!$E$13,B127='Recepción'!$E$14,B127='Recepción'!$E$15,AND(B127="Contacto con líquido",'Recepción'!$B$32&lt;&gt;""),AND(B127="Golpe / Caída",'Recepción'!$B$31&lt;&gt;""),AND(B127="No enciende",'Recepción'!$C$34&lt;&gt;"")),1,0)))</f>
        <v/>
      </c>
      <c r="K127" s="33">
        <f>IF(J127=1,COUNTIF($J$2:J127,1),0)</f>
        <v/>
      </c>
    </row>
    <row r="128">
      <c r="A128" s="31" t="inlineStr">
        <is>
          <t>B</t>
        </is>
      </c>
      <c r="B128" s="23" t="inlineStr">
        <is>
          <t>Teclado / Touchpad / Puertos</t>
        </is>
      </c>
      <c r="C128" s="23" t="inlineStr">
        <is>
          <t>¿Teclado o mouse externos no son detectados?</t>
        </is>
      </c>
      <c r="D128" s="31" t="inlineStr">
        <is>
          <t>YN</t>
        </is>
      </c>
      <c r="E128" s="32" t="n">
        <v>0</v>
      </c>
      <c r="F128" s="32" t="n">
        <v>0</v>
      </c>
      <c r="G128" s="32" t="n">
        <v>1</v>
      </c>
      <c r="H128" s="32" t="n">
        <v>0</v>
      </c>
      <c r="I128" s="33">
        <f>IF(C128="",0,IFERROR(INDEX($E128:$H128,MATCH('Recepción'!$E$5,$E$1:$H$1,0)),0))</f>
        <v/>
      </c>
      <c r="J128" s="33">
        <f>IF(I128=0,0,IF(A128="S",1,IF(OR(B128='Recepción'!$E$13,B128='Recepción'!$E$14,B128='Recepción'!$E$15,AND(B128="Contacto con líquido",'Recepción'!$B$32&lt;&gt;""),AND(B128="Golpe / Caída",'Recepción'!$B$31&lt;&gt;""),AND(B128="No enciende",'Recepción'!$C$34&lt;&gt;"")),1,0)))</f>
        <v/>
      </c>
      <c r="K128" s="33">
        <f>IF(J128=1,COUNTIF($J$2:J128,1),0)</f>
        <v/>
      </c>
    </row>
    <row r="129">
      <c r="A129" s="31" t="inlineStr">
        <is>
          <t>B</t>
        </is>
      </c>
      <c r="B129" s="23" t="inlineStr">
        <is>
          <t>Teclado / Touchpad / Puertos</t>
        </is>
      </c>
      <c r="C129" s="23" t="inlineStr">
        <is>
          <t>¿Algún puerto USB no funciona?</t>
        </is>
      </c>
      <c r="D129" s="31" t="inlineStr">
        <is>
          <t>YN</t>
        </is>
      </c>
      <c r="E129" s="32" t="n">
        <v>0</v>
      </c>
      <c r="F129" s="32" t="n">
        <v>0</v>
      </c>
      <c r="G129" s="32" t="n">
        <v>1</v>
      </c>
      <c r="H129" s="32" t="n">
        <v>0</v>
      </c>
      <c r="I129" s="33">
        <f>IF(C129="",0,IFERROR(INDEX($E129:$H129,MATCH('Recepción'!$E$5,$E$1:$H$1,0)),0))</f>
        <v/>
      </c>
      <c r="J129" s="33">
        <f>IF(I129=0,0,IF(A129="S",1,IF(OR(B129='Recepción'!$E$13,B129='Recepción'!$E$14,B129='Recepción'!$E$15,AND(B129="Contacto con líquido",'Recepción'!$B$32&lt;&gt;""),AND(B129="Golpe / Caída",'Recepción'!$B$31&lt;&gt;""),AND(B129="No enciende",'Recepción'!$C$34&lt;&gt;"")),1,0)))</f>
        <v/>
      </c>
      <c r="K129" s="33">
        <f>IF(J129=1,COUNTIF($J$2:J129,1),0)</f>
        <v/>
      </c>
    </row>
    <row r="130">
      <c r="A130" s="31" t="inlineStr">
        <is>
          <t>B</t>
        </is>
      </c>
      <c r="B130" s="23" t="inlineStr">
        <is>
          <t>Teclado / Touchpad / Puertos</t>
        </is>
      </c>
      <c r="C130" s="23" t="inlineStr">
        <is>
          <t>¿Falla el puerto HDMI, USB-C o lector de tarjetas?</t>
        </is>
      </c>
      <c r="D130" s="31" t="inlineStr">
        <is>
          <t>YN</t>
        </is>
      </c>
      <c r="E130" s="32" t="n">
        <v>0</v>
      </c>
      <c r="F130" s="32" t="n">
        <v>0</v>
      </c>
      <c r="G130" s="32" t="n">
        <v>1</v>
      </c>
      <c r="H130" s="32" t="n">
        <v>0</v>
      </c>
      <c r="I130" s="33">
        <f>IF(C130="",0,IFERROR(INDEX($E130:$H130,MATCH('Recepción'!$E$5,$E$1:$H$1,0)),0))</f>
        <v/>
      </c>
      <c r="J130" s="33">
        <f>IF(I130=0,0,IF(A130="S",1,IF(OR(B130='Recepción'!$E$13,B130='Recepción'!$E$14,B130='Recepción'!$E$15,AND(B130="Contacto con líquido",'Recepción'!$B$32&lt;&gt;""),AND(B130="Golpe / Caída",'Recepción'!$B$31&lt;&gt;""),AND(B130="No enciende",'Recepción'!$C$34&lt;&gt;"")),1,0)))</f>
        <v/>
      </c>
      <c r="K130" s="33">
        <f>IF(J130=1,COUNTIF($J$2:J130,1),0)</f>
        <v/>
      </c>
    </row>
    <row r="131">
      <c r="A131" s="31" t="inlineStr">
        <is>
          <t>B</t>
        </is>
      </c>
      <c r="B131" s="23" t="inlineStr">
        <is>
          <t>Teclado / Touchpad / Puertos</t>
        </is>
      </c>
      <c r="C131" s="23" t="inlineStr">
        <is>
          <t>¿El botón de encendido responde bien?</t>
        </is>
      </c>
      <c r="D131" s="31" t="inlineStr">
        <is>
          <t>YN</t>
        </is>
      </c>
      <c r="E131" s="32" t="n">
        <v>0</v>
      </c>
      <c r="F131" s="32" t="n">
        <v>0</v>
      </c>
      <c r="G131" s="32" t="n">
        <v>1</v>
      </c>
      <c r="H131" s="32" t="n">
        <v>0</v>
      </c>
      <c r="I131" s="33">
        <f>IF(C131="",0,IFERROR(INDEX($E131:$H131,MATCH('Recepción'!$E$5,$E$1:$H$1,0)),0))</f>
        <v/>
      </c>
      <c r="J131" s="33">
        <f>IF(I131=0,0,IF(A131="S",1,IF(OR(B131='Recepción'!$E$13,B131='Recepción'!$E$14,B131='Recepción'!$E$15,AND(B131="Contacto con líquido",'Recepción'!$B$32&lt;&gt;""),AND(B131="Golpe / Caída",'Recepción'!$B$31&lt;&gt;""),AND(B131="No enciende",'Recepción'!$C$34&lt;&gt;"")),1,0)))</f>
        <v/>
      </c>
      <c r="K131" s="33">
        <f>IF(J131=1,COUNTIF($J$2:J131,1),0)</f>
        <v/>
      </c>
    </row>
    <row r="132">
      <c r="A132" s="31" t="inlineStr">
        <is>
          <t>B</t>
        </is>
      </c>
      <c r="B132" s="23" t="inlineStr">
        <is>
          <t>Lector de disco / Juegos</t>
        </is>
      </c>
      <c r="C132" s="23" t="inlineStr">
        <is>
          <t>¿No lee los discos?</t>
        </is>
      </c>
      <c r="D132" s="31" t="inlineStr">
        <is>
          <t>YN</t>
        </is>
      </c>
      <c r="E132" s="32" t="n">
        <v>0</v>
      </c>
      <c r="F132" s="32" t="n">
        <v>0</v>
      </c>
      <c r="G132" s="32" t="n">
        <v>0</v>
      </c>
      <c r="H132" s="32" t="n">
        <v>1</v>
      </c>
      <c r="I132" s="33">
        <f>IF(C132="",0,IFERROR(INDEX($E132:$H132,MATCH('Recepción'!$E$5,$E$1:$H$1,0)),0))</f>
        <v/>
      </c>
      <c r="J132" s="33">
        <f>IF(I132=0,0,IF(A132="S",1,IF(OR(B132='Recepción'!$E$13,B132='Recepción'!$E$14,B132='Recepción'!$E$15,AND(B132="Contacto con líquido",'Recepción'!$B$32&lt;&gt;""),AND(B132="Golpe / Caída",'Recepción'!$B$31&lt;&gt;""),AND(B132="No enciende",'Recepción'!$C$34&lt;&gt;"")),1,0)))</f>
        <v/>
      </c>
      <c r="K132" s="33">
        <f>IF(J132=1,COUNTIF($J$2:J132,1),0)</f>
        <v/>
      </c>
    </row>
    <row r="133">
      <c r="A133" s="31" t="inlineStr">
        <is>
          <t>B</t>
        </is>
      </c>
      <c r="B133" s="23" t="inlineStr">
        <is>
          <t>Lector de disco / Juegos</t>
        </is>
      </c>
      <c r="C133" s="23" t="inlineStr">
        <is>
          <t>¿Expulsa el disco solo?</t>
        </is>
      </c>
      <c r="D133" s="31" t="inlineStr">
        <is>
          <t>YN</t>
        </is>
      </c>
      <c r="E133" s="32" t="n">
        <v>0</v>
      </c>
      <c r="F133" s="32" t="n">
        <v>0</v>
      </c>
      <c r="G133" s="32" t="n">
        <v>0</v>
      </c>
      <c r="H133" s="32" t="n">
        <v>1</v>
      </c>
      <c r="I133" s="33">
        <f>IF(C133="",0,IFERROR(INDEX($E133:$H133,MATCH('Recepción'!$E$5,$E$1:$H$1,0)),0))</f>
        <v/>
      </c>
      <c r="J133" s="33">
        <f>IF(I133=0,0,IF(A133="S",1,IF(OR(B133='Recepción'!$E$13,B133='Recepción'!$E$14,B133='Recepción'!$E$15,AND(B133="Contacto con líquido",'Recepción'!$B$32&lt;&gt;""),AND(B133="Golpe / Caída",'Recepción'!$B$31&lt;&gt;""),AND(B133="No enciende",'Recepción'!$C$34&lt;&gt;"")),1,0)))</f>
        <v/>
      </c>
      <c r="K133" s="33">
        <f>IF(J133=1,COUNTIF($J$2:J133,1),0)</f>
        <v/>
      </c>
    </row>
    <row r="134">
      <c r="A134" s="31" t="inlineStr">
        <is>
          <t>B</t>
        </is>
      </c>
      <c r="B134" s="23" t="inlineStr">
        <is>
          <t>Lector de disco / Juegos</t>
        </is>
      </c>
      <c r="C134" s="23" t="inlineStr">
        <is>
          <t>¿Hace ruido al leer el disco?</t>
        </is>
      </c>
      <c r="D134" s="31" t="inlineStr">
        <is>
          <t>YN</t>
        </is>
      </c>
      <c r="E134" s="32" t="n">
        <v>0</v>
      </c>
      <c r="F134" s="32" t="n">
        <v>0</v>
      </c>
      <c r="G134" s="32" t="n">
        <v>0</v>
      </c>
      <c r="H134" s="32" t="n">
        <v>1</v>
      </c>
      <c r="I134" s="33">
        <f>IF(C134="",0,IFERROR(INDEX($E134:$H134,MATCH('Recepción'!$E$5,$E$1:$H$1,0)),0))</f>
        <v/>
      </c>
      <c r="J134" s="33">
        <f>IF(I134=0,0,IF(A134="S",1,IF(OR(B134='Recepción'!$E$13,B134='Recepción'!$E$14,B134='Recepción'!$E$15,AND(B134="Contacto con líquido",'Recepción'!$B$32&lt;&gt;""),AND(B134="Golpe / Caída",'Recepción'!$B$31&lt;&gt;""),AND(B134="No enciende",'Recepción'!$C$34&lt;&gt;"")),1,0)))</f>
        <v/>
      </c>
      <c r="K134" s="33">
        <f>IF(J134=1,COUNTIF($J$2:J134,1),0)</f>
        <v/>
      </c>
    </row>
    <row r="135">
      <c r="A135" s="31" t="inlineStr">
        <is>
          <t>B</t>
        </is>
      </c>
      <c r="B135" s="23" t="inlineStr">
        <is>
          <t>Lector de disco / Juegos</t>
        </is>
      </c>
      <c r="C135" s="23" t="inlineStr">
        <is>
          <t>¿Falla con todos los juegos o con uno solo? (indique cuál)</t>
        </is>
      </c>
      <c r="D135" s="31" t="inlineStr">
        <is>
          <t>TXT</t>
        </is>
      </c>
      <c r="E135" s="32" t="n">
        <v>0</v>
      </c>
      <c r="F135" s="32" t="n">
        <v>0</v>
      </c>
      <c r="G135" s="32" t="n">
        <v>0</v>
      </c>
      <c r="H135" s="32" t="n">
        <v>1</v>
      </c>
      <c r="I135" s="33">
        <f>IF(C135="",0,IFERROR(INDEX($E135:$H135,MATCH('Recepción'!$E$5,$E$1:$H$1,0)),0))</f>
        <v/>
      </c>
      <c r="J135" s="33">
        <f>IF(I135=0,0,IF(A135="S",1,IF(OR(B135='Recepción'!$E$13,B135='Recepción'!$E$14,B135='Recepción'!$E$15,AND(B135="Contacto con líquido",'Recepción'!$B$32&lt;&gt;""),AND(B135="Golpe / Caída",'Recepción'!$B$31&lt;&gt;""),AND(B135="No enciende",'Recepción'!$C$34&lt;&gt;"")),1,0)))</f>
        <v/>
      </c>
      <c r="K135" s="33">
        <f>IF(J135=1,COUNTIF($J$2:J135,1),0)</f>
        <v/>
      </c>
    </row>
    <row r="136">
      <c r="A136" s="31" t="inlineStr">
        <is>
          <t>B</t>
        </is>
      </c>
      <c r="B136" s="23" t="inlineStr">
        <is>
          <t>Lector de disco / Juegos</t>
        </is>
      </c>
      <c r="C136" s="23" t="inlineStr">
        <is>
          <t>¿Hay un disco dentro actualmente?</t>
        </is>
      </c>
      <c r="D136" s="31" t="inlineStr">
        <is>
          <t>YN</t>
        </is>
      </c>
      <c r="E136" s="32" t="n">
        <v>0</v>
      </c>
      <c r="F136" s="32" t="n">
        <v>0</v>
      </c>
      <c r="G136" s="32" t="n">
        <v>0</v>
      </c>
      <c r="H136" s="32" t="n">
        <v>1</v>
      </c>
      <c r="I136" s="33">
        <f>IF(C136="",0,IFERROR(INDEX($E136:$H136,MATCH('Recepción'!$E$5,$E$1:$H$1,0)),0))</f>
        <v/>
      </c>
      <c r="J136" s="33">
        <f>IF(I136=0,0,IF(A136="S",1,IF(OR(B136='Recepción'!$E$13,B136='Recepción'!$E$14,B136='Recepción'!$E$15,AND(B136="Contacto con líquido",'Recepción'!$B$32&lt;&gt;""),AND(B136="Golpe / Caída",'Recepción'!$B$31&lt;&gt;""),AND(B136="No enciende",'Recepción'!$C$34&lt;&gt;"")),1,0)))</f>
        <v/>
      </c>
      <c r="K136" s="33">
        <f>IF(J136=1,COUNTIF($J$2:J136,1),0)</f>
        <v/>
      </c>
    </row>
    <row r="137">
      <c r="A137" s="31" t="inlineStr">
        <is>
          <t>B</t>
        </is>
      </c>
      <c r="B137" s="23" t="inlineStr">
        <is>
          <t>Control / Mando</t>
        </is>
      </c>
      <c r="C137" s="23" t="inlineStr">
        <is>
          <t>¿El control no carga?</t>
        </is>
      </c>
      <c r="D137" s="31" t="inlineStr">
        <is>
          <t>YN</t>
        </is>
      </c>
      <c r="E137" s="32" t="n">
        <v>0</v>
      </c>
      <c r="F137" s="32" t="n">
        <v>0</v>
      </c>
      <c r="G137" s="32" t="n">
        <v>0</v>
      </c>
      <c r="H137" s="32" t="n">
        <v>1</v>
      </c>
      <c r="I137" s="33">
        <f>IF(C137="",0,IFERROR(INDEX($E137:$H137,MATCH('Recepción'!$E$5,$E$1:$H$1,0)),0))</f>
        <v/>
      </c>
      <c r="J137" s="33">
        <f>IF(I137=0,0,IF(A137="S",1,IF(OR(B137='Recepción'!$E$13,B137='Recepción'!$E$14,B137='Recepción'!$E$15,AND(B137="Contacto con líquido",'Recepción'!$B$32&lt;&gt;""),AND(B137="Golpe / Caída",'Recepción'!$B$31&lt;&gt;""),AND(B137="No enciende",'Recepción'!$C$34&lt;&gt;"")),1,0)))</f>
        <v/>
      </c>
      <c r="K137" s="33">
        <f>IF(J137=1,COUNTIF($J$2:J137,1),0)</f>
        <v/>
      </c>
    </row>
    <row r="138">
      <c r="A138" s="31" t="inlineStr">
        <is>
          <t>B</t>
        </is>
      </c>
      <c r="B138" s="23" t="inlineStr">
        <is>
          <t>Control / Mando</t>
        </is>
      </c>
      <c r="C138" s="23" t="inlineStr">
        <is>
          <t>¿El control no sincroniza?</t>
        </is>
      </c>
      <c r="D138" s="31" t="inlineStr">
        <is>
          <t>YN</t>
        </is>
      </c>
      <c r="E138" s="32" t="n">
        <v>0</v>
      </c>
      <c r="F138" s="32" t="n">
        <v>0</v>
      </c>
      <c r="G138" s="32" t="n">
        <v>0</v>
      </c>
      <c r="H138" s="32" t="n">
        <v>1</v>
      </c>
      <c r="I138" s="33">
        <f>IF(C138="",0,IFERROR(INDEX($E138:$H138,MATCH('Recepción'!$E$5,$E$1:$H$1,0)),0))</f>
        <v/>
      </c>
      <c r="J138" s="33">
        <f>IF(I138=0,0,IF(A138="S",1,IF(OR(B138='Recepción'!$E$13,B138='Recepción'!$E$14,B138='Recepción'!$E$15,AND(B138="Contacto con líquido",'Recepción'!$B$32&lt;&gt;""),AND(B138="Golpe / Caída",'Recepción'!$B$31&lt;&gt;""),AND(B138="No enciende",'Recepción'!$C$34&lt;&gt;"")),1,0)))</f>
        <v/>
      </c>
      <c r="K138" s="33">
        <f>IF(J138=1,COUNTIF($J$2:J138,1),0)</f>
        <v/>
      </c>
    </row>
    <row r="139">
      <c r="A139" s="31" t="inlineStr">
        <is>
          <t>B</t>
        </is>
      </c>
      <c r="B139" s="23" t="inlineStr">
        <is>
          <t>Control / Mando</t>
        </is>
      </c>
      <c r="C139" s="23" t="inlineStr">
        <is>
          <t>¿Tiene «drift» (el stick se mueve solo)?</t>
        </is>
      </c>
      <c r="D139" s="31" t="inlineStr">
        <is>
          <t>YN</t>
        </is>
      </c>
      <c r="E139" s="32" t="n">
        <v>0</v>
      </c>
      <c r="F139" s="32" t="n">
        <v>0</v>
      </c>
      <c r="G139" s="32" t="n">
        <v>0</v>
      </c>
      <c r="H139" s="32" t="n">
        <v>1</v>
      </c>
      <c r="I139" s="33">
        <f>IF(C139="",0,IFERROR(INDEX($E139:$H139,MATCH('Recepción'!$E$5,$E$1:$H$1,0)),0))</f>
        <v/>
      </c>
      <c r="J139" s="33">
        <f>IF(I139=0,0,IF(A139="S",1,IF(OR(B139='Recepción'!$E$13,B139='Recepción'!$E$14,B139='Recepción'!$E$15,AND(B139="Contacto con líquido",'Recepción'!$B$32&lt;&gt;""),AND(B139="Golpe / Caída",'Recepción'!$B$31&lt;&gt;""),AND(B139="No enciende",'Recepción'!$C$34&lt;&gt;"")),1,0)))</f>
        <v/>
      </c>
      <c r="K139" s="33">
        <f>IF(J139=1,COUNTIF($J$2:J139,1),0)</f>
        <v/>
      </c>
    </row>
    <row r="140">
      <c r="A140" s="31" t="inlineStr">
        <is>
          <t>B</t>
        </is>
      </c>
      <c r="B140" s="23" t="inlineStr">
        <is>
          <t>Control / Mando</t>
        </is>
      </c>
      <c r="C140" s="23" t="inlineStr">
        <is>
          <t>¿Fallan botones o gatillos?</t>
        </is>
      </c>
      <c r="D140" s="31" t="inlineStr">
        <is>
          <t>YN</t>
        </is>
      </c>
      <c r="E140" s="32" t="n">
        <v>0</v>
      </c>
      <c r="F140" s="32" t="n">
        <v>0</v>
      </c>
      <c r="G140" s="32" t="n">
        <v>0</v>
      </c>
      <c r="H140" s="32" t="n">
        <v>1</v>
      </c>
      <c r="I140" s="33">
        <f>IF(C140="",0,IFERROR(INDEX($E140:$H140,MATCH('Recepción'!$E$5,$E$1:$H$1,0)),0))</f>
        <v/>
      </c>
      <c r="J140" s="33">
        <f>IF(I140=0,0,IF(A140="S",1,IF(OR(B140='Recepción'!$E$13,B140='Recepción'!$E$14,B140='Recepción'!$E$15,AND(B140="Contacto con líquido",'Recepción'!$B$32&lt;&gt;""),AND(B140="Golpe / Caída",'Recepción'!$B$31&lt;&gt;""),AND(B140="No enciende",'Recepción'!$C$34&lt;&gt;"")),1,0)))</f>
        <v/>
      </c>
      <c r="K140" s="33">
        <f>IF(J140=1,COUNTIF($J$2:J140,1),0)</f>
        <v/>
      </c>
    </row>
    <row r="141">
      <c r="A141" s="31" t="inlineStr">
        <is>
          <t>B</t>
        </is>
      </c>
      <c r="B141" s="23" t="inlineStr">
        <is>
          <t>Control / Mando</t>
        </is>
      </c>
      <c r="C141" s="23" t="inlineStr">
        <is>
          <t>¿Ha probado con otro control?</t>
        </is>
      </c>
      <c r="D141" s="31" t="inlineStr">
        <is>
          <t>YN</t>
        </is>
      </c>
      <c r="E141" s="32" t="n">
        <v>0</v>
      </c>
      <c r="F141" s="32" t="n">
        <v>0</v>
      </c>
      <c r="G141" s="32" t="n">
        <v>0</v>
      </c>
      <c r="H141" s="32" t="n">
        <v>1</v>
      </c>
      <c r="I141" s="33">
        <f>IF(C141="",0,IFERROR(INDEX($E141:$H141,MATCH('Recepción'!$E$5,$E$1:$H$1,0)),0))</f>
        <v/>
      </c>
      <c r="J141" s="33">
        <f>IF(I141=0,0,IF(A141="S",1,IF(OR(B141='Recepción'!$E$13,B141='Recepción'!$E$14,B141='Recepción'!$E$15,AND(B141="Contacto con líquido",'Recepción'!$B$32&lt;&gt;""),AND(B141="Golpe / Caída",'Recepción'!$B$31&lt;&gt;""),AND(B141="No enciende",'Recepción'!$C$34&lt;&gt;"")),1,0)))</f>
        <v/>
      </c>
      <c r="K141" s="33">
        <f>IF(J141=1,COUNTIF($J$2:J141,1),0)</f>
        <v/>
      </c>
    </row>
    <row r="142">
      <c r="A142" s="31" t="inlineStr">
        <is>
          <t>B</t>
        </is>
      </c>
      <c r="B142" s="23" t="inlineStr">
        <is>
          <t>Control / Mando</t>
        </is>
      </c>
      <c r="C142" s="23" t="inlineStr">
        <is>
          <t>¿Cuántos controles trae?</t>
        </is>
      </c>
      <c r="D142" s="31" t="inlineStr">
        <is>
          <t>TXT</t>
        </is>
      </c>
      <c r="E142" s="32" t="n">
        <v>0</v>
      </c>
      <c r="F142" s="32" t="n">
        <v>0</v>
      </c>
      <c r="G142" s="32" t="n">
        <v>0</v>
      </c>
      <c r="H142" s="32" t="n">
        <v>1</v>
      </c>
      <c r="I142" s="33">
        <f>IF(C142="",0,IFERROR(INDEX($E142:$H142,MATCH('Recepción'!$E$5,$E$1:$H$1,0)),0))</f>
        <v/>
      </c>
      <c r="J142" s="33">
        <f>IF(I142=0,0,IF(A142="S",1,IF(OR(B142='Recepción'!$E$13,B142='Recepción'!$E$14,B142='Recepción'!$E$15,AND(B142="Contacto con líquido",'Recepción'!$B$32&lt;&gt;""),AND(B142="Golpe / Caída",'Recepción'!$B$31&lt;&gt;""),AND(B142="No enciende",'Recepción'!$C$34&lt;&gt;"")),1,0)))</f>
        <v/>
      </c>
      <c r="K142" s="33">
        <f>IF(J142=1,COUNTIF($J$2:J142,1),0)</f>
        <v/>
      </c>
    </row>
    <row r="143">
      <c r="A143" s="31" t="inlineStr">
        <is>
          <t>B</t>
        </is>
      </c>
      <c r="B143" s="23" t="inlineStr">
        <is>
          <t>Sensores / Botones / Correa</t>
        </is>
      </c>
      <c r="C143" s="23" t="inlineStr">
        <is>
          <t>¿El sensor de ritmo cardíaco u oxígeno falla?</t>
        </is>
      </c>
      <c r="D143" s="31" t="inlineStr">
        <is>
          <t>YN</t>
        </is>
      </c>
      <c r="E143" s="32" t="n">
        <v>0</v>
      </c>
      <c r="F143" s="32" t="n">
        <v>1</v>
      </c>
      <c r="G143" s="32" t="n">
        <v>0</v>
      </c>
      <c r="H143" s="32" t="n">
        <v>0</v>
      </c>
      <c r="I143" s="33">
        <f>IF(C143="",0,IFERROR(INDEX($E143:$H143,MATCH('Recepción'!$E$5,$E$1:$H$1,0)),0))</f>
        <v/>
      </c>
      <c r="J143" s="33">
        <f>IF(I143=0,0,IF(A143="S",1,IF(OR(B143='Recepción'!$E$13,B143='Recepción'!$E$14,B143='Recepción'!$E$15,AND(B143="Contacto con líquido",'Recepción'!$B$32&lt;&gt;""),AND(B143="Golpe / Caída",'Recepción'!$B$31&lt;&gt;""),AND(B143="No enciende",'Recepción'!$C$34&lt;&gt;"")),1,0)))</f>
        <v/>
      </c>
      <c r="K143" s="33">
        <f>IF(J143=1,COUNTIF($J$2:J143,1),0)</f>
        <v/>
      </c>
    </row>
    <row r="144">
      <c r="A144" s="31" t="inlineStr">
        <is>
          <t>B</t>
        </is>
      </c>
      <c r="B144" s="23" t="inlineStr">
        <is>
          <t>Sensores / Botones / Correa</t>
        </is>
      </c>
      <c r="C144" s="23" t="inlineStr">
        <is>
          <t>¿Los botones o la corona no responden?</t>
        </is>
      </c>
      <c r="D144" s="31" t="inlineStr">
        <is>
          <t>YN</t>
        </is>
      </c>
      <c r="E144" s="32" t="n">
        <v>0</v>
      </c>
      <c r="F144" s="32" t="n">
        <v>1</v>
      </c>
      <c r="G144" s="32" t="n">
        <v>0</v>
      </c>
      <c r="H144" s="32" t="n">
        <v>0</v>
      </c>
      <c r="I144" s="33">
        <f>IF(C144="",0,IFERROR(INDEX($E144:$H144,MATCH('Recepción'!$E$5,$E$1:$H$1,0)),0))</f>
        <v/>
      </c>
      <c r="J144" s="33">
        <f>IF(I144=0,0,IF(A144="S",1,IF(OR(B144='Recepción'!$E$13,B144='Recepción'!$E$14,B144='Recepción'!$E$15,AND(B144="Contacto con líquido",'Recepción'!$B$32&lt;&gt;""),AND(B144="Golpe / Caída",'Recepción'!$B$31&lt;&gt;""),AND(B144="No enciende",'Recepción'!$C$34&lt;&gt;"")),1,0)))</f>
        <v/>
      </c>
      <c r="K144" s="33">
        <f>IF(J144=1,COUNTIF($J$2:J144,1),0)</f>
        <v/>
      </c>
    </row>
    <row r="145">
      <c r="A145" s="31" t="inlineStr">
        <is>
          <t>B</t>
        </is>
      </c>
      <c r="B145" s="23" t="inlineStr">
        <is>
          <t>Sensores / Botones / Correa</t>
        </is>
      </c>
      <c r="C145" s="23" t="inlineStr">
        <is>
          <t>¿La correa o hebilla está dañada?</t>
        </is>
      </c>
      <c r="D145" s="31" t="inlineStr">
        <is>
          <t>YN</t>
        </is>
      </c>
      <c r="E145" s="32" t="n">
        <v>0</v>
      </c>
      <c r="F145" s="32" t="n">
        <v>1</v>
      </c>
      <c r="G145" s="32" t="n">
        <v>0</v>
      </c>
      <c r="H145" s="32" t="n">
        <v>0</v>
      </c>
      <c r="I145" s="33">
        <f>IF(C145="",0,IFERROR(INDEX($E145:$H145,MATCH('Recepción'!$E$5,$E$1:$H$1,0)),0))</f>
        <v/>
      </c>
      <c r="J145" s="33">
        <f>IF(I145=0,0,IF(A145="S",1,IF(OR(B145='Recepción'!$E$13,B145='Recepción'!$E$14,B145='Recepción'!$E$15,AND(B145="Contacto con líquido",'Recepción'!$B$32&lt;&gt;""),AND(B145="Golpe / Caída",'Recepción'!$B$31&lt;&gt;""),AND(B145="No enciende",'Recepción'!$C$34&lt;&gt;"")),1,0)))</f>
        <v/>
      </c>
      <c r="K145" s="33">
        <f>IF(J145=1,COUNTIF($J$2:J145,1),0)</f>
        <v/>
      </c>
    </row>
    <row r="146">
      <c r="A146" s="31" t="inlineStr">
        <is>
          <t>B</t>
        </is>
      </c>
      <c r="B146" s="23" t="inlineStr">
        <is>
          <t>Sensores / Botones / Correa</t>
        </is>
      </c>
      <c r="C146" s="23" t="inlineStr">
        <is>
          <t>¿Se desvincula solo del teléfono?</t>
        </is>
      </c>
      <c r="D146" s="31" t="inlineStr">
        <is>
          <t>YN</t>
        </is>
      </c>
      <c r="E146" s="32" t="n">
        <v>0</v>
      </c>
      <c r="F146" s="32" t="n">
        <v>1</v>
      </c>
      <c r="G146" s="32" t="n">
        <v>0</v>
      </c>
      <c r="H146" s="32" t="n">
        <v>0</v>
      </c>
      <c r="I146" s="33">
        <f>IF(C146="",0,IFERROR(INDEX($E146:$H146,MATCH('Recepción'!$E$5,$E$1:$H$1,0)),0))</f>
        <v/>
      </c>
      <c r="J146" s="33">
        <f>IF(I146=0,0,IF(A146="S",1,IF(OR(B146='Recepción'!$E$13,B146='Recepción'!$E$14,B146='Recepción'!$E$15,AND(B146="Contacto con líquido",'Recepción'!$B$32&lt;&gt;""),AND(B146="Golpe / Caída",'Recepción'!$B$31&lt;&gt;""),AND(B146="No enciende",'Recepción'!$C$34&lt;&gt;"")),1,0)))</f>
        <v/>
      </c>
      <c r="K146" s="33">
        <f>IF(J146=1,COUNTIF($J$2:J146,1),0)</f>
        <v/>
      </c>
    </row>
    <row r="147">
      <c r="A147" s="31" t="inlineStr">
        <is>
          <t>B</t>
        </is>
      </c>
      <c r="B147" s="23" t="inlineStr">
        <is>
          <t>Sensores / Botones / Correa</t>
        </is>
      </c>
      <c r="C147" s="23" t="inlineStr">
        <is>
          <t>¿Ya se le hizo restablecimiento de fábrica?</t>
        </is>
      </c>
      <c r="D147" s="31" t="inlineStr">
        <is>
          <t>YN</t>
        </is>
      </c>
      <c r="E147" s="32" t="n">
        <v>0</v>
      </c>
      <c r="F147" s="32" t="n">
        <v>1</v>
      </c>
      <c r="G147" s="32" t="n">
        <v>0</v>
      </c>
      <c r="H147" s="32" t="n">
        <v>0</v>
      </c>
      <c r="I147" s="33">
        <f>IF(C147="",0,IFERROR(INDEX($E147:$H147,MATCH('Recepción'!$E$5,$E$1:$H$1,0)),0))</f>
        <v/>
      </c>
      <c r="J147" s="33">
        <f>IF(I147=0,0,IF(A147="S",1,IF(OR(B147='Recepción'!$E$13,B147='Recepción'!$E$14,B147='Recepción'!$E$15,AND(B147="Contacto con líquido",'Recepción'!$B$32&lt;&gt;""),AND(B147="Golpe / Caída",'Recepción'!$B$31&lt;&gt;""),AND(B147="No enciende",'Recepción'!$C$34&lt;&gt;"")),1,0)))</f>
        <v/>
      </c>
      <c r="K147" s="33">
        <f>IF(J147=1,COUNTIF($J$2:J147,1),0)</f>
        <v/>
      </c>
    </row>
    <row r="148">
      <c r="A148" s="31" t="inlineStr">
        <is>
          <t>B</t>
        </is>
      </c>
      <c r="B148" s="23" t="inlineStr">
        <is>
          <t>Otra falla</t>
        </is>
      </c>
      <c r="C148" s="23" t="inlineStr">
        <is>
          <t>Describa la otra falla o condición</t>
        </is>
      </c>
      <c r="D148" s="31" t="inlineStr">
        <is>
          <t>TXT</t>
        </is>
      </c>
      <c r="E148" s="32" t="n">
        <v>1</v>
      </c>
      <c r="F148" s="32" t="n">
        <v>1</v>
      </c>
      <c r="G148" s="32" t="n">
        <v>1</v>
      </c>
      <c r="H148" s="32" t="n">
        <v>1</v>
      </c>
      <c r="I148" s="33">
        <f>IF(C148="",0,IFERROR(INDEX($E148:$H148,MATCH('Recepción'!$E$5,$E$1:$H$1,0)),0))</f>
        <v/>
      </c>
      <c r="J148" s="33">
        <f>IF(I148=0,0,IF(A148="S",1,IF(OR(B148='Recepción'!$E$13,B148='Recepción'!$E$14,B148='Recepción'!$E$15,AND(B148="Contacto con líquido",'Recepción'!$B$32&lt;&gt;""),AND(B148="Golpe / Caída",'Recepción'!$B$31&lt;&gt;""),AND(B148="No enciende",'Recepción'!$C$34&lt;&gt;"")),1,0)))</f>
        <v/>
      </c>
      <c r="K148" s="33">
        <f>IF(J148=1,COUNTIF($J$2:J148,1),0)</f>
        <v/>
      </c>
    </row>
    <row r="149">
      <c r="A149" s="31" t="inlineStr">
        <is>
          <t>B</t>
        </is>
      </c>
      <c r="B149" s="23" t="inlineStr">
        <is>
          <t>Otra falla</t>
        </is>
      </c>
      <c r="C149" s="23" t="inlineStr">
        <is>
          <t>¿Qué soluciones ya intentó el cliente?</t>
        </is>
      </c>
      <c r="D149" s="31" t="inlineStr">
        <is>
          <t>TXT</t>
        </is>
      </c>
      <c r="E149" s="32" t="n">
        <v>1</v>
      </c>
      <c r="F149" s="32" t="n">
        <v>1</v>
      </c>
      <c r="G149" s="32" t="n">
        <v>1</v>
      </c>
      <c r="H149" s="32" t="n">
        <v>1</v>
      </c>
      <c r="I149" s="33">
        <f>IF(C149="",0,IFERROR(INDEX($E149:$H149,MATCH('Recepción'!$E$5,$E$1:$H$1,0)),0))</f>
        <v/>
      </c>
      <c r="J149" s="33">
        <f>IF(I149=0,0,IF(A149="S",1,IF(OR(B149='Recepción'!$E$13,B149='Recepción'!$E$14,B149='Recepción'!$E$15,AND(B149="Contacto con líquido",'Recepción'!$B$32&lt;&gt;""),AND(B149="Golpe / Caída",'Recepción'!$B$31&lt;&gt;""),AND(B149="No enciende",'Recepción'!$C$34&lt;&gt;"")),1,0)))</f>
        <v/>
      </c>
      <c r="K149" s="33">
        <f>IF(J149=1,COUNTIF($J$2:J149,1),0)</f>
        <v/>
      </c>
    </row>
    <row r="150">
      <c r="A150" s="31" t="inlineStr">
        <is>
          <t>S</t>
        </is>
      </c>
      <c r="B150" s="23" t="inlineStr"/>
      <c r="C150" s="23" t="inlineStr">
        <is>
          <t>C. VERIFICACIÓN DE RECEPCIÓN RCP (la completa el colaborador que recibe)</t>
        </is>
      </c>
      <c r="D150" s="31" t="inlineStr">
        <is>
          <t>HEAD</t>
        </is>
      </c>
      <c r="E150" s="32" t="n">
        <v>1</v>
      </c>
      <c r="F150" s="32" t="n">
        <v>1</v>
      </c>
      <c r="G150" s="32" t="n">
        <v>1</v>
      </c>
      <c r="H150" s="32" t="n">
        <v>1</v>
      </c>
      <c r="I150" s="33">
        <f>IF(C150="",0,IFERROR(INDEX($E150:$H150,MATCH('Recepción'!$E$5,$E$1:$H$1,0)),0))</f>
        <v/>
      </c>
      <c r="J150" s="33">
        <f>IF(I150=0,0,IF(A150="S",1,IF(OR(B150='Recepción'!$E$13,B150='Recepción'!$E$14,B150='Recepción'!$E$15,AND(B150="Contacto con líquido",'Recepción'!$B$32&lt;&gt;""),AND(B150="Golpe / Caída",'Recepción'!$B$31&lt;&gt;""),AND(B150="No enciende",'Recepción'!$C$34&lt;&gt;"")),1,0)))</f>
        <v/>
      </c>
      <c r="K150" s="33">
        <f>IF(J150=1,COUNTIF($J$2:J150,1),0)</f>
        <v/>
      </c>
    </row>
    <row r="151">
      <c r="A151" s="31" t="inlineStr">
        <is>
          <t>S</t>
        </is>
      </c>
      <c r="B151" s="23" t="inlineStr">
        <is>
          <t>Estado físico</t>
        </is>
      </c>
      <c r="C151" s="23" t="inlineStr">
        <is>
          <t>Pantalla sin daño</t>
        </is>
      </c>
      <c r="D151" s="31" t="inlineStr">
        <is>
          <t>CHK</t>
        </is>
      </c>
      <c r="E151" s="32" t="n">
        <v>1</v>
      </c>
      <c r="F151" s="32" t="n">
        <v>1</v>
      </c>
      <c r="G151" s="32" t="n">
        <v>1</v>
      </c>
      <c r="H151" s="32" t="n">
        <v>0</v>
      </c>
      <c r="I151" s="33">
        <f>IF(C151="",0,IFERROR(INDEX($E151:$H151,MATCH('Recepción'!$E$5,$E$1:$H$1,0)),0))</f>
        <v/>
      </c>
      <c r="J151" s="33">
        <f>IF(I151=0,0,IF(A151="S",1,IF(OR(B151='Recepción'!$E$13,B151='Recepción'!$E$14,B151='Recepción'!$E$15,AND(B151="Contacto con líquido",'Recepción'!$B$32&lt;&gt;""),AND(B151="Golpe / Caída",'Recepción'!$B$31&lt;&gt;""),AND(B151="No enciende",'Recepción'!$C$34&lt;&gt;"")),1,0)))</f>
        <v/>
      </c>
      <c r="K151" s="33">
        <f>IF(J151=1,COUNTIF($J$2:J151,1),0)</f>
        <v/>
      </c>
    </row>
    <row r="152">
      <c r="A152" s="31" t="inlineStr">
        <is>
          <t>S</t>
        </is>
      </c>
      <c r="B152" s="23" t="inlineStr">
        <is>
          <t>Estado físico</t>
        </is>
      </c>
      <c r="C152" s="23" t="inlineStr">
        <is>
          <t>Pantalla con rayones</t>
        </is>
      </c>
      <c r="D152" s="31" t="inlineStr">
        <is>
          <t>CHK</t>
        </is>
      </c>
      <c r="E152" s="32" t="n">
        <v>1</v>
      </c>
      <c r="F152" s="32" t="n">
        <v>1</v>
      </c>
      <c r="G152" s="32" t="n">
        <v>1</v>
      </c>
      <c r="H152" s="32" t="n">
        <v>0</v>
      </c>
      <c r="I152" s="33">
        <f>IF(C152="",0,IFERROR(INDEX($E152:$H152,MATCH('Recepción'!$E$5,$E$1:$H$1,0)),0))</f>
        <v/>
      </c>
      <c r="J152" s="33">
        <f>IF(I152=0,0,IF(A152="S",1,IF(OR(B152='Recepción'!$E$13,B152='Recepción'!$E$14,B152='Recepción'!$E$15,AND(B152="Contacto con líquido",'Recepción'!$B$32&lt;&gt;""),AND(B152="Golpe / Caída",'Recepción'!$B$31&lt;&gt;""),AND(B152="No enciende",'Recepción'!$C$34&lt;&gt;"")),1,0)))</f>
        <v/>
      </c>
      <c r="K152" s="33">
        <f>IF(J152=1,COUNTIF($J$2:J152,1),0)</f>
        <v/>
      </c>
    </row>
    <row r="153">
      <c r="A153" s="31" t="inlineStr">
        <is>
          <t>S</t>
        </is>
      </c>
      <c r="B153" s="23" t="inlineStr">
        <is>
          <t>Estado físico</t>
        </is>
      </c>
      <c r="C153" s="23" t="inlineStr">
        <is>
          <t>Pantalla quebrada</t>
        </is>
      </c>
      <c r="D153" s="31" t="inlineStr">
        <is>
          <t>CHK</t>
        </is>
      </c>
      <c r="E153" s="32" t="n">
        <v>1</v>
      </c>
      <c r="F153" s="32" t="n">
        <v>1</v>
      </c>
      <c r="G153" s="32" t="n">
        <v>1</v>
      </c>
      <c r="H153" s="32" t="n">
        <v>0</v>
      </c>
      <c r="I153" s="33">
        <f>IF(C153="",0,IFERROR(INDEX($E153:$H153,MATCH('Recepción'!$E$5,$E$1:$H$1,0)),0))</f>
        <v/>
      </c>
      <c r="J153" s="33">
        <f>IF(I153=0,0,IF(A153="S",1,IF(OR(B153='Recepción'!$E$13,B153='Recepción'!$E$14,B153='Recepción'!$E$15,AND(B153="Contacto con líquido",'Recepción'!$B$32&lt;&gt;""),AND(B153="Golpe / Caída",'Recepción'!$B$31&lt;&gt;""),AND(B153="No enciende",'Recepción'!$C$34&lt;&gt;"")),1,0)))</f>
        <v/>
      </c>
      <c r="K153" s="33">
        <f>IF(J153=1,COUNTIF($J$2:J153,1),0)</f>
        <v/>
      </c>
    </row>
    <row r="154">
      <c r="A154" s="31" t="inlineStr">
        <is>
          <t>S</t>
        </is>
      </c>
      <c r="B154" s="23" t="inlineStr">
        <is>
          <t>Estado físico</t>
        </is>
      </c>
      <c r="C154" s="23" t="inlineStr">
        <is>
          <t>Pantalla con manchas o líneas</t>
        </is>
      </c>
      <c r="D154" s="31" t="inlineStr">
        <is>
          <t>CHK</t>
        </is>
      </c>
      <c r="E154" s="32" t="n">
        <v>1</v>
      </c>
      <c r="F154" s="32" t="n">
        <v>1</v>
      </c>
      <c r="G154" s="32" t="n">
        <v>1</v>
      </c>
      <c r="H154" s="32" t="n">
        <v>0</v>
      </c>
      <c r="I154" s="33">
        <f>IF(C154="",0,IFERROR(INDEX($E154:$H154,MATCH('Recepción'!$E$5,$E$1:$H$1,0)),0))</f>
        <v/>
      </c>
      <c r="J154" s="33">
        <f>IF(I154=0,0,IF(A154="S",1,IF(OR(B154='Recepción'!$E$13,B154='Recepción'!$E$14,B154='Recepción'!$E$15,AND(B154="Contacto con líquido",'Recepción'!$B$32&lt;&gt;""),AND(B154="Golpe / Caída",'Recepción'!$B$31&lt;&gt;""),AND(B154="No enciende",'Recepción'!$C$34&lt;&gt;"")),1,0)))</f>
        <v/>
      </c>
      <c r="K154" s="33">
        <f>IF(J154=1,COUNTIF($J$2:J154,1),0)</f>
        <v/>
      </c>
    </row>
    <row r="155">
      <c r="A155" s="31" t="inlineStr">
        <is>
          <t>S</t>
        </is>
      </c>
      <c r="B155" s="23" t="inlineStr">
        <is>
          <t>Estado físico</t>
        </is>
      </c>
      <c r="C155" s="23" t="inlineStr">
        <is>
          <t>Carcasa / chasis en buen estado</t>
        </is>
      </c>
      <c r="D155" s="31" t="inlineStr">
        <is>
          <t>CHK</t>
        </is>
      </c>
      <c r="E155" s="32" t="n">
        <v>1</v>
      </c>
      <c r="F155" s="32" t="n">
        <v>1</v>
      </c>
      <c r="G155" s="32" t="n">
        <v>1</v>
      </c>
      <c r="H155" s="32" t="n">
        <v>1</v>
      </c>
      <c r="I155" s="33">
        <f>IF(C155="",0,IFERROR(INDEX($E155:$H155,MATCH('Recepción'!$E$5,$E$1:$H$1,0)),0))</f>
        <v/>
      </c>
      <c r="J155" s="33">
        <f>IF(I155=0,0,IF(A155="S",1,IF(OR(B155='Recepción'!$E$13,B155='Recepción'!$E$14,B155='Recepción'!$E$15,AND(B155="Contacto con líquido",'Recepción'!$B$32&lt;&gt;""),AND(B155="Golpe / Caída",'Recepción'!$B$31&lt;&gt;""),AND(B155="No enciende",'Recepción'!$C$34&lt;&gt;"")),1,0)))</f>
        <v/>
      </c>
      <c r="K155" s="33">
        <f>IF(J155=1,COUNTIF($J$2:J155,1),0)</f>
        <v/>
      </c>
    </row>
    <row r="156">
      <c r="A156" s="31" t="inlineStr">
        <is>
          <t>S</t>
        </is>
      </c>
      <c r="B156" s="23" t="inlineStr">
        <is>
          <t>Estado físico</t>
        </is>
      </c>
      <c r="C156" s="23" t="inlineStr">
        <is>
          <t>Carcasa con rayones</t>
        </is>
      </c>
      <c r="D156" s="31" t="inlineStr">
        <is>
          <t>CHK</t>
        </is>
      </c>
      <c r="E156" s="32" t="n">
        <v>1</v>
      </c>
      <c r="F156" s="32" t="n">
        <v>1</v>
      </c>
      <c r="G156" s="32" t="n">
        <v>1</v>
      </c>
      <c r="H156" s="32" t="n">
        <v>1</v>
      </c>
      <c r="I156" s="33">
        <f>IF(C156="",0,IFERROR(INDEX($E156:$H156,MATCH('Recepción'!$E$5,$E$1:$H$1,0)),0))</f>
        <v/>
      </c>
      <c r="J156" s="33">
        <f>IF(I156=0,0,IF(A156="S",1,IF(OR(B156='Recepción'!$E$13,B156='Recepción'!$E$14,B156='Recepción'!$E$15,AND(B156="Contacto con líquido",'Recepción'!$B$32&lt;&gt;""),AND(B156="Golpe / Caída",'Recepción'!$B$31&lt;&gt;""),AND(B156="No enciende",'Recepción'!$C$34&lt;&gt;"")),1,0)))</f>
        <v/>
      </c>
      <c r="K156" s="33">
        <f>IF(J156=1,COUNTIF($J$2:J156,1),0)</f>
        <v/>
      </c>
    </row>
    <row r="157">
      <c r="A157" s="31" t="inlineStr">
        <is>
          <t>S</t>
        </is>
      </c>
      <c r="B157" s="23" t="inlineStr">
        <is>
          <t>Estado físico</t>
        </is>
      </c>
      <c r="C157" s="23" t="inlineStr">
        <is>
          <t>Carcasa con golpes o abolladuras</t>
        </is>
      </c>
      <c r="D157" s="31" t="inlineStr">
        <is>
          <t>CHK</t>
        </is>
      </c>
      <c r="E157" s="32" t="n">
        <v>1</v>
      </c>
      <c r="F157" s="32" t="n">
        <v>1</v>
      </c>
      <c r="G157" s="32" t="n">
        <v>1</v>
      </c>
      <c r="H157" s="32" t="n">
        <v>1</v>
      </c>
      <c r="I157" s="33">
        <f>IF(C157="",0,IFERROR(INDEX($E157:$H157,MATCH('Recepción'!$E$5,$E$1:$H$1,0)),0))</f>
        <v/>
      </c>
      <c r="J157" s="33">
        <f>IF(I157=0,0,IF(A157="S",1,IF(OR(B157='Recepción'!$E$13,B157='Recepción'!$E$14,B157='Recepción'!$E$15,AND(B157="Contacto con líquido",'Recepción'!$B$32&lt;&gt;""),AND(B157="Golpe / Caída",'Recepción'!$B$31&lt;&gt;""),AND(B157="No enciende",'Recepción'!$C$34&lt;&gt;"")),1,0)))</f>
        <v/>
      </c>
      <c r="K157" s="33">
        <f>IF(J157=1,COUNTIF($J$2:J157,1),0)</f>
        <v/>
      </c>
    </row>
    <row r="158">
      <c r="A158" s="31" t="inlineStr">
        <is>
          <t>S</t>
        </is>
      </c>
      <c r="B158" s="23" t="inlineStr">
        <is>
          <t>Estado físico</t>
        </is>
      </c>
      <c r="C158" s="23" t="inlineStr">
        <is>
          <t>Carcasa rota</t>
        </is>
      </c>
      <c r="D158" s="31" t="inlineStr">
        <is>
          <t>CHK</t>
        </is>
      </c>
      <c r="E158" s="32" t="n">
        <v>1</v>
      </c>
      <c r="F158" s="32" t="n">
        <v>1</v>
      </c>
      <c r="G158" s="32" t="n">
        <v>1</v>
      </c>
      <c r="H158" s="32" t="n">
        <v>1</v>
      </c>
      <c r="I158" s="33">
        <f>IF(C158="",0,IFERROR(INDEX($E158:$H158,MATCH('Recepción'!$E$5,$E$1:$H$1,0)),0))</f>
        <v/>
      </c>
      <c r="J158" s="33">
        <f>IF(I158=0,0,IF(A158="S",1,IF(OR(B158='Recepción'!$E$13,B158='Recepción'!$E$14,B158='Recepción'!$E$15,AND(B158="Contacto con líquido",'Recepción'!$B$32&lt;&gt;""),AND(B158="Golpe / Caída",'Recepción'!$B$31&lt;&gt;""),AND(B158="No enciende",'Recepción'!$C$34&lt;&gt;"")),1,0)))</f>
        <v/>
      </c>
      <c r="K158" s="33">
        <f>IF(J158=1,COUNTIF($J$2:J158,1),0)</f>
        <v/>
      </c>
    </row>
    <row r="159">
      <c r="A159" s="31" t="inlineStr">
        <is>
          <t>S</t>
        </is>
      </c>
      <c r="B159" s="23" t="inlineStr">
        <is>
          <t>Estado físico</t>
        </is>
      </c>
      <c r="C159" s="23" t="inlineStr">
        <is>
          <t>Tornillos faltantes</t>
        </is>
      </c>
      <c r="D159" s="31" t="inlineStr">
        <is>
          <t>CHK</t>
        </is>
      </c>
      <c r="E159" s="32" t="n">
        <v>1</v>
      </c>
      <c r="F159" s="32" t="n">
        <v>1</v>
      </c>
      <c r="G159" s="32" t="n">
        <v>1</v>
      </c>
      <c r="H159" s="32" t="n">
        <v>1</v>
      </c>
      <c r="I159" s="33">
        <f>IF(C159="",0,IFERROR(INDEX($E159:$H159,MATCH('Recepción'!$E$5,$E$1:$H$1,0)),0))</f>
        <v/>
      </c>
      <c r="J159" s="33">
        <f>IF(I159=0,0,IF(A159="S",1,IF(OR(B159='Recepción'!$E$13,B159='Recepción'!$E$14,B159='Recepción'!$E$15,AND(B159="Contacto con líquido",'Recepción'!$B$32&lt;&gt;""),AND(B159="Golpe / Caída",'Recepción'!$B$31&lt;&gt;""),AND(B159="No enciende",'Recepción'!$C$34&lt;&gt;"")),1,0)))</f>
        <v/>
      </c>
      <c r="K159" s="33">
        <f>IF(J159=1,COUNTIF($J$2:J159,1),0)</f>
        <v/>
      </c>
    </row>
    <row r="160">
      <c r="A160" s="31" t="inlineStr">
        <is>
          <t>S</t>
        </is>
      </c>
      <c r="B160" s="23" t="inlineStr">
        <is>
          <t>Estado físico</t>
        </is>
      </c>
      <c r="C160" s="23" t="inlineStr">
        <is>
          <t>Bisagras dañadas (laptop)</t>
        </is>
      </c>
      <c r="D160" s="31" t="inlineStr">
        <is>
          <t>CHK</t>
        </is>
      </c>
      <c r="E160" s="32" t="n">
        <v>0</v>
      </c>
      <c r="F160" s="32" t="n">
        <v>0</v>
      </c>
      <c r="G160" s="32" t="n">
        <v>1</v>
      </c>
      <c r="H160" s="32" t="n">
        <v>0</v>
      </c>
      <c r="I160" s="33">
        <f>IF(C160="",0,IFERROR(INDEX($E160:$H160,MATCH('Recepción'!$E$5,$E$1:$H$1,0)),0))</f>
        <v/>
      </c>
      <c r="J160" s="33">
        <f>IF(I160=0,0,IF(A160="S",1,IF(OR(B160='Recepción'!$E$13,B160='Recepción'!$E$14,B160='Recepción'!$E$15,AND(B160="Contacto con líquido",'Recepción'!$B$32&lt;&gt;""),AND(B160="Golpe / Caída",'Recepción'!$B$31&lt;&gt;""),AND(B160="No enciende",'Recepción'!$C$34&lt;&gt;"")),1,0)))</f>
        <v/>
      </c>
      <c r="K160" s="33">
        <f>IF(J160=1,COUNTIF($J$2:J160,1),0)</f>
        <v/>
      </c>
    </row>
    <row r="161">
      <c r="A161" s="31" t="inlineStr">
        <is>
          <t>S</t>
        </is>
      </c>
      <c r="B161" s="23" t="inlineStr">
        <is>
          <t>Estado físico</t>
        </is>
      </c>
      <c r="C161" s="23" t="inlineStr">
        <is>
          <t>Botones o puertos dañados</t>
        </is>
      </c>
      <c r="D161" s="31" t="inlineStr">
        <is>
          <t>CHK</t>
        </is>
      </c>
      <c r="E161" s="32" t="n">
        <v>1</v>
      </c>
      <c r="F161" s="32" t="n">
        <v>1</v>
      </c>
      <c r="G161" s="32" t="n">
        <v>1</v>
      </c>
      <c r="H161" s="32" t="n">
        <v>1</v>
      </c>
      <c r="I161" s="33">
        <f>IF(C161="",0,IFERROR(INDEX($E161:$H161,MATCH('Recepción'!$E$5,$E$1:$H$1,0)),0))</f>
        <v/>
      </c>
      <c r="J161" s="33">
        <f>IF(I161=0,0,IF(A161="S",1,IF(OR(B161='Recepción'!$E$13,B161='Recepción'!$E$14,B161='Recepción'!$E$15,AND(B161="Contacto con líquido",'Recepción'!$B$32&lt;&gt;""),AND(B161="Golpe / Caída",'Recepción'!$B$31&lt;&gt;""),AND(B161="No enciende",'Recepción'!$C$34&lt;&gt;"")),1,0)))</f>
        <v/>
      </c>
      <c r="K161" s="33">
        <f>IF(J161=1,COUNTIF($J$2:J161,1),0)</f>
        <v/>
      </c>
    </row>
    <row r="162">
      <c r="A162" s="31" t="inlineStr">
        <is>
          <t>S</t>
        </is>
      </c>
      <c r="B162" s="23" t="inlineStr">
        <is>
          <t>Estado físico</t>
        </is>
      </c>
      <c r="C162" s="23" t="inlineStr">
        <is>
          <t>Correa / hebilla dañada</t>
        </is>
      </c>
      <c r="D162" s="31" t="inlineStr">
        <is>
          <t>CHK</t>
        </is>
      </c>
      <c r="E162" s="32" t="n">
        <v>0</v>
      </c>
      <c r="F162" s="32" t="n">
        <v>1</v>
      </c>
      <c r="G162" s="32" t="n">
        <v>0</v>
      </c>
      <c r="H162" s="32" t="n">
        <v>0</v>
      </c>
      <c r="I162" s="33">
        <f>IF(C162="",0,IFERROR(INDEX($E162:$H162,MATCH('Recepción'!$E$5,$E$1:$H$1,0)),0))</f>
        <v/>
      </c>
      <c r="J162" s="33">
        <f>IF(I162=0,0,IF(A162="S",1,IF(OR(B162='Recepción'!$E$13,B162='Recepción'!$E$14,B162='Recepción'!$E$15,AND(B162="Contacto con líquido",'Recepción'!$B$32&lt;&gt;""),AND(B162="Golpe / Caída",'Recepción'!$B$31&lt;&gt;""),AND(B162="No enciende",'Recepción'!$C$34&lt;&gt;"")),1,0)))</f>
        <v/>
      </c>
      <c r="K162" s="33">
        <f>IF(J162=1,COUNTIF($J$2:J162,1),0)</f>
        <v/>
      </c>
    </row>
    <row r="163">
      <c r="A163" s="31" t="inlineStr">
        <is>
          <t>S</t>
        </is>
      </c>
      <c r="B163" s="23" t="inlineStr">
        <is>
          <t>Estado físico</t>
        </is>
      </c>
      <c r="C163" s="23" t="inlineStr">
        <is>
          <t>Ventilación / rejillas tapadas o dañadas</t>
        </is>
      </c>
      <c r="D163" s="31" t="inlineStr">
        <is>
          <t>CHK</t>
        </is>
      </c>
      <c r="E163" s="32" t="n">
        <v>0</v>
      </c>
      <c r="F163" s="32" t="n">
        <v>0</v>
      </c>
      <c r="G163" s="32" t="n">
        <v>1</v>
      </c>
      <c r="H163" s="32" t="n">
        <v>1</v>
      </c>
      <c r="I163" s="33">
        <f>IF(C163="",0,IFERROR(INDEX($E163:$H163,MATCH('Recepción'!$E$5,$E$1:$H$1,0)),0))</f>
        <v/>
      </c>
      <c r="J163" s="33">
        <f>IF(I163=0,0,IF(A163="S",1,IF(OR(B163='Recepción'!$E$13,B163='Recepción'!$E$14,B163='Recepción'!$E$15,AND(B163="Contacto con líquido",'Recepción'!$B$32&lt;&gt;""),AND(B163="Golpe / Caída",'Recepción'!$B$31&lt;&gt;""),AND(B163="No enciende",'Recepción'!$C$34&lt;&gt;"")),1,0)))</f>
        <v/>
      </c>
      <c r="K163" s="33">
        <f>IF(J163=1,COUNTIF($J$2:J163,1),0)</f>
        <v/>
      </c>
    </row>
    <row r="164">
      <c r="A164" s="31" t="inlineStr">
        <is>
          <t>S</t>
        </is>
      </c>
      <c r="B164" s="23" t="inlineStr">
        <is>
          <t>Estado físico</t>
        </is>
      </c>
      <c r="C164" s="23" t="inlineStr">
        <is>
          <t>¿Señales de apertura previa?</t>
        </is>
      </c>
      <c r="D164" s="31" t="inlineStr">
        <is>
          <t>YN</t>
        </is>
      </c>
      <c r="E164" s="32" t="n">
        <v>1</v>
      </c>
      <c r="F164" s="32" t="n">
        <v>1</v>
      </c>
      <c r="G164" s="32" t="n">
        <v>1</v>
      </c>
      <c r="H164" s="32" t="n">
        <v>1</v>
      </c>
      <c r="I164" s="33">
        <f>IF(C164="",0,IFERROR(INDEX($E164:$H164,MATCH('Recepción'!$E$5,$E$1:$H$1,0)),0))</f>
        <v/>
      </c>
      <c r="J164" s="33">
        <f>IF(I164=0,0,IF(A164="S",1,IF(OR(B164='Recepción'!$E$13,B164='Recepción'!$E$14,B164='Recepción'!$E$15,AND(B164="Contacto con líquido",'Recepción'!$B$32&lt;&gt;""),AND(B164="Golpe / Caída",'Recepción'!$B$31&lt;&gt;""),AND(B164="No enciende",'Recepción'!$C$34&lt;&gt;"")),1,0)))</f>
        <v/>
      </c>
      <c r="K164" s="33">
        <f>IF(J164=1,COUNTIF($J$2:J164,1),0)</f>
        <v/>
      </c>
    </row>
    <row r="165">
      <c r="A165" s="31" t="inlineStr">
        <is>
          <t>S</t>
        </is>
      </c>
      <c r="B165" s="23" t="inlineStr">
        <is>
          <t>Estado físico</t>
        </is>
      </c>
      <c r="C165" s="23" t="inlineStr">
        <is>
          <t>¿Señales visibles de humedad?</t>
        </is>
      </c>
      <c r="D165" s="31" t="inlineStr">
        <is>
          <t>YN</t>
        </is>
      </c>
      <c r="E165" s="32" t="n">
        <v>1</v>
      </c>
      <c r="F165" s="32" t="n">
        <v>1</v>
      </c>
      <c r="G165" s="32" t="n">
        <v>1</v>
      </c>
      <c r="H165" s="32" t="n">
        <v>1</v>
      </c>
      <c r="I165" s="33">
        <f>IF(C165="",0,IFERROR(INDEX($E165:$H165,MATCH('Recepción'!$E$5,$E$1:$H$1,0)),0))</f>
        <v/>
      </c>
      <c r="J165" s="33">
        <f>IF(I165=0,0,IF(A165="S",1,IF(OR(B165='Recepción'!$E$13,B165='Recepción'!$E$14,B165='Recepción'!$E$15,AND(B165="Contacto con líquido",'Recepción'!$B$32&lt;&gt;""),AND(B165="Golpe / Caída",'Recepción'!$B$31&lt;&gt;""),AND(B165="No enciende",'Recepción'!$C$34&lt;&gt;"")),1,0)))</f>
        <v/>
      </c>
      <c r="K165" s="33">
        <f>IF(J165=1,COUNTIF($J$2:J165,1),0)</f>
        <v/>
      </c>
    </row>
    <row r="166">
      <c r="A166" s="31" t="inlineStr">
        <is>
          <t>S</t>
        </is>
      </c>
      <c r="B166" s="23" t="inlineStr">
        <is>
          <t>Estado físico</t>
        </is>
      </c>
      <c r="C166" s="23" t="inlineStr">
        <is>
          <t>¿Batería inflada?</t>
        </is>
      </c>
      <c r="D166" s="31" t="inlineStr">
        <is>
          <t>YN</t>
        </is>
      </c>
      <c r="E166" s="32" t="n">
        <v>1</v>
      </c>
      <c r="F166" s="32" t="n">
        <v>1</v>
      </c>
      <c r="G166" s="32" t="n">
        <v>1</v>
      </c>
      <c r="H166" s="32" t="n">
        <v>0</v>
      </c>
      <c r="I166" s="33">
        <f>IF(C166="",0,IFERROR(INDEX($E166:$H166,MATCH('Recepción'!$E$5,$E$1:$H$1,0)),0))</f>
        <v/>
      </c>
      <c r="J166" s="33">
        <f>IF(I166=0,0,IF(A166="S",1,IF(OR(B166='Recepción'!$E$13,B166='Recepción'!$E$14,B166='Recepción'!$E$15,AND(B166="Contacto con líquido",'Recepción'!$B$32&lt;&gt;""),AND(B166="Golpe / Caída",'Recepción'!$B$31&lt;&gt;""),AND(B166="No enciende",'Recepción'!$C$34&lt;&gt;"")),1,0)))</f>
        <v/>
      </c>
      <c r="K166" s="33">
        <f>IF(J166=1,COUNTIF($J$2:J166,1),0)</f>
        <v/>
      </c>
    </row>
    <row r="167">
      <c r="A167" s="31" t="inlineStr">
        <is>
          <t>S</t>
        </is>
      </c>
      <c r="B167" s="23" t="inlineStr">
        <is>
          <t>Estado físico</t>
        </is>
      </c>
      <c r="C167" s="23" t="inlineStr">
        <is>
          <t>Otro daño visible (describa)</t>
        </is>
      </c>
      <c r="D167" s="31" t="inlineStr">
        <is>
          <t>TXT</t>
        </is>
      </c>
      <c r="E167" s="32" t="n">
        <v>1</v>
      </c>
      <c r="F167" s="32" t="n">
        <v>1</v>
      </c>
      <c r="G167" s="32" t="n">
        <v>1</v>
      </c>
      <c r="H167" s="32" t="n">
        <v>1</v>
      </c>
      <c r="I167" s="33">
        <f>IF(C167="",0,IFERROR(INDEX($E167:$H167,MATCH('Recepción'!$E$5,$E$1:$H$1,0)),0))</f>
        <v/>
      </c>
      <c r="J167" s="33">
        <f>IF(I167=0,0,IF(A167="S",1,IF(OR(B167='Recepción'!$E$13,B167='Recepción'!$E$14,B167='Recepción'!$E$15,AND(B167="Contacto con líquido",'Recepción'!$B$32&lt;&gt;""),AND(B167="Golpe / Caída",'Recepción'!$B$31&lt;&gt;""),AND(B167="No enciende",'Recepción'!$C$34&lt;&gt;"")),1,0)))</f>
        <v/>
      </c>
      <c r="K167" s="33">
        <f>IF(J167=1,COUNTIF($J$2:J167,1),0)</f>
        <v/>
      </c>
    </row>
    <row r="168">
      <c r="A168" s="31" t="inlineStr">
        <is>
          <t>S</t>
        </is>
      </c>
      <c r="B168" s="23" t="inlineStr">
        <is>
          <t>Estado al ingresar</t>
        </is>
      </c>
      <c r="C168" s="23" t="inlineStr">
        <is>
          <t>¿Enciende?</t>
        </is>
      </c>
      <c r="D168" s="31" t="inlineStr">
        <is>
          <t>YNS</t>
        </is>
      </c>
      <c r="E168" s="32" t="n">
        <v>1</v>
      </c>
      <c r="F168" s="32" t="n">
        <v>1</v>
      </c>
      <c r="G168" s="32" t="n">
        <v>1</v>
      </c>
      <c r="H168" s="32" t="n">
        <v>1</v>
      </c>
      <c r="I168" s="33">
        <f>IF(C168="",0,IFERROR(INDEX($E168:$H168,MATCH('Recepción'!$E$5,$E$1:$H$1,0)),0))</f>
        <v/>
      </c>
      <c r="J168" s="33">
        <f>IF(I168=0,0,IF(A168="S",1,IF(OR(B168='Recepción'!$E$13,B168='Recepción'!$E$14,B168='Recepción'!$E$15,AND(B168="Contacto con líquido",'Recepción'!$B$32&lt;&gt;""),AND(B168="Golpe / Caída",'Recepción'!$B$31&lt;&gt;""),AND(B168="No enciende",'Recepción'!$C$34&lt;&gt;"")),1,0)))</f>
        <v/>
      </c>
      <c r="K168" s="33">
        <f>IF(J168=1,COUNTIF($J$2:J168,1),0)</f>
        <v/>
      </c>
    </row>
    <row r="169">
      <c r="A169" s="31" t="inlineStr">
        <is>
          <t>S</t>
        </is>
      </c>
      <c r="B169" s="23" t="inlineStr">
        <is>
          <t>Estado al ingresar</t>
        </is>
      </c>
      <c r="C169" s="23" t="inlineStr">
        <is>
          <t>¿Da imagen?</t>
        </is>
      </c>
      <c r="D169" s="31" t="inlineStr">
        <is>
          <t>YNS</t>
        </is>
      </c>
      <c r="E169" s="32" t="n">
        <v>1</v>
      </c>
      <c r="F169" s="32" t="n">
        <v>0</v>
      </c>
      <c r="G169" s="32" t="n">
        <v>1</v>
      </c>
      <c r="H169" s="32" t="n">
        <v>1</v>
      </c>
      <c r="I169" s="33">
        <f>IF(C169="",0,IFERROR(INDEX($E169:$H169,MATCH('Recepción'!$E$5,$E$1:$H$1,0)),0))</f>
        <v/>
      </c>
      <c r="J169" s="33">
        <f>IF(I169=0,0,IF(A169="S",1,IF(OR(B169='Recepción'!$E$13,B169='Recepción'!$E$14,B169='Recepción'!$E$15,AND(B169="Contacto con líquido",'Recepción'!$B$32&lt;&gt;""),AND(B169="Golpe / Caída",'Recepción'!$B$31&lt;&gt;""),AND(B169="No enciende",'Recepción'!$C$34&lt;&gt;"")),1,0)))</f>
        <v/>
      </c>
      <c r="K169" s="33">
        <f>IF(J169=1,COUNTIF($J$2:J169,1),0)</f>
        <v/>
      </c>
    </row>
    <row r="170">
      <c r="A170" s="31" t="inlineStr">
        <is>
          <t>S</t>
        </is>
      </c>
      <c r="B170" s="23" t="inlineStr">
        <is>
          <t>Estado al ingresar</t>
        </is>
      </c>
      <c r="C170" s="23" t="inlineStr">
        <is>
          <t>¿Inicia el sistema operativo?</t>
        </is>
      </c>
      <c r="D170" s="31" t="inlineStr">
        <is>
          <t>YNS</t>
        </is>
      </c>
      <c r="E170" s="32" t="n">
        <v>1</v>
      </c>
      <c r="F170" s="32" t="n">
        <v>0</v>
      </c>
      <c r="G170" s="32" t="n">
        <v>1</v>
      </c>
      <c r="H170" s="32" t="n">
        <v>1</v>
      </c>
      <c r="I170" s="33">
        <f>IF(C170="",0,IFERROR(INDEX($E170:$H170,MATCH('Recepción'!$E$5,$E$1:$H$1,0)),0))</f>
        <v/>
      </c>
      <c r="J170" s="33">
        <f>IF(I170=0,0,IF(A170="S",1,IF(OR(B170='Recepción'!$E$13,B170='Recepción'!$E$14,B170='Recepción'!$E$15,AND(B170="Contacto con líquido",'Recepción'!$B$32&lt;&gt;""),AND(B170="Golpe / Caída",'Recepción'!$B$31&lt;&gt;""),AND(B170="No enciende",'Recepción'!$C$34&lt;&gt;"")),1,0)))</f>
        <v/>
      </c>
      <c r="K170" s="33">
        <f>IF(J170=1,COUNTIF($J$2:J170,1),0)</f>
        <v/>
      </c>
    </row>
    <row r="171">
      <c r="A171" s="31" t="inlineStr">
        <is>
          <t>S</t>
        </is>
      </c>
      <c r="B171" s="23" t="inlineStr">
        <is>
          <t>Estado al ingresar</t>
        </is>
      </c>
      <c r="C171" s="23" t="inlineStr">
        <is>
          <t>¿Muestra la hora y responde?</t>
        </is>
      </c>
      <c r="D171" s="31" t="inlineStr">
        <is>
          <t>YNS</t>
        </is>
      </c>
      <c r="E171" s="32" t="n">
        <v>0</v>
      </c>
      <c r="F171" s="32" t="n">
        <v>1</v>
      </c>
      <c r="G171" s="32" t="n">
        <v>0</v>
      </c>
      <c r="H171" s="32" t="n">
        <v>0</v>
      </c>
      <c r="I171" s="33">
        <f>IF(C171="",0,IFERROR(INDEX($E171:$H171,MATCH('Recepción'!$E$5,$E$1:$H$1,0)),0))</f>
        <v/>
      </c>
      <c r="J171" s="33">
        <f>IF(I171=0,0,IF(A171="S",1,IF(OR(B171='Recepción'!$E$13,B171='Recepción'!$E$14,B171='Recepción'!$E$15,AND(B171="Contacto con líquido",'Recepción'!$B$32&lt;&gt;""),AND(B171="Golpe / Caída",'Recepción'!$B$31&lt;&gt;""),AND(B171="No enciende",'Recepción'!$C$34&lt;&gt;"")),1,0)))</f>
        <v/>
      </c>
      <c r="K171" s="33">
        <f>IF(J171=1,COUNTIF($J$2:J171,1),0)</f>
        <v/>
      </c>
    </row>
    <row r="172">
      <c r="A172" s="31" t="inlineStr">
        <is>
          <t>S</t>
        </is>
      </c>
      <c r="B172" s="23" t="inlineStr">
        <is>
          <t>Accesorios entregados</t>
        </is>
      </c>
      <c r="C172" s="23" t="inlineStr">
        <is>
          <t>Entregó: Cargador</t>
        </is>
      </c>
      <c r="D172" s="31" t="inlineStr">
        <is>
          <t>CHK</t>
        </is>
      </c>
      <c r="E172" s="32" t="n">
        <v>1</v>
      </c>
      <c r="F172" s="32" t="n">
        <v>0</v>
      </c>
      <c r="G172" s="32" t="n">
        <v>0</v>
      </c>
      <c r="H172" s="32" t="n">
        <v>0</v>
      </c>
      <c r="I172" s="33">
        <f>IF(C172="",0,IFERROR(INDEX($E172:$H172,MATCH('Recepción'!$E$5,$E$1:$H$1,0)),0))</f>
        <v/>
      </c>
      <c r="J172" s="33">
        <f>IF(I172=0,0,IF(A172="S",1,IF(OR(B172='Recepción'!$E$13,B172='Recepción'!$E$14,B172='Recepción'!$E$15,AND(B172="Contacto con líquido",'Recepción'!$B$32&lt;&gt;""),AND(B172="Golpe / Caída",'Recepción'!$B$31&lt;&gt;""),AND(B172="No enciende",'Recepción'!$C$34&lt;&gt;"")),1,0)))</f>
        <v/>
      </c>
      <c r="K172" s="33">
        <f>IF(J172=1,COUNTIF($J$2:J172,1),0)</f>
        <v/>
      </c>
    </row>
    <row r="173">
      <c r="A173" s="31" t="inlineStr">
        <is>
          <t>S</t>
        </is>
      </c>
      <c r="B173" s="23" t="inlineStr">
        <is>
          <t>Accesorios entregados</t>
        </is>
      </c>
      <c r="C173" s="23" t="inlineStr">
        <is>
          <t>Entregó: Cable</t>
        </is>
      </c>
      <c r="D173" s="31" t="inlineStr">
        <is>
          <t>CHK</t>
        </is>
      </c>
      <c r="E173" s="32" t="n">
        <v>1</v>
      </c>
      <c r="F173" s="32" t="n">
        <v>0</v>
      </c>
      <c r="G173" s="32" t="n">
        <v>0</v>
      </c>
      <c r="H173" s="32" t="n">
        <v>0</v>
      </c>
      <c r="I173" s="33">
        <f>IF(C173="",0,IFERROR(INDEX($E173:$H173,MATCH('Recepción'!$E$5,$E$1:$H$1,0)),0))</f>
        <v/>
      </c>
      <c r="J173" s="33">
        <f>IF(I173=0,0,IF(A173="S",1,IF(OR(B173='Recepción'!$E$13,B173='Recepción'!$E$14,B173='Recepción'!$E$15,AND(B173="Contacto con líquido",'Recepción'!$B$32&lt;&gt;""),AND(B173="Golpe / Caída",'Recepción'!$B$31&lt;&gt;""),AND(B173="No enciende",'Recepción'!$C$34&lt;&gt;"")),1,0)))</f>
        <v/>
      </c>
      <c r="K173" s="33">
        <f>IF(J173=1,COUNTIF($J$2:J173,1),0)</f>
        <v/>
      </c>
    </row>
    <row r="174">
      <c r="A174" s="31" t="inlineStr">
        <is>
          <t>S</t>
        </is>
      </c>
      <c r="B174" s="23" t="inlineStr">
        <is>
          <t>Accesorios entregados</t>
        </is>
      </c>
      <c r="C174" s="23" t="inlineStr">
        <is>
          <t>Entregó: Funda</t>
        </is>
      </c>
      <c r="D174" s="31" t="inlineStr">
        <is>
          <t>CHK</t>
        </is>
      </c>
      <c r="E174" s="32" t="n">
        <v>1</v>
      </c>
      <c r="F174" s="32" t="n">
        <v>0</v>
      </c>
      <c r="G174" s="32" t="n">
        <v>0</v>
      </c>
      <c r="H174" s="32" t="n">
        <v>0</v>
      </c>
      <c r="I174" s="33">
        <f>IF(C174="",0,IFERROR(INDEX($E174:$H174,MATCH('Recepción'!$E$5,$E$1:$H$1,0)),0))</f>
        <v/>
      </c>
      <c r="J174" s="33">
        <f>IF(I174=0,0,IF(A174="S",1,IF(OR(B174='Recepción'!$E$13,B174='Recepción'!$E$14,B174='Recepción'!$E$15,AND(B174="Contacto con líquido",'Recepción'!$B$32&lt;&gt;""),AND(B174="Golpe / Caída",'Recepción'!$B$31&lt;&gt;""),AND(B174="No enciende",'Recepción'!$C$34&lt;&gt;"")),1,0)))</f>
        <v/>
      </c>
      <c r="K174" s="33">
        <f>IF(J174=1,COUNTIF($J$2:J174,1),0)</f>
        <v/>
      </c>
    </row>
    <row r="175">
      <c r="A175" s="31" t="inlineStr">
        <is>
          <t>S</t>
        </is>
      </c>
      <c r="B175" s="23" t="inlineStr">
        <is>
          <t>Accesorios entregados</t>
        </is>
      </c>
      <c r="C175" s="23" t="inlineStr">
        <is>
          <t>Entregó: SIM</t>
        </is>
      </c>
      <c r="D175" s="31" t="inlineStr">
        <is>
          <t>CHK</t>
        </is>
      </c>
      <c r="E175" s="32" t="n">
        <v>1</v>
      </c>
      <c r="F175" s="32" t="n">
        <v>0</v>
      </c>
      <c r="G175" s="32" t="n">
        <v>0</v>
      </c>
      <c r="H175" s="32" t="n">
        <v>0</v>
      </c>
      <c r="I175" s="33">
        <f>IF(C175="",0,IFERROR(INDEX($E175:$H175,MATCH('Recepción'!$E$5,$E$1:$H$1,0)),0))</f>
        <v/>
      </c>
      <c r="J175" s="33">
        <f>IF(I175=0,0,IF(A175="S",1,IF(OR(B175='Recepción'!$E$13,B175='Recepción'!$E$14,B175='Recepción'!$E$15,AND(B175="Contacto con líquido",'Recepción'!$B$32&lt;&gt;""),AND(B175="Golpe / Caída",'Recepción'!$B$31&lt;&gt;""),AND(B175="No enciende",'Recepción'!$C$34&lt;&gt;"")),1,0)))</f>
        <v/>
      </c>
      <c r="K175" s="33">
        <f>IF(J175=1,COUNTIF($J$2:J175,1),0)</f>
        <v/>
      </c>
    </row>
    <row r="176">
      <c r="A176" s="31" t="inlineStr">
        <is>
          <t>S</t>
        </is>
      </c>
      <c r="B176" s="23" t="inlineStr">
        <is>
          <t>Accesorios entregados</t>
        </is>
      </c>
      <c r="C176" s="23" t="inlineStr">
        <is>
          <t>Entregó: MicroSD</t>
        </is>
      </c>
      <c r="D176" s="31" t="inlineStr">
        <is>
          <t>CHK</t>
        </is>
      </c>
      <c r="E176" s="32" t="n">
        <v>1</v>
      </c>
      <c r="F176" s="32" t="n">
        <v>0</v>
      </c>
      <c r="G176" s="32" t="n">
        <v>0</v>
      </c>
      <c r="H176" s="32" t="n">
        <v>0</v>
      </c>
      <c r="I176" s="33">
        <f>IF(C176="",0,IFERROR(INDEX($E176:$H176,MATCH('Recepción'!$E$5,$E$1:$H$1,0)),0))</f>
        <v/>
      </c>
      <c r="J176" s="33">
        <f>IF(I176=0,0,IF(A176="S",1,IF(OR(B176='Recepción'!$E$13,B176='Recepción'!$E$14,B176='Recepción'!$E$15,AND(B176="Contacto con líquido",'Recepción'!$B$32&lt;&gt;""),AND(B176="Golpe / Caída",'Recepción'!$B$31&lt;&gt;""),AND(B176="No enciende",'Recepción'!$C$34&lt;&gt;"")),1,0)))</f>
        <v/>
      </c>
      <c r="K176" s="33">
        <f>IF(J176=1,COUNTIF($J$2:J176,1),0)</f>
        <v/>
      </c>
    </row>
    <row r="177">
      <c r="A177" s="31" t="inlineStr">
        <is>
          <t>S</t>
        </is>
      </c>
      <c r="B177" s="23" t="inlineStr">
        <is>
          <t>Accesorios entregados</t>
        </is>
      </c>
      <c r="C177" s="23" t="inlineStr">
        <is>
          <t>Entregó: Adaptador</t>
        </is>
      </c>
      <c r="D177" s="31" t="inlineStr">
        <is>
          <t>CHK</t>
        </is>
      </c>
      <c r="E177" s="32" t="n">
        <v>1</v>
      </c>
      <c r="F177" s="32" t="n">
        <v>0</v>
      </c>
      <c r="G177" s="32" t="n">
        <v>0</v>
      </c>
      <c r="H177" s="32" t="n">
        <v>0</v>
      </c>
      <c r="I177" s="33">
        <f>IF(C177="",0,IFERROR(INDEX($E177:$H177,MATCH('Recepción'!$E$5,$E$1:$H$1,0)),0))</f>
        <v/>
      </c>
      <c r="J177" s="33">
        <f>IF(I177=0,0,IF(A177="S",1,IF(OR(B177='Recepción'!$E$13,B177='Recepción'!$E$14,B177='Recepción'!$E$15,AND(B177="Contacto con líquido",'Recepción'!$B$32&lt;&gt;""),AND(B177="Golpe / Caída",'Recepción'!$B$31&lt;&gt;""),AND(B177="No enciende",'Recepción'!$C$34&lt;&gt;"")),1,0)))</f>
        <v/>
      </c>
      <c r="K177" s="33">
        <f>IF(J177=1,COUNTIF($J$2:J177,1),0)</f>
        <v/>
      </c>
    </row>
    <row r="178">
      <c r="A178" s="31" t="inlineStr">
        <is>
          <t>S</t>
        </is>
      </c>
      <c r="B178" s="23" t="inlineStr">
        <is>
          <t>Accesorios entregados</t>
        </is>
      </c>
      <c r="C178" s="23" t="inlineStr">
        <is>
          <t>Entregó: Cargador magnético</t>
        </is>
      </c>
      <c r="D178" s="31" t="inlineStr">
        <is>
          <t>CHK</t>
        </is>
      </c>
      <c r="E178" s="32" t="n">
        <v>0</v>
      </c>
      <c r="F178" s="32" t="n">
        <v>1</v>
      </c>
      <c r="G178" s="32" t="n">
        <v>0</v>
      </c>
      <c r="H178" s="32" t="n">
        <v>0</v>
      </c>
      <c r="I178" s="33">
        <f>IF(C178="",0,IFERROR(INDEX($E178:$H178,MATCH('Recepción'!$E$5,$E$1:$H$1,0)),0))</f>
        <v/>
      </c>
      <c r="J178" s="33">
        <f>IF(I178=0,0,IF(A178="S",1,IF(OR(B178='Recepción'!$E$13,B178='Recepción'!$E$14,B178='Recepción'!$E$15,AND(B178="Contacto con líquido",'Recepción'!$B$32&lt;&gt;""),AND(B178="Golpe / Caída",'Recepción'!$B$31&lt;&gt;""),AND(B178="No enciende",'Recepción'!$C$34&lt;&gt;"")),1,0)))</f>
        <v/>
      </c>
      <c r="K178" s="33">
        <f>IF(J178=1,COUNTIF($J$2:J178,1),0)</f>
        <v/>
      </c>
    </row>
    <row r="179">
      <c r="A179" s="31" t="inlineStr">
        <is>
          <t>S</t>
        </is>
      </c>
      <c r="B179" s="23" t="inlineStr">
        <is>
          <t>Accesorios entregados</t>
        </is>
      </c>
      <c r="C179" s="23" t="inlineStr">
        <is>
          <t>Entregó: Correa adicional</t>
        </is>
      </c>
      <c r="D179" s="31" t="inlineStr">
        <is>
          <t>CHK</t>
        </is>
      </c>
      <c r="E179" s="32" t="n">
        <v>0</v>
      </c>
      <c r="F179" s="32" t="n">
        <v>1</v>
      </c>
      <c r="G179" s="32" t="n">
        <v>0</v>
      </c>
      <c r="H179" s="32" t="n">
        <v>0</v>
      </c>
      <c r="I179" s="33">
        <f>IF(C179="",0,IFERROR(INDEX($E179:$H179,MATCH('Recepción'!$E$5,$E$1:$H$1,0)),0))</f>
        <v/>
      </c>
      <c r="J179" s="33">
        <f>IF(I179=0,0,IF(A179="S",1,IF(OR(B179='Recepción'!$E$13,B179='Recepción'!$E$14,B179='Recepción'!$E$15,AND(B179="Contacto con líquido",'Recepción'!$B$32&lt;&gt;""),AND(B179="Golpe / Caída",'Recepción'!$B$31&lt;&gt;""),AND(B179="No enciende",'Recepción'!$C$34&lt;&gt;"")),1,0)))</f>
        <v/>
      </c>
      <c r="K179" s="33">
        <f>IF(J179=1,COUNTIF($J$2:J179,1),0)</f>
        <v/>
      </c>
    </row>
    <row r="180">
      <c r="A180" s="31" t="inlineStr">
        <is>
          <t>S</t>
        </is>
      </c>
      <c r="B180" s="23" t="inlineStr">
        <is>
          <t>Accesorios entregados</t>
        </is>
      </c>
      <c r="C180" s="23" t="inlineStr">
        <is>
          <t>Entregó: Cargador / cable de poder</t>
        </is>
      </c>
      <c r="D180" s="31" t="inlineStr">
        <is>
          <t>CHK</t>
        </is>
      </c>
      <c r="E180" s="32" t="n">
        <v>0</v>
      </c>
      <c r="F180" s="32" t="n">
        <v>0</v>
      </c>
      <c r="G180" s="32" t="n">
        <v>1</v>
      </c>
      <c r="H180" s="32" t="n">
        <v>0</v>
      </c>
      <c r="I180" s="33">
        <f>IF(C180="",0,IFERROR(INDEX($E180:$H180,MATCH('Recepción'!$E$5,$E$1:$H$1,0)),0))</f>
        <v/>
      </c>
      <c r="J180" s="33">
        <f>IF(I180=0,0,IF(A180="S",1,IF(OR(B180='Recepción'!$E$13,B180='Recepción'!$E$14,B180='Recepción'!$E$15,AND(B180="Contacto con líquido",'Recepción'!$B$32&lt;&gt;""),AND(B180="Golpe / Caída",'Recepción'!$B$31&lt;&gt;""),AND(B180="No enciende",'Recepción'!$C$34&lt;&gt;"")),1,0)))</f>
        <v/>
      </c>
      <c r="K180" s="33">
        <f>IF(J180=1,COUNTIF($J$2:J180,1),0)</f>
        <v/>
      </c>
    </row>
    <row r="181">
      <c r="A181" s="31" t="inlineStr">
        <is>
          <t>S</t>
        </is>
      </c>
      <c r="B181" s="23" t="inlineStr">
        <is>
          <t>Accesorios entregados</t>
        </is>
      </c>
      <c r="C181" s="23" t="inlineStr">
        <is>
          <t>Entregó: Funda / maletín</t>
        </is>
      </c>
      <c r="D181" s="31" t="inlineStr">
        <is>
          <t>CHK</t>
        </is>
      </c>
      <c r="E181" s="32" t="n">
        <v>0</v>
      </c>
      <c r="F181" s="32" t="n">
        <v>0</v>
      </c>
      <c r="G181" s="32" t="n">
        <v>1</v>
      </c>
      <c r="H181" s="32" t="n">
        <v>0</v>
      </c>
      <c r="I181" s="33">
        <f>IF(C181="",0,IFERROR(INDEX($E181:$H181,MATCH('Recepción'!$E$5,$E$1:$H$1,0)),0))</f>
        <v/>
      </c>
      <c r="J181" s="33">
        <f>IF(I181=0,0,IF(A181="S",1,IF(OR(B181='Recepción'!$E$13,B181='Recepción'!$E$14,B181='Recepción'!$E$15,AND(B181="Contacto con líquido",'Recepción'!$B$32&lt;&gt;""),AND(B181="Golpe / Caída",'Recepción'!$B$31&lt;&gt;""),AND(B181="No enciende",'Recepción'!$C$34&lt;&gt;"")),1,0)))</f>
        <v/>
      </c>
      <c r="K181" s="33">
        <f>IF(J181=1,COUNTIF($J$2:J181,1),0)</f>
        <v/>
      </c>
    </row>
    <row r="182">
      <c r="A182" s="31" t="inlineStr">
        <is>
          <t>S</t>
        </is>
      </c>
      <c r="B182" s="23" t="inlineStr">
        <is>
          <t>Accesorios entregados</t>
        </is>
      </c>
      <c r="C182" s="23" t="inlineStr">
        <is>
          <t>Entregó: Mouse</t>
        </is>
      </c>
      <c r="D182" s="31" t="inlineStr">
        <is>
          <t>CHK</t>
        </is>
      </c>
      <c r="E182" s="32" t="n">
        <v>0</v>
      </c>
      <c r="F182" s="32" t="n">
        <v>0</v>
      </c>
      <c r="G182" s="32" t="n">
        <v>1</v>
      </c>
      <c r="H182" s="32" t="n">
        <v>0</v>
      </c>
      <c r="I182" s="33">
        <f>IF(C182="",0,IFERROR(INDEX($E182:$H182,MATCH('Recepción'!$E$5,$E$1:$H$1,0)),0))</f>
        <v/>
      </c>
      <c r="J182" s="33">
        <f>IF(I182=0,0,IF(A182="S",1,IF(OR(B182='Recepción'!$E$13,B182='Recepción'!$E$14,B182='Recepción'!$E$15,AND(B182="Contacto con líquido",'Recepción'!$B$32&lt;&gt;""),AND(B182="Golpe / Caída",'Recepción'!$B$31&lt;&gt;""),AND(B182="No enciende",'Recepción'!$C$34&lt;&gt;"")),1,0)))</f>
        <v/>
      </c>
      <c r="K182" s="33">
        <f>IF(J182=1,COUNTIF($J$2:J182,1),0)</f>
        <v/>
      </c>
    </row>
    <row r="183">
      <c r="A183" s="31" t="inlineStr">
        <is>
          <t>S</t>
        </is>
      </c>
      <c r="B183" s="23" t="inlineStr">
        <is>
          <t>Accesorios entregados</t>
        </is>
      </c>
      <c r="C183" s="23" t="inlineStr">
        <is>
          <t>Entregó: Teclado externo</t>
        </is>
      </c>
      <c r="D183" s="31" t="inlineStr">
        <is>
          <t>CHK</t>
        </is>
      </c>
      <c r="E183" s="32" t="n">
        <v>0</v>
      </c>
      <c r="F183" s="32" t="n">
        <v>0</v>
      </c>
      <c r="G183" s="32" t="n">
        <v>1</v>
      </c>
      <c r="H183" s="32" t="n">
        <v>0</v>
      </c>
      <c r="I183" s="33">
        <f>IF(C183="",0,IFERROR(INDEX($E183:$H183,MATCH('Recepción'!$E$5,$E$1:$H$1,0)),0))</f>
        <v/>
      </c>
      <c r="J183" s="33">
        <f>IF(I183=0,0,IF(A183="S",1,IF(OR(B183='Recepción'!$E$13,B183='Recepción'!$E$14,B183='Recepción'!$E$15,AND(B183="Contacto con líquido",'Recepción'!$B$32&lt;&gt;""),AND(B183="Golpe / Caída",'Recepción'!$B$31&lt;&gt;""),AND(B183="No enciende",'Recepción'!$C$34&lt;&gt;"")),1,0)))</f>
        <v/>
      </c>
      <c r="K183" s="33">
        <f>IF(J183=1,COUNTIF($J$2:J183,1),0)</f>
        <v/>
      </c>
    </row>
    <row r="184">
      <c r="A184" s="31" t="inlineStr">
        <is>
          <t>S</t>
        </is>
      </c>
      <c r="B184" s="23" t="inlineStr">
        <is>
          <t>Accesorios entregados</t>
        </is>
      </c>
      <c r="C184" s="23" t="inlineStr">
        <is>
          <t>Entregó: Monitor</t>
        </is>
      </c>
      <c r="D184" s="31" t="inlineStr">
        <is>
          <t>CHK</t>
        </is>
      </c>
      <c r="E184" s="32" t="n">
        <v>0</v>
      </c>
      <c r="F184" s="32" t="n">
        <v>0</v>
      </c>
      <c r="G184" s="32" t="n">
        <v>1</v>
      </c>
      <c r="H184" s="32" t="n">
        <v>0</v>
      </c>
      <c r="I184" s="33">
        <f>IF(C184="",0,IFERROR(INDEX($E184:$H184,MATCH('Recepción'!$E$5,$E$1:$H$1,0)),0))</f>
        <v/>
      </c>
      <c r="J184" s="33">
        <f>IF(I184=0,0,IF(A184="S",1,IF(OR(B184='Recepción'!$E$13,B184='Recepción'!$E$14,B184='Recepción'!$E$15,AND(B184="Contacto con líquido",'Recepción'!$B$32&lt;&gt;""),AND(B184="Golpe / Caída",'Recepción'!$B$31&lt;&gt;""),AND(B184="No enciende",'Recepción'!$C$34&lt;&gt;"")),1,0)))</f>
        <v/>
      </c>
      <c r="K184" s="33">
        <f>IF(J184=1,COUNTIF($J$2:J184,1),0)</f>
        <v/>
      </c>
    </row>
    <row r="185">
      <c r="A185" s="31" t="inlineStr">
        <is>
          <t>S</t>
        </is>
      </c>
      <c r="B185" s="23" t="inlineStr">
        <is>
          <t>Accesorios entregados</t>
        </is>
      </c>
      <c r="C185" s="23" t="inlineStr">
        <is>
          <t>Entregó: Cable de poder</t>
        </is>
      </c>
      <c r="D185" s="31" t="inlineStr">
        <is>
          <t>CHK</t>
        </is>
      </c>
      <c r="E185" s="32" t="n">
        <v>0</v>
      </c>
      <c r="F185" s="32" t="n">
        <v>0</v>
      </c>
      <c r="G185" s="32" t="n">
        <v>0</v>
      </c>
      <c r="H185" s="32" t="n">
        <v>1</v>
      </c>
      <c r="I185" s="33">
        <f>IF(C185="",0,IFERROR(INDEX($E185:$H185,MATCH('Recepción'!$E$5,$E$1:$H$1,0)),0))</f>
        <v/>
      </c>
      <c r="J185" s="33">
        <f>IF(I185=0,0,IF(A185="S",1,IF(OR(B185='Recepción'!$E$13,B185='Recepción'!$E$14,B185='Recepción'!$E$15,AND(B185="Contacto con líquido",'Recepción'!$B$32&lt;&gt;""),AND(B185="Golpe / Caída",'Recepción'!$B$31&lt;&gt;""),AND(B185="No enciende",'Recepción'!$C$34&lt;&gt;"")),1,0)))</f>
        <v/>
      </c>
      <c r="K185" s="33">
        <f>IF(J185=1,COUNTIF($J$2:J185,1),0)</f>
        <v/>
      </c>
    </row>
    <row r="186">
      <c r="A186" s="31" t="inlineStr">
        <is>
          <t>S</t>
        </is>
      </c>
      <c r="B186" s="23" t="inlineStr">
        <is>
          <t>Accesorios entregados</t>
        </is>
      </c>
      <c r="C186" s="23" t="inlineStr">
        <is>
          <t>Entregó: Cable HDMI</t>
        </is>
      </c>
      <c r="D186" s="31" t="inlineStr">
        <is>
          <t>CHK</t>
        </is>
      </c>
      <c r="E186" s="32" t="n">
        <v>0</v>
      </c>
      <c r="F186" s="32" t="n">
        <v>0</v>
      </c>
      <c r="G186" s="32" t="n">
        <v>0</v>
      </c>
      <c r="H186" s="32" t="n">
        <v>1</v>
      </c>
      <c r="I186" s="33">
        <f>IF(C186="",0,IFERROR(INDEX($E186:$H186,MATCH('Recepción'!$E$5,$E$1:$H$1,0)),0))</f>
        <v/>
      </c>
      <c r="J186" s="33">
        <f>IF(I186=0,0,IF(A186="S",1,IF(OR(B186='Recepción'!$E$13,B186='Recepción'!$E$14,B186='Recepción'!$E$15,AND(B186="Contacto con líquido",'Recepción'!$B$32&lt;&gt;""),AND(B186="Golpe / Caída",'Recepción'!$B$31&lt;&gt;""),AND(B186="No enciende",'Recepción'!$C$34&lt;&gt;"")),1,0)))</f>
        <v/>
      </c>
      <c r="K186" s="33">
        <f>IF(J186=1,COUNTIF($J$2:J186,1),0)</f>
        <v/>
      </c>
    </row>
    <row r="187">
      <c r="A187" s="31" t="inlineStr">
        <is>
          <t>S</t>
        </is>
      </c>
      <c r="B187" s="23" t="inlineStr">
        <is>
          <t>Accesorios entregados</t>
        </is>
      </c>
      <c r="C187" s="23" t="inlineStr">
        <is>
          <t>Entregó: Control(es)</t>
        </is>
      </c>
      <c r="D187" s="31" t="inlineStr">
        <is>
          <t>CHK</t>
        </is>
      </c>
      <c r="E187" s="32" t="n">
        <v>0</v>
      </c>
      <c r="F187" s="32" t="n">
        <v>0</v>
      </c>
      <c r="G187" s="32" t="n">
        <v>0</v>
      </c>
      <c r="H187" s="32" t="n">
        <v>1</v>
      </c>
      <c r="I187" s="33">
        <f>IF(C187="",0,IFERROR(INDEX($E187:$H187,MATCH('Recepción'!$E$5,$E$1:$H$1,0)),0))</f>
        <v/>
      </c>
      <c r="J187" s="33">
        <f>IF(I187=0,0,IF(A187="S",1,IF(OR(B187='Recepción'!$E$13,B187='Recepción'!$E$14,B187='Recepción'!$E$15,AND(B187="Contacto con líquido",'Recepción'!$B$32&lt;&gt;""),AND(B187="Golpe / Caída",'Recepción'!$B$31&lt;&gt;""),AND(B187="No enciende",'Recepción'!$C$34&lt;&gt;"")),1,0)))</f>
        <v/>
      </c>
      <c r="K187" s="33">
        <f>IF(J187=1,COUNTIF($J$2:J187,1),0)</f>
        <v/>
      </c>
    </row>
    <row r="188">
      <c r="A188" s="31" t="inlineStr">
        <is>
          <t>S</t>
        </is>
      </c>
      <c r="B188" s="23" t="inlineStr">
        <is>
          <t>Accesorios entregados</t>
        </is>
      </c>
      <c r="C188" s="23" t="inlineStr">
        <is>
          <t>Entregó: Base / dock</t>
        </is>
      </c>
      <c r="D188" s="31" t="inlineStr">
        <is>
          <t>CHK</t>
        </is>
      </c>
      <c r="E188" s="32" t="n">
        <v>0</v>
      </c>
      <c r="F188" s="32" t="n">
        <v>0</v>
      </c>
      <c r="G188" s="32" t="n">
        <v>0</v>
      </c>
      <c r="H188" s="32" t="n">
        <v>1</v>
      </c>
      <c r="I188" s="33">
        <f>IF(C188="",0,IFERROR(INDEX($E188:$H188,MATCH('Recepción'!$E$5,$E$1:$H$1,0)),0))</f>
        <v/>
      </c>
      <c r="J188" s="33">
        <f>IF(I188=0,0,IF(A188="S",1,IF(OR(B188='Recepción'!$E$13,B188='Recepción'!$E$14,B188='Recepción'!$E$15,AND(B188="Contacto con líquido",'Recepción'!$B$32&lt;&gt;""),AND(B188="Golpe / Caída",'Recepción'!$B$31&lt;&gt;""),AND(B188="No enciende",'Recepción'!$C$34&lt;&gt;"")),1,0)))</f>
        <v/>
      </c>
      <c r="K188" s="33">
        <f>IF(J188=1,COUNTIF($J$2:J188,1),0)</f>
        <v/>
      </c>
    </row>
    <row r="189">
      <c r="A189" s="31" t="inlineStr">
        <is>
          <t>S</t>
        </is>
      </c>
      <c r="B189" s="23" t="inlineStr">
        <is>
          <t>Accesorios entregados</t>
        </is>
      </c>
      <c r="C189" s="23" t="inlineStr">
        <is>
          <t>Entregó: Discos o juegos</t>
        </is>
      </c>
      <c r="D189" s="31" t="inlineStr">
        <is>
          <t>CHK</t>
        </is>
      </c>
      <c r="E189" s="32" t="n">
        <v>0</v>
      </c>
      <c r="F189" s="32" t="n">
        <v>0</v>
      </c>
      <c r="G189" s="32" t="n">
        <v>0</v>
      </c>
      <c r="H189" s="32" t="n">
        <v>1</v>
      </c>
      <c r="I189" s="33">
        <f>IF(C189="",0,IFERROR(INDEX($E189:$H189,MATCH('Recepción'!$E$5,$E$1:$H$1,0)),0))</f>
        <v/>
      </c>
      <c r="J189" s="33">
        <f>IF(I189=0,0,IF(A189="S",1,IF(OR(B189='Recepción'!$E$13,B189='Recepción'!$E$14,B189='Recepción'!$E$15,AND(B189="Contacto con líquido",'Recepción'!$B$32&lt;&gt;""),AND(B189="Golpe / Caída",'Recepción'!$B$31&lt;&gt;""),AND(B189="No enciende",'Recepción'!$C$34&lt;&gt;"")),1,0)))</f>
        <v/>
      </c>
      <c r="K189" s="33">
        <f>IF(J189=1,COUNTIF($J$2:J189,1),0)</f>
        <v/>
      </c>
    </row>
    <row r="190">
      <c r="A190" s="31" t="inlineStr">
        <is>
          <t>S</t>
        </is>
      </c>
      <c r="B190" s="23" t="inlineStr">
        <is>
          <t>Accesorios entregados</t>
        </is>
      </c>
      <c r="C190" s="23" t="inlineStr">
        <is>
          <t>Entregó: Cable USB / carga</t>
        </is>
      </c>
      <c r="D190" s="31" t="inlineStr">
        <is>
          <t>CHK</t>
        </is>
      </c>
      <c r="E190" s="32" t="n">
        <v>0</v>
      </c>
      <c r="F190" s="32" t="n">
        <v>0</v>
      </c>
      <c r="G190" s="32" t="n">
        <v>0</v>
      </c>
      <c r="H190" s="32" t="n">
        <v>1</v>
      </c>
      <c r="I190" s="33">
        <f>IF(C190="",0,IFERROR(INDEX($E190:$H190,MATCH('Recepción'!$E$5,$E$1:$H$1,0)),0))</f>
        <v/>
      </c>
      <c r="J190" s="33">
        <f>IF(I190=0,0,IF(A190="S",1,IF(OR(B190='Recepción'!$E$13,B190='Recepción'!$E$14,B190='Recepción'!$E$15,AND(B190="Contacto con líquido",'Recepción'!$B$32&lt;&gt;""),AND(B190="Golpe / Caída",'Recepción'!$B$31&lt;&gt;""),AND(B190="No enciende",'Recepción'!$C$34&lt;&gt;"")),1,0)))</f>
        <v/>
      </c>
      <c r="K190" s="33">
        <f>IF(J190=1,COUNTIF($J$2:J190,1),0)</f>
        <v/>
      </c>
    </row>
    <row r="191">
      <c r="A191" s="31" t="inlineStr">
        <is>
          <t>S</t>
        </is>
      </c>
      <c r="B191" s="23" t="inlineStr">
        <is>
          <t>Accesorios entregados</t>
        </is>
      </c>
      <c r="C191" s="23" t="inlineStr">
        <is>
          <t>Ningún accesorio entregado</t>
        </is>
      </c>
      <c r="D191" s="31" t="inlineStr">
        <is>
          <t>CHK</t>
        </is>
      </c>
      <c r="E191" s="32" t="n">
        <v>1</v>
      </c>
      <c r="F191" s="32" t="n">
        <v>1</v>
      </c>
      <c r="G191" s="32" t="n">
        <v>1</v>
      </c>
      <c r="H191" s="32" t="n">
        <v>1</v>
      </c>
      <c r="I191" s="33">
        <f>IF(C191="",0,IFERROR(INDEX($E191:$H191,MATCH('Recepción'!$E$5,$E$1:$H$1,0)),0))</f>
        <v/>
      </c>
      <c r="J191" s="33">
        <f>IF(I191=0,0,IF(A191="S",1,IF(OR(B191='Recepción'!$E$13,B191='Recepción'!$E$14,B191='Recepción'!$E$15,AND(B191="Contacto con líquido",'Recepción'!$B$32&lt;&gt;""),AND(B191="Golpe / Caída",'Recepción'!$B$31&lt;&gt;""),AND(B191="No enciende",'Recepción'!$C$34&lt;&gt;"")),1,0)))</f>
        <v/>
      </c>
      <c r="K191" s="33">
        <f>IF(J191=1,COUNTIF($J$2:J191,1),0)</f>
        <v/>
      </c>
    </row>
    <row r="192">
      <c r="A192" s="31" t="inlineStr">
        <is>
          <t>S</t>
        </is>
      </c>
      <c r="B192" s="23" t="inlineStr">
        <is>
          <t>Accesorios entregados</t>
        </is>
      </c>
      <c r="C192" s="23" t="inlineStr">
        <is>
          <t>Otro accesorio entregado (describa)</t>
        </is>
      </c>
      <c r="D192" s="31" t="inlineStr">
        <is>
          <t>TXT</t>
        </is>
      </c>
      <c r="E192" s="32" t="n">
        <v>1</v>
      </c>
      <c r="F192" s="32" t="n">
        <v>1</v>
      </c>
      <c r="G192" s="32" t="n">
        <v>1</v>
      </c>
      <c r="H192" s="32" t="n">
        <v>1</v>
      </c>
      <c r="I192" s="33">
        <f>IF(C192="",0,IFERROR(INDEX($E192:$H192,MATCH('Recepción'!$E$5,$E$1:$H$1,0)),0))</f>
        <v/>
      </c>
      <c r="J192" s="33">
        <f>IF(I192=0,0,IF(A192="S",1,IF(OR(B192='Recepción'!$E$13,B192='Recepción'!$E$14,B192='Recepción'!$E$15,AND(B192="Contacto con líquido",'Recepción'!$B$32&lt;&gt;""),AND(B192="Golpe / Caída",'Recepción'!$B$31&lt;&gt;""),AND(B192="No enciende",'Recepción'!$C$34&lt;&gt;"")),1,0)))</f>
        <v/>
      </c>
      <c r="K192" s="33">
        <f>IF(J192=1,COUNTIF($J$2:J192,1),0)</f>
        <v/>
      </c>
    </row>
    <row r="193">
      <c r="A193" s="31" t="inlineStr">
        <is>
          <t>S</t>
        </is>
      </c>
      <c r="B193" s="23" t="inlineStr">
        <is>
          <t>Fotografías de recepción</t>
        </is>
      </c>
      <c r="C193" s="23" t="inlineStr">
        <is>
          <t>Foto frontal tomada</t>
        </is>
      </c>
      <c r="D193" s="31" t="inlineStr">
        <is>
          <t>CHK</t>
        </is>
      </c>
      <c r="E193" s="32" t="n">
        <v>1</v>
      </c>
      <c r="F193" s="32" t="n">
        <v>1</v>
      </c>
      <c r="G193" s="32" t="n">
        <v>1</v>
      </c>
      <c r="H193" s="32" t="n">
        <v>1</v>
      </c>
      <c r="I193" s="33">
        <f>IF(C193="",0,IFERROR(INDEX($E193:$H193,MATCH('Recepción'!$E$5,$E$1:$H$1,0)),0))</f>
        <v/>
      </c>
      <c r="J193" s="33">
        <f>IF(I193=0,0,IF(A193="S",1,IF(OR(B193='Recepción'!$E$13,B193='Recepción'!$E$14,B193='Recepción'!$E$15,AND(B193="Contacto con líquido",'Recepción'!$B$32&lt;&gt;""),AND(B193="Golpe / Caída",'Recepción'!$B$31&lt;&gt;""),AND(B193="No enciende",'Recepción'!$C$34&lt;&gt;"")),1,0)))</f>
        <v/>
      </c>
      <c r="K193" s="33">
        <f>IF(J193=1,COUNTIF($J$2:J193,1),0)</f>
        <v/>
      </c>
    </row>
    <row r="194">
      <c r="A194" s="31" t="inlineStr">
        <is>
          <t>S</t>
        </is>
      </c>
      <c r="B194" s="23" t="inlineStr">
        <is>
          <t>Fotografías de recepción</t>
        </is>
      </c>
      <c r="C194" s="23" t="inlineStr">
        <is>
          <t>Foto posterior tomada</t>
        </is>
      </c>
      <c r="D194" s="31" t="inlineStr">
        <is>
          <t>CHK</t>
        </is>
      </c>
      <c r="E194" s="32" t="n">
        <v>1</v>
      </c>
      <c r="F194" s="32" t="n">
        <v>1</v>
      </c>
      <c r="G194" s="32" t="n">
        <v>1</v>
      </c>
      <c r="H194" s="32" t="n">
        <v>1</v>
      </c>
      <c r="I194" s="33">
        <f>IF(C194="",0,IFERROR(INDEX($E194:$H194,MATCH('Recepción'!$E$5,$E$1:$H$1,0)),0))</f>
        <v/>
      </c>
      <c r="J194" s="33">
        <f>IF(I194=0,0,IF(A194="S",1,IF(OR(B194='Recepción'!$E$13,B194='Recepción'!$E$14,B194='Recepción'!$E$15,AND(B194="Contacto con líquido",'Recepción'!$B$32&lt;&gt;""),AND(B194="Golpe / Caída",'Recepción'!$B$31&lt;&gt;""),AND(B194="No enciende",'Recepción'!$C$34&lt;&gt;"")),1,0)))</f>
        <v/>
      </c>
      <c r="K194" s="33">
        <f>IF(J194=1,COUNTIF($J$2:J194,1),0)</f>
        <v/>
      </c>
    </row>
    <row r="195">
      <c r="A195" s="31" t="inlineStr">
        <is>
          <t>S</t>
        </is>
      </c>
      <c r="B195" s="23" t="inlineStr">
        <is>
          <t>Fotografías de recepción</t>
        </is>
      </c>
      <c r="C195" s="23" t="inlineStr">
        <is>
          <t>Fotos laterales tomadas</t>
        </is>
      </c>
      <c r="D195" s="31" t="inlineStr">
        <is>
          <t>CHK</t>
        </is>
      </c>
      <c r="E195" s="32" t="n">
        <v>1</v>
      </c>
      <c r="F195" s="32" t="n">
        <v>1</v>
      </c>
      <c r="G195" s="32" t="n">
        <v>1</v>
      </c>
      <c r="H195" s="32" t="n">
        <v>1</v>
      </c>
      <c r="I195" s="33">
        <f>IF(C195="",0,IFERROR(INDEX($E195:$H195,MATCH('Recepción'!$E$5,$E$1:$H$1,0)),0))</f>
        <v/>
      </c>
      <c r="J195" s="33">
        <f>IF(I195=0,0,IF(A195="S",1,IF(OR(B195='Recepción'!$E$13,B195='Recepción'!$E$14,B195='Recepción'!$E$15,AND(B195="Contacto con líquido",'Recepción'!$B$32&lt;&gt;""),AND(B195="Golpe / Caída",'Recepción'!$B$31&lt;&gt;""),AND(B195="No enciende",'Recepción'!$C$34&lt;&gt;"")),1,0)))</f>
        <v/>
      </c>
      <c r="K195" s="33">
        <f>IF(J195=1,COUNTIF($J$2:J195,1),0)</f>
        <v/>
      </c>
    </row>
    <row r="196">
      <c r="A196" s="31" t="inlineStr">
        <is>
          <t>S</t>
        </is>
      </c>
      <c r="B196" s="23" t="inlineStr">
        <is>
          <t>Fotografías de recepción</t>
        </is>
      </c>
      <c r="C196" s="23" t="inlineStr">
        <is>
          <t>Foto de pantalla tomada</t>
        </is>
      </c>
      <c r="D196" s="31" t="inlineStr">
        <is>
          <t>CHK</t>
        </is>
      </c>
      <c r="E196" s="32" t="n">
        <v>1</v>
      </c>
      <c r="F196" s="32" t="n">
        <v>1</v>
      </c>
      <c r="G196" s="32" t="n">
        <v>1</v>
      </c>
      <c r="H196" s="32" t="n">
        <v>0</v>
      </c>
      <c r="I196" s="33">
        <f>IF(C196="",0,IFERROR(INDEX($E196:$H196,MATCH('Recepción'!$E$5,$E$1:$H$1,0)),0))</f>
        <v/>
      </c>
      <c r="J196" s="33">
        <f>IF(I196=0,0,IF(A196="S",1,IF(OR(B196='Recepción'!$E$13,B196='Recepción'!$E$14,B196='Recepción'!$E$15,AND(B196="Contacto con líquido",'Recepción'!$B$32&lt;&gt;""),AND(B196="Golpe / Caída",'Recepción'!$B$31&lt;&gt;""),AND(B196="No enciende",'Recepción'!$C$34&lt;&gt;"")),1,0)))</f>
        <v/>
      </c>
      <c r="K196" s="33">
        <f>IF(J196=1,COUNTIF($J$2:J196,1),0)</f>
        <v/>
      </c>
    </row>
    <row r="197">
      <c r="A197" s="31" t="inlineStr">
        <is>
          <t>S</t>
        </is>
      </c>
      <c r="B197" s="23" t="inlineStr">
        <is>
          <t>Fotografías de recepción</t>
        </is>
      </c>
      <c r="C197" s="23" t="inlineStr">
        <is>
          <t>Foto de serial / IMEI tomada</t>
        </is>
      </c>
      <c r="D197" s="31" t="inlineStr">
        <is>
          <t>CHK</t>
        </is>
      </c>
      <c r="E197" s="32" t="n">
        <v>1</v>
      </c>
      <c r="F197" s="32" t="n">
        <v>1</v>
      </c>
      <c r="G197" s="32" t="n">
        <v>1</v>
      </c>
      <c r="H197" s="32" t="n">
        <v>1</v>
      </c>
      <c r="I197" s="33">
        <f>IF(C197="",0,IFERROR(INDEX($E197:$H197,MATCH('Recepción'!$E$5,$E$1:$H$1,0)),0))</f>
        <v/>
      </c>
      <c r="J197" s="33">
        <f>IF(I197=0,0,IF(A197="S",1,IF(OR(B197='Recepción'!$E$13,B197='Recepción'!$E$14,B197='Recepción'!$E$15,AND(B197="Contacto con líquido",'Recepción'!$B$32&lt;&gt;""),AND(B197="Golpe / Caída",'Recepción'!$B$31&lt;&gt;""),AND(B197="No enciende",'Recepción'!$C$34&lt;&gt;"")),1,0)))</f>
        <v/>
      </c>
      <c r="K197" s="33">
        <f>IF(J197=1,COUNTIF($J$2:J197,1),0)</f>
        <v/>
      </c>
    </row>
    <row r="198">
      <c r="A198" s="31" t="inlineStr">
        <is>
          <t>S</t>
        </is>
      </c>
      <c r="B198" s="23" t="inlineStr">
        <is>
          <t>Fotografías de recepción</t>
        </is>
      </c>
      <c r="C198" s="23" t="inlineStr">
        <is>
          <t>Foto de daños existentes tomada</t>
        </is>
      </c>
      <c r="D198" s="31" t="inlineStr">
        <is>
          <t>CHK</t>
        </is>
      </c>
      <c r="E198" s="32" t="n">
        <v>1</v>
      </c>
      <c r="F198" s="32" t="n">
        <v>1</v>
      </c>
      <c r="G198" s="32" t="n">
        <v>1</v>
      </c>
      <c r="H198" s="32" t="n">
        <v>1</v>
      </c>
      <c r="I198" s="33">
        <f>IF(C198="",0,IFERROR(INDEX($E198:$H198,MATCH('Recepción'!$E$5,$E$1:$H$1,0)),0))</f>
        <v/>
      </c>
      <c r="J198" s="33">
        <f>IF(I198=0,0,IF(A198="S",1,IF(OR(B198='Recepción'!$E$13,B198='Recepción'!$E$14,B198='Recepción'!$E$15,AND(B198="Contacto con líquido",'Recepción'!$B$32&lt;&gt;""),AND(B198="Golpe / Caída",'Recepción'!$B$31&lt;&gt;""),AND(B198="No enciende",'Recepción'!$C$34&lt;&gt;"")),1,0)))</f>
        <v/>
      </c>
      <c r="K198" s="33">
        <f>IF(J198=1,COUNTIF($J$2:J198,1),0)</f>
        <v/>
      </c>
    </row>
    <row r="199">
      <c r="A199" s="31" t="inlineStr">
        <is>
          <t>S</t>
        </is>
      </c>
      <c r="B199" s="23" t="inlineStr">
        <is>
          <t>Pruebas funcionales de ingreso</t>
        </is>
      </c>
      <c r="C199" s="23" t="inlineStr">
        <is>
          <t>¿Funciona? · Pantalla táctil</t>
        </is>
      </c>
      <c r="D199" s="31" t="inlineStr">
        <is>
          <t>YN</t>
        </is>
      </c>
      <c r="E199" s="32" t="n">
        <v>1</v>
      </c>
      <c r="F199" s="32" t="n">
        <v>0</v>
      </c>
      <c r="G199" s="32" t="n">
        <v>0</v>
      </c>
      <c r="H199" s="32" t="n">
        <v>0</v>
      </c>
      <c r="I199" s="33">
        <f>IF(C199="",0,IFERROR(INDEX($E199:$H199,MATCH('Recepción'!$E$5,$E$1:$H$1,0)),0))</f>
        <v/>
      </c>
      <c r="J199" s="33">
        <f>IF(I199=0,0,IF(A199="S",1,IF(OR(B199='Recepción'!$E$13,B199='Recepción'!$E$14,B199='Recepción'!$E$15,AND(B199="Contacto con líquido",'Recepción'!$B$32&lt;&gt;""),AND(B199="Golpe / Caída",'Recepción'!$B$31&lt;&gt;""),AND(B199="No enciende",'Recepción'!$C$34&lt;&gt;"")),1,0)))</f>
        <v/>
      </c>
      <c r="K199" s="33">
        <f>IF(J199=1,COUNTIF($J$2:J199,1),0)</f>
        <v/>
      </c>
    </row>
    <row r="200">
      <c r="A200" s="31" t="inlineStr">
        <is>
          <t>S</t>
        </is>
      </c>
      <c r="B200" s="23" t="inlineStr">
        <is>
          <t>Pruebas funcionales de ingreso</t>
        </is>
      </c>
      <c r="C200" s="23" t="inlineStr">
        <is>
          <t>¿Funciona? · Botones (encendido / volumen)</t>
        </is>
      </c>
      <c r="D200" s="31" t="inlineStr">
        <is>
          <t>YN</t>
        </is>
      </c>
      <c r="E200" s="32" t="n">
        <v>1</v>
      </c>
      <c r="F200" s="32" t="n">
        <v>0</v>
      </c>
      <c r="G200" s="32" t="n">
        <v>0</v>
      </c>
      <c r="H200" s="32" t="n">
        <v>0</v>
      </c>
      <c r="I200" s="33">
        <f>IF(C200="",0,IFERROR(INDEX($E200:$H200,MATCH('Recepción'!$E$5,$E$1:$H$1,0)),0))</f>
        <v/>
      </c>
      <c r="J200" s="33">
        <f>IF(I200=0,0,IF(A200="S",1,IF(OR(B200='Recepción'!$E$13,B200='Recepción'!$E$14,B200='Recepción'!$E$15,AND(B200="Contacto con líquido",'Recepción'!$B$32&lt;&gt;""),AND(B200="Golpe / Caída",'Recepción'!$B$31&lt;&gt;""),AND(B200="No enciende",'Recepción'!$C$34&lt;&gt;"")),1,0)))</f>
        <v/>
      </c>
      <c r="K200" s="33">
        <f>IF(J200=1,COUNTIF($J$2:J200,1),0)</f>
        <v/>
      </c>
    </row>
    <row r="201">
      <c r="A201" s="31" t="inlineStr">
        <is>
          <t>S</t>
        </is>
      </c>
      <c r="B201" s="23" t="inlineStr">
        <is>
          <t>Pruebas funcionales de ingreso</t>
        </is>
      </c>
      <c r="C201" s="23" t="inlineStr">
        <is>
          <t>¿Funciona? · Bocina y micrófono</t>
        </is>
      </c>
      <c r="D201" s="31" t="inlineStr">
        <is>
          <t>YN</t>
        </is>
      </c>
      <c r="E201" s="32" t="n">
        <v>1</v>
      </c>
      <c r="F201" s="32" t="n">
        <v>0</v>
      </c>
      <c r="G201" s="32" t="n">
        <v>0</v>
      </c>
      <c r="H201" s="32" t="n">
        <v>0</v>
      </c>
      <c r="I201" s="33">
        <f>IF(C201="",0,IFERROR(INDEX($E201:$H201,MATCH('Recepción'!$E$5,$E$1:$H$1,0)),0))</f>
        <v/>
      </c>
      <c r="J201" s="33">
        <f>IF(I201=0,0,IF(A201="S",1,IF(OR(B201='Recepción'!$E$13,B201='Recepción'!$E$14,B201='Recepción'!$E$15,AND(B201="Contacto con líquido",'Recepción'!$B$32&lt;&gt;""),AND(B201="Golpe / Caída",'Recepción'!$B$31&lt;&gt;""),AND(B201="No enciende",'Recepción'!$C$34&lt;&gt;"")),1,0)))</f>
        <v/>
      </c>
      <c r="K201" s="33">
        <f>IF(J201=1,COUNTIF($J$2:J201,1),0)</f>
        <v/>
      </c>
    </row>
    <row r="202">
      <c r="A202" s="31" t="inlineStr">
        <is>
          <t>S</t>
        </is>
      </c>
      <c r="B202" s="23" t="inlineStr">
        <is>
          <t>Pruebas funcionales de ingreso</t>
        </is>
      </c>
      <c r="C202" s="23" t="inlineStr">
        <is>
          <t>¿Funciona? · Cámaras</t>
        </is>
      </c>
      <c r="D202" s="31" t="inlineStr">
        <is>
          <t>YN</t>
        </is>
      </c>
      <c r="E202" s="32" t="n">
        <v>1</v>
      </c>
      <c r="F202" s="32" t="n">
        <v>0</v>
      </c>
      <c r="G202" s="32" t="n">
        <v>0</v>
      </c>
      <c r="H202" s="32" t="n">
        <v>0</v>
      </c>
      <c r="I202" s="33">
        <f>IF(C202="",0,IFERROR(INDEX($E202:$H202,MATCH('Recepción'!$E$5,$E$1:$H$1,0)),0))</f>
        <v/>
      </c>
      <c r="J202" s="33">
        <f>IF(I202=0,0,IF(A202="S",1,IF(OR(B202='Recepción'!$E$13,B202='Recepción'!$E$14,B202='Recepción'!$E$15,AND(B202="Contacto con líquido",'Recepción'!$B$32&lt;&gt;""),AND(B202="Golpe / Caída",'Recepción'!$B$31&lt;&gt;""),AND(B202="No enciende",'Recepción'!$C$34&lt;&gt;"")),1,0)))</f>
        <v/>
      </c>
      <c r="K202" s="33">
        <f>IF(J202=1,COUNTIF($J$2:J202,1),0)</f>
        <v/>
      </c>
    </row>
    <row r="203">
      <c r="A203" s="31" t="inlineStr">
        <is>
          <t>S</t>
        </is>
      </c>
      <c r="B203" s="23" t="inlineStr">
        <is>
          <t>Pruebas funcionales de ingreso</t>
        </is>
      </c>
      <c r="C203" s="23" t="inlineStr">
        <is>
          <t>¿Funciona? · Wi-Fi / Bluetooth</t>
        </is>
      </c>
      <c r="D203" s="31" t="inlineStr">
        <is>
          <t>YN</t>
        </is>
      </c>
      <c r="E203" s="32" t="n">
        <v>1</v>
      </c>
      <c r="F203" s="32" t="n">
        <v>0</v>
      </c>
      <c r="G203" s="32" t="n">
        <v>0</v>
      </c>
      <c r="H203" s="32" t="n">
        <v>0</v>
      </c>
      <c r="I203" s="33">
        <f>IF(C203="",0,IFERROR(INDEX($E203:$H203,MATCH('Recepción'!$E$5,$E$1:$H$1,0)),0))</f>
        <v/>
      </c>
      <c r="J203" s="33">
        <f>IF(I203=0,0,IF(A203="S",1,IF(OR(B203='Recepción'!$E$13,B203='Recepción'!$E$14,B203='Recepción'!$E$15,AND(B203="Contacto con líquido",'Recepción'!$B$32&lt;&gt;""),AND(B203="Golpe / Caída",'Recepción'!$B$31&lt;&gt;""),AND(B203="No enciende",'Recepción'!$C$34&lt;&gt;"")),1,0)))</f>
        <v/>
      </c>
      <c r="K203" s="33">
        <f>IF(J203=1,COUNTIF($J$2:J203,1),0)</f>
        <v/>
      </c>
    </row>
    <row r="204">
      <c r="A204" s="31" t="inlineStr">
        <is>
          <t>S</t>
        </is>
      </c>
      <c r="B204" s="23" t="inlineStr">
        <is>
          <t>Pruebas funcionales de ingreso</t>
        </is>
      </c>
      <c r="C204" s="23" t="inlineStr">
        <is>
          <t>¿Funciona? · Carga</t>
        </is>
      </c>
      <c r="D204" s="31" t="inlineStr">
        <is>
          <t>YN</t>
        </is>
      </c>
      <c r="E204" s="32" t="n">
        <v>1</v>
      </c>
      <c r="F204" s="32" t="n">
        <v>0</v>
      </c>
      <c r="G204" s="32" t="n">
        <v>0</v>
      </c>
      <c r="H204" s="32" t="n">
        <v>0</v>
      </c>
      <c r="I204" s="33">
        <f>IF(C204="",0,IFERROR(INDEX($E204:$H204,MATCH('Recepción'!$E$5,$E$1:$H$1,0)),0))</f>
        <v/>
      </c>
      <c r="J204" s="33">
        <f>IF(I204=0,0,IF(A204="S",1,IF(OR(B204='Recepción'!$E$13,B204='Recepción'!$E$14,B204='Recepción'!$E$15,AND(B204="Contacto con líquido",'Recepción'!$B$32&lt;&gt;""),AND(B204="Golpe / Caída",'Recepción'!$B$31&lt;&gt;""),AND(B204="No enciende",'Recepción'!$C$34&lt;&gt;"")),1,0)))</f>
        <v/>
      </c>
      <c r="K204" s="33">
        <f>IF(J204=1,COUNTIF($J$2:J204,1),0)</f>
        <v/>
      </c>
    </row>
    <row r="205">
      <c r="A205" s="31" t="inlineStr">
        <is>
          <t>S</t>
        </is>
      </c>
      <c r="B205" s="23" t="inlineStr">
        <is>
          <t>Pruebas funcionales de ingreso</t>
        </is>
      </c>
      <c r="C205" s="23" t="inlineStr">
        <is>
          <t>¿Funciona? · Huella / Face ID</t>
        </is>
      </c>
      <c r="D205" s="31" t="inlineStr">
        <is>
          <t>YN</t>
        </is>
      </c>
      <c r="E205" s="32" t="n">
        <v>1</v>
      </c>
      <c r="F205" s="32" t="n">
        <v>0</v>
      </c>
      <c r="G205" s="32" t="n">
        <v>0</v>
      </c>
      <c r="H205" s="32" t="n">
        <v>0</v>
      </c>
      <c r="I205" s="33">
        <f>IF(C205="",0,IFERROR(INDEX($E205:$H205,MATCH('Recepción'!$E$5,$E$1:$H$1,0)),0))</f>
        <v/>
      </c>
      <c r="J205" s="33">
        <f>IF(I205=0,0,IF(A205="S",1,IF(OR(B205='Recepción'!$E$13,B205='Recepción'!$E$14,B205='Recepción'!$E$15,AND(B205="Contacto con líquido",'Recepción'!$B$32&lt;&gt;""),AND(B205="Golpe / Caída",'Recepción'!$B$31&lt;&gt;""),AND(B205="No enciende",'Recepción'!$C$34&lt;&gt;"")),1,0)))</f>
        <v/>
      </c>
      <c r="K205" s="33">
        <f>IF(J205=1,COUNTIF($J$2:J205,1),0)</f>
        <v/>
      </c>
    </row>
    <row r="206">
      <c r="A206" s="31" t="inlineStr">
        <is>
          <t>S</t>
        </is>
      </c>
      <c r="B206" s="23" t="inlineStr">
        <is>
          <t>Pruebas funcionales de ingreso</t>
        </is>
      </c>
      <c r="C206" s="23" t="inlineStr">
        <is>
          <t>¿Funciona? · SIM / señal</t>
        </is>
      </c>
      <c r="D206" s="31" t="inlineStr">
        <is>
          <t>YN</t>
        </is>
      </c>
      <c r="E206" s="32" t="n">
        <v>1</v>
      </c>
      <c r="F206" s="32" t="n">
        <v>0</v>
      </c>
      <c r="G206" s="32" t="n">
        <v>0</v>
      </c>
      <c r="H206" s="32" t="n">
        <v>0</v>
      </c>
      <c r="I206" s="33">
        <f>IF(C206="",0,IFERROR(INDEX($E206:$H206,MATCH('Recepción'!$E$5,$E$1:$H$1,0)),0))</f>
        <v/>
      </c>
      <c r="J206" s="33">
        <f>IF(I206=0,0,IF(A206="S",1,IF(OR(B206='Recepción'!$E$13,B206='Recepción'!$E$14,B206='Recepción'!$E$15,AND(B206="Contacto con líquido",'Recepción'!$B$32&lt;&gt;""),AND(B206="Golpe / Caída",'Recepción'!$B$31&lt;&gt;""),AND(B206="No enciende",'Recepción'!$C$34&lt;&gt;"")),1,0)))</f>
        <v/>
      </c>
      <c r="K206" s="33">
        <f>IF(J206=1,COUNTIF($J$2:J206,1),0)</f>
        <v/>
      </c>
    </row>
    <row r="207">
      <c r="A207" s="31" t="inlineStr">
        <is>
          <t>S</t>
        </is>
      </c>
      <c r="B207" s="23" t="inlineStr">
        <is>
          <t>Pruebas funcionales de ingreso</t>
        </is>
      </c>
      <c r="C207" s="23" t="inlineStr">
        <is>
          <t>¿Funciona? · Pantalla táctil</t>
        </is>
      </c>
      <c r="D207" s="31" t="inlineStr">
        <is>
          <t>YN</t>
        </is>
      </c>
      <c r="E207" s="32" t="n">
        <v>0</v>
      </c>
      <c r="F207" s="32" t="n">
        <v>1</v>
      </c>
      <c r="G207" s="32" t="n">
        <v>0</v>
      </c>
      <c r="H207" s="32" t="n">
        <v>0</v>
      </c>
      <c r="I207" s="33">
        <f>IF(C207="",0,IFERROR(INDEX($E207:$H207,MATCH('Recepción'!$E$5,$E$1:$H$1,0)),0))</f>
        <v/>
      </c>
      <c r="J207" s="33">
        <f>IF(I207=0,0,IF(A207="S",1,IF(OR(B207='Recepción'!$E$13,B207='Recepción'!$E$14,B207='Recepción'!$E$15,AND(B207="Contacto con líquido",'Recepción'!$B$32&lt;&gt;""),AND(B207="Golpe / Caída",'Recepción'!$B$31&lt;&gt;""),AND(B207="No enciende",'Recepción'!$C$34&lt;&gt;"")),1,0)))</f>
        <v/>
      </c>
      <c r="K207" s="33">
        <f>IF(J207=1,COUNTIF($J$2:J207,1),0)</f>
        <v/>
      </c>
    </row>
    <row r="208">
      <c r="A208" s="31" t="inlineStr">
        <is>
          <t>S</t>
        </is>
      </c>
      <c r="B208" s="23" t="inlineStr">
        <is>
          <t>Pruebas funcionales de ingreso</t>
        </is>
      </c>
      <c r="C208" s="23" t="inlineStr">
        <is>
          <t>¿Funciona? · Botones / corona</t>
        </is>
      </c>
      <c r="D208" s="31" t="inlineStr">
        <is>
          <t>YN</t>
        </is>
      </c>
      <c r="E208" s="32" t="n">
        <v>0</v>
      </c>
      <c r="F208" s="32" t="n">
        <v>1</v>
      </c>
      <c r="G208" s="32" t="n">
        <v>0</v>
      </c>
      <c r="H208" s="32" t="n">
        <v>0</v>
      </c>
      <c r="I208" s="33">
        <f>IF(C208="",0,IFERROR(INDEX($E208:$H208,MATCH('Recepción'!$E$5,$E$1:$H$1,0)),0))</f>
        <v/>
      </c>
      <c r="J208" s="33">
        <f>IF(I208=0,0,IF(A208="S",1,IF(OR(B208='Recepción'!$E$13,B208='Recepción'!$E$14,B208='Recepción'!$E$15,AND(B208="Contacto con líquido",'Recepción'!$B$32&lt;&gt;""),AND(B208="Golpe / Caída",'Recepción'!$B$31&lt;&gt;""),AND(B208="No enciende",'Recepción'!$C$34&lt;&gt;"")),1,0)))</f>
        <v/>
      </c>
      <c r="K208" s="33">
        <f>IF(J208=1,COUNTIF($J$2:J208,1),0)</f>
        <v/>
      </c>
    </row>
    <row r="209">
      <c r="A209" s="31" t="inlineStr">
        <is>
          <t>S</t>
        </is>
      </c>
      <c r="B209" s="23" t="inlineStr">
        <is>
          <t>Pruebas funcionales de ingreso</t>
        </is>
      </c>
      <c r="C209" s="23" t="inlineStr">
        <is>
          <t>¿Funciona? · Sensor cardíaco</t>
        </is>
      </c>
      <c r="D209" s="31" t="inlineStr">
        <is>
          <t>YN</t>
        </is>
      </c>
      <c r="E209" s="32" t="n">
        <v>0</v>
      </c>
      <c r="F209" s="32" t="n">
        <v>1</v>
      </c>
      <c r="G209" s="32" t="n">
        <v>0</v>
      </c>
      <c r="H209" s="32" t="n">
        <v>0</v>
      </c>
      <c r="I209" s="33">
        <f>IF(C209="",0,IFERROR(INDEX($E209:$H209,MATCH('Recepción'!$E$5,$E$1:$H$1,0)),0))</f>
        <v/>
      </c>
      <c r="J209" s="33">
        <f>IF(I209=0,0,IF(A209="S",1,IF(OR(B209='Recepción'!$E$13,B209='Recepción'!$E$14,B209='Recepción'!$E$15,AND(B209="Contacto con líquido",'Recepción'!$B$32&lt;&gt;""),AND(B209="Golpe / Caída",'Recepción'!$B$31&lt;&gt;""),AND(B209="No enciende",'Recepción'!$C$34&lt;&gt;"")),1,0)))</f>
        <v/>
      </c>
      <c r="K209" s="33">
        <f>IF(J209=1,COUNTIF($J$2:J209,1),0)</f>
        <v/>
      </c>
    </row>
    <row r="210">
      <c r="A210" s="31" t="inlineStr">
        <is>
          <t>S</t>
        </is>
      </c>
      <c r="B210" s="23" t="inlineStr">
        <is>
          <t>Pruebas funcionales de ingreso</t>
        </is>
      </c>
      <c r="C210" s="23" t="inlineStr">
        <is>
          <t>¿Funciona? · Carga</t>
        </is>
      </c>
      <c r="D210" s="31" t="inlineStr">
        <is>
          <t>YN</t>
        </is>
      </c>
      <c r="E210" s="32" t="n">
        <v>0</v>
      </c>
      <c r="F210" s="32" t="n">
        <v>1</v>
      </c>
      <c r="G210" s="32" t="n">
        <v>0</v>
      </c>
      <c r="H210" s="32" t="n">
        <v>0</v>
      </c>
      <c r="I210" s="33">
        <f>IF(C210="",0,IFERROR(INDEX($E210:$H210,MATCH('Recepción'!$E$5,$E$1:$H$1,0)),0))</f>
        <v/>
      </c>
      <c r="J210" s="33">
        <f>IF(I210=0,0,IF(A210="S",1,IF(OR(B210='Recepción'!$E$13,B210='Recepción'!$E$14,B210='Recepción'!$E$15,AND(B210="Contacto con líquido",'Recepción'!$B$32&lt;&gt;""),AND(B210="Golpe / Caída",'Recepción'!$B$31&lt;&gt;""),AND(B210="No enciende",'Recepción'!$C$34&lt;&gt;"")),1,0)))</f>
        <v/>
      </c>
      <c r="K210" s="33">
        <f>IF(J210=1,COUNTIF($J$2:J210,1),0)</f>
        <v/>
      </c>
    </row>
    <row r="211">
      <c r="A211" s="31" t="inlineStr">
        <is>
          <t>S</t>
        </is>
      </c>
      <c r="B211" s="23" t="inlineStr">
        <is>
          <t>Pruebas funcionales de ingreso</t>
        </is>
      </c>
      <c r="C211" s="23" t="inlineStr">
        <is>
          <t>¿Funciona? · Vinculación con teléfono</t>
        </is>
      </c>
      <c r="D211" s="31" t="inlineStr">
        <is>
          <t>YN</t>
        </is>
      </c>
      <c r="E211" s="32" t="n">
        <v>0</v>
      </c>
      <c r="F211" s="32" t="n">
        <v>1</v>
      </c>
      <c r="G211" s="32" t="n">
        <v>0</v>
      </c>
      <c r="H211" s="32" t="n">
        <v>0</v>
      </c>
      <c r="I211" s="33">
        <f>IF(C211="",0,IFERROR(INDEX($E211:$H211,MATCH('Recepción'!$E$5,$E$1:$H$1,0)),0))</f>
        <v/>
      </c>
      <c r="J211" s="33">
        <f>IF(I211=0,0,IF(A211="S",1,IF(OR(B211='Recepción'!$E$13,B211='Recepción'!$E$14,B211='Recepción'!$E$15,AND(B211="Contacto con líquido",'Recepción'!$B$32&lt;&gt;""),AND(B211="Golpe / Caída",'Recepción'!$B$31&lt;&gt;""),AND(B211="No enciende",'Recepción'!$C$34&lt;&gt;"")),1,0)))</f>
        <v/>
      </c>
      <c r="K211" s="33">
        <f>IF(J211=1,COUNTIF($J$2:J211,1),0)</f>
        <v/>
      </c>
    </row>
    <row r="212">
      <c r="A212" s="31" t="inlineStr">
        <is>
          <t>S</t>
        </is>
      </c>
      <c r="B212" s="23" t="inlineStr">
        <is>
          <t>Pruebas funcionales de ingreso</t>
        </is>
      </c>
      <c r="C212" s="23" t="inlineStr">
        <is>
          <t>¿Funciona? · Batería</t>
        </is>
      </c>
      <c r="D212" s="31" t="inlineStr">
        <is>
          <t>YN</t>
        </is>
      </c>
      <c r="E212" s="32" t="n">
        <v>0</v>
      </c>
      <c r="F212" s="32" t="n">
        <v>0</v>
      </c>
      <c r="G212" s="32" t="n">
        <v>1</v>
      </c>
      <c r="H212" s="32" t="n">
        <v>0</v>
      </c>
      <c r="I212" s="33">
        <f>IF(C212="",0,IFERROR(INDEX($E212:$H212,MATCH('Recepción'!$E$5,$E$1:$H$1,0)),0))</f>
        <v/>
      </c>
      <c r="J212" s="33">
        <f>IF(I212=0,0,IF(A212="S",1,IF(OR(B212='Recepción'!$E$13,B212='Recepción'!$E$14,B212='Recepción'!$E$15,AND(B212="Contacto con líquido",'Recepción'!$B$32&lt;&gt;""),AND(B212="Golpe / Caída",'Recepción'!$B$31&lt;&gt;""),AND(B212="No enciende",'Recepción'!$C$34&lt;&gt;"")),1,0)))</f>
        <v/>
      </c>
      <c r="K212" s="33">
        <f>IF(J212=1,COUNTIF($J$2:J212,1),0)</f>
        <v/>
      </c>
    </row>
    <row r="213">
      <c r="A213" s="31" t="inlineStr">
        <is>
          <t>S</t>
        </is>
      </c>
      <c r="B213" s="23" t="inlineStr">
        <is>
          <t>Pruebas funcionales de ingreso</t>
        </is>
      </c>
      <c r="C213" s="23" t="inlineStr">
        <is>
          <t>¿Funciona? · Cargador</t>
        </is>
      </c>
      <c r="D213" s="31" t="inlineStr">
        <is>
          <t>YN</t>
        </is>
      </c>
      <c r="E213" s="32" t="n">
        <v>0</v>
      </c>
      <c r="F213" s="32" t="n">
        <v>0</v>
      </c>
      <c r="G213" s="32" t="n">
        <v>1</v>
      </c>
      <c r="H213" s="32" t="n">
        <v>0</v>
      </c>
      <c r="I213" s="33">
        <f>IF(C213="",0,IFERROR(INDEX($E213:$H213,MATCH('Recepción'!$E$5,$E$1:$H$1,0)),0))</f>
        <v/>
      </c>
      <c r="J213" s="33">
        <f>IF(I213=0,0,IF(A213="S",1,IF(OR(B213='Recepción'!$E$13,B213='Recepción'!$E$14,B213='Recepción'!$E$15,AND(B213="Contacto con líquido",'Recepción'!$B$32&lt;&gt;""),AND(B213="Golpe / Caída",'Recepción'!$B$31&lt;&gt;""),AND(B213="No enciende",'Recepción'!$C$34&lt;&gt;"")),1,0)))</f>
        <v/>
      </c>
      <c r="K213" s="33">
        <f>IF(J213=1,COUNTIF($J$2:J213,1),0)</f>
        <v/>
      </c>
    </row>
    <row r="214">
      <c r="A214" s="31" t="inlineStr">
        <is>
          <t>S</t>
        </is>
      </c>
      <c r="B214" s="23" t="inlineStr">
        <is>
          <t>Pruebas funcionales de ingreso</t>
        </is>
      </c>
      <c r="C214" s="23" t="inlineStr">
        <is>
          <t>¿Funciona? · Teclado</t>
        </is>
      </c>
      <c r="D214" s="31" t="inlineStr">
        <is>
          <t>YN</t>
        </is>
      </c>
      <c r="E214" s="32" t="n">
        <v>0</v>
      </c>
      <c r="F214" s="32" t="n">
        <v>0</v>
      </c>
      <c r="G214" s="32" t="n">
        <v>1</v>
      </c>
      <c r="H214" s="32" t="n">
        <v>0</v>
      </c>
      <c r="I214" s="33">
        <f>IF(C214="",0,IFERROR(INDEX($E214:$H214,MATCH('Recepción'!$E$5,$E$1:$H$1,0)),0))</f>
        <v/>
      </c>
      <c r="J214" s="33">
        <f>IF(I214=0,0,IF(A214="S",1,IF(OR(B214='Recepción'!$E$13,B214='Recepción'!$E$14,B214='Recepción'!$E$15,AND(B214="Contacto con líquido",'Recepción'!$B$32&lt;&gt;""),AND(B214="Golpe / Caída",'Recepción'!$B$31&lt;&gt;""),AND(B214="No enciende",'Recepción'!$C$34&lt;&gt;"")),1,0)))</f>
        <v/>
      </c>
      <c r="K214" s="33">
        <f>IF(J214=1,COUNTIF($J$2:J214,1),0)</f>
        <v/>
      </c>
    </row>
    <row r="215">
      <c r="A215" s="31" t="inlineStr">
        <is>
          <t>S</t>
        </is>
      </c>
      <c r="B215" s="23" t="inlineStr">
        <is>
          <t>Pruebas funcionales de ingreso</t>
        </is>
      </c>
      <c r="C215" s="23" t="inlineStr">
        <is>
          <t>¿Funciona? · Touchpad / mouse</t>
        </is>
      </c>
      <c r="D215" s="31" t="inlineStr">
        <is>
          <t>YN</t>
        </is>
      </c>
      <c r="E215" s="32" t="n">
        <v>0</v>
      </c>
      <c r="F215" s="32" t="n">
        <v>0</v>
      </c>
      <c r="G215" s="32" t="n">
        <v>1</v>
      </c>
      <c r="H215" s="32" t="n">
        <v>0</v>
      </c>
      <c r="I215" s="33">
        <f>IF(C215="",0,IFERROR(INDEX($E215:$H215,MATCH('Recepción'!$E$5,$E$1:$H$1,0)),0))</f>
        <v/>
      </c>
      <c r="J215" s="33">
        <f>IF(I215=0,0,IF(A215="S",1,IF(OR(B215='Recepción'!$E$13,B215='Recepción'!$E$14,B215='Recepción'!$E$15,AND(B215="Contacto con líquido",'Recepción'!$B$32&lt;&gt;""),AND(B215="Golpe / Caída",'Recepción'!$B$31&lt;&gt;""),AND(B215="No enciende",'Recepción'!$C$34&lt;&gt;"")),1,0)))</f>
        <v/>
      </c>
      <c r="K215" s="33">
        <f>IF(J215=1,COUNTIF($J$2:J215,1),0)</f>
        <v/>
      </c>
    </row>
    <row r="216">
      <c r="A216" s="31" t="inlineStr">
        <is>
          <t>S</t>
        </is>
      </c>
      <c r="B216" s="23" t="inlineStr">
        <is>
          <t>Pruebas funcionales de ingreso</t>
        </is>
      </c>
      <c r="C216" s="23" t="inlineStr">
        <is>
          <t>¿Funciona? · Wi-Fi</t>
        </is>
      </c>
      <c r="D216" s="31" t="inlineStr">
        <is>
          <t>YN</t>
        </is>
      </c>
      <c r="E216" s="32" t="n">
        <v>0</v>
      </c>
      <c r="F216" s="32" t="n">
        <v>0</v>
      </c>
      <c r="G216" s="32" t="n">
        <v>1</v>
      </c>
      <c r="H216" s="32" t="n">
        <v>0</v>
      </c>
      <c r="I216" s="33">
        <f>IF(C216="",0,IFERROR(INDEX($E216:$H216,MATCH('Recepción'!$E$5,$E$1:$H$1,0)),0))</f>
        <v/>
      </c>
      <c r="J216" s="33">
        <f>IF(I216=0,0,IF(A216="S",1,IF(OR(B216='Recepción'!$E$13,B216='Recepción'!$E$14,B216='Recepción'!$E$15,AND(B216="Contacto con líquido",'Recepción'!$B$32&lt;&gt;""),AND(B216="Golpe / Caída",'Recepción'!$B$31&lt;&gt;""),AND(B216="No enciende",'Recepción'!$C$34&lt;&gt;"")),1,0)))</f>
        <v/>
      </c>
      <c r="K216" s="33">
        <f>IF(J216=1,COUNTIF($J$2:J216,1),0)</f>
        <v/>
      </c>
    </row>
    <row r="217">
      <c r="A217" s="31" t="inlineStr">
        <is>
          <t>S</t>
        </is>
      </c>
      <c r="B217" s="23" t="inlineStr">
        <is>
          <t>Pruebas funcionales de ingreso</t>
        </is>
      </c>
      <c r="C217" s="23" t="inlineStr">
        <is>
          <t>¿Funciona? · Puertos USB</t>
        </is>
      </c>
      <c r="D217" s="31" t="inlineStr">
        <is>
          <t>YN</t>
        </is>
      </c>
      <c r="E217" s="32" t="n">
        <v>0</v>
      </c>
      <c r="F217" s="32" t="n">
        <v>0</v>
      </c>
      <c r="G217" s="32" t="n">
        <v>1</v>
      </c>
      <c r="H217" s="32" t="n">
        <v>0</v>
      </c>
      <c r="I217" s="33">
        <f>IF(C217="",0,IFERROR(INDEX($E217:$H217,MATCH('Recepción'!$E$5,$E$1:$H$1,0)),0))</f>
        <v/>
      </c>
      <c r="J217" s="33">
        <f>IF(I217=0,0,IF(A217="S",1,IF(OR(B217='Recepción'!$E$13,B217='Recepción'!$E$14,B217='Recepción'!$E$15,AND(B217="Contacto con líquido",'Recepción'!$B$32&lt;&gt;""),AND(B217="Golpe / Caída",'Recepción'!$B$31&lt;&gt;""),AND(B217="No enciende",'Recepción'!$C$34&lt;&gt;"")),1,0)))</f>
        <v/>
      </c>
      <c r="K217" s="33">
        <f>IF(J217=1,COUNTIF($J$2:J217,1),0)</f>
        <v/>
      </c>
    </row>
    <row r="218">
      <c r="A218" s="31" t="inlineStr">
        <is>
          <t>S</t>
        </is>
      </c>
      <c r="B218" s="23" t="inlineStr">
        <is>
          <t>Pruebas funcionales de ingreso</t>
        </is>
      </c>
      <c r="C218" s="23" t="inlineStr">
        <is>
          <t>¿Funciona? · Cámara</t>
        </is>
      </c>
      <c r="D218" s="31" t="inlineStr">
        <is>
          <t>YN</t>
        </is>
      </c>
      <c r="E218" s="32" t="n">
        <v>0</v>
      </c>
      <c r="F218" s="32" t="n">
        <v>0</v>
      </c>
      <c r="G218" s="32" t="n">
        <v>1</v>
      </c>
      <c r="H218" s="32" t="n">
        <v>0</v>
      </c>
      <c r="I218" s="33">
        <f>IF(C218="",0,IFERROR(INDEX($E218:$H218,MATCH('Recepción'!$E$5,$E$1:$H$1,0)),0))</f>
        <v/>
      </c>
      <c r="J218" s="33">
        <f>IF(I218=0,0,IF(A218="S",1,IF(OR(B218='Recepción'!$E$13,B218='Recepción'!$E$14,B218='Recepción'!$E$15,AND(B218="Contacto con líquido",'Recepción'!$B$32&lt;&gt;""),AND(B218="Golpe / Caída",'Recepción'!$B$31&lt;&gt;""),AND(B218="No enciende",'Recepción'!$C$34&lt;&gt;"")),1,0)))</f>
        <v/>
      </c>
      <c r="K218" s="33">
        <f>IF(J218=1,COUNTIF($J$2:J218,1),0)</f>
        <v/>
      </c>
    </row>
    <row r="219">
      <c r="A219" s="31" t="inlineStr">
        <is>
          <t>S</t>
        </is>
      </c>
      <c r="B219" s="23" t="inlineStr">
        <is>
          <t>Pruebas funcionales de ingreso</t>
        </is>
      </c>
      <c r="C219" s="23" t="inlineStr">
        <is>
          <t>¿Funciona? · Micrófono</t>
        </is>
      </c>
      <c r="D219" s="31" t="inlineStr">
        <is>
          <t>YN</t>
        </is>
      </c>
      <c r="E219" s="32" t="n">
        <v>0</v>
      </c>
      <c r="F219" s="32" t="n">
        <v>0</v>
      </c>
      <c r="G219" s="32" t="n">
        <v>1</v>
      </c>
      <c r="H219" s="32" t="n">
        <v>0</v>
      </c>
      <c r="I219" s="33">
        <f>IF(C219="",0,IFERROR(INDEX($E219:$H219,MATCH('Recepción'!$E$5,$E$1:$H$1,0)),0))</f>
        <v/>
      </c>
      <c r="J219" s="33">
        <f>IF(I219=0,0,IF(A219="S",1,IF(OR(B219='Recepción'!$E$13,B219='Recepción'!$E$14,B219='Recepción'!$E$15,AND(B219="Contacto con líquido",'Recepción'!$B$32&lt;&gt;""),AND(B219="Golpe / Caída",'Recepción'!$B$31&lt;&gt;""),AND(B219="No enciende",'Recepción'!$C$34&lt;&gt;"")),1,0)))</f>
        <v/>
      </c>
      <c r="K219" s="33">
        <f>IF(J219=1,COUNTIF($J$2:J219,1),0)</f>
        <v/>
      </c>
    </row>
    <row r="220">
      <c r="A220" s="31" t="inlineStr">
        <is>
          <t>S</t>
        </is>
      </c>
      <c r="B220" s="23" t="inlineStr">
        <is>
          <t>Pruebas funcionales de ingreso</t>
        </is>
      </c>
      <c r="C220" s="23" t="inlineStr">
        <is>
          <t>¿Funciona? · Audio</t>
        </is>
      </c>
      <c r="D220" s="31" t="inlineStr">
        <is>
          <t>YN</t>
        </is>
      </c>
      <c r="E220" s="32" t="n">
        <v>0</v>
      </c>
      <c r="F220" s="32" t="n">
        <v>0</v>
      </c>
      <c r="G220" s="32" t="n">
        <v>1</v>
      </c>
      <c r="H220" s="32" t="n">
        <v>0</v>
      </c>
      <c r="I220" s="33">
        <f>IF(C220="",0,IFERROR(INDEX($E220:$H220,MATCH('Recepción'!$E$5,$E$1:$H$1,0)),0))</f>
        <v/>
      </c>
      <c r="J220" s="33">
        <f>IF(I220=0,0,IF(A220="S",1,IF(OR(B220='Recepción'!$E$13,B220='Recepción'!$E$14,B220='Recepción'!$E$15,AND(B220="Contacto con líquido",'Recepción'!$B$32&lt;&gt;""),AND(B220="Golpe / Caída",'Recepción'!$B$31&lt;&gt;""),AND(B220="No enciende",'Recepción'!$C$34&lt;&gt;"")),1,0)))</f>
        <v/>
      </c>
      <c r="K220" s="33">
        <f>IF(J220=1,COUNTIF($J$2:J220,1),0)</f>
        <v/>
      </c>
    </row>
    <row r="221">
      <c r="A221" s="31" t="inlineStr">
        <is>
          <t>S</t>
        </is>
      </c>
      <c r="B221" s="23" t="inlineStr">
        <is>
          <t>Pruebas funcionales de ingreso</t>
        </is>
      </c>
      <c r="C221" s="23" t="inlineStr">
        <is>
          <t>¿Funciona? · Salida de video</t>
        </is>
      </c>
      <c r="D221" s="31" t="inlineStr">
        <is>
          <t>YN</t>
        </is>
      </c>
      <c r="E221" s="32" t="n">
        <v>0</v>
      </c>
      <c r="F221" s="32" t="n">
        <v>0</v>
      </c>
      <c r="G221" s="32" t="n">
        <v>1</v>
      </c>
      <c r="H221" s="32" t="n">
        <v>0</v>
      </c>
      <c r="I221" s="33">
        <f>IF(C221="",0,IFERROR(INDEX($E221:$H221,MATCH('Recepción'!$E$5,$E$1:$H$1,0)),0))</f>
        <v/>
      </c>
      <c r="J221" s="33">
        <f>IF(I221=0,0,IF(A221="S",1,IF(OR(B221='Recepción'!$E$13,B221='Recepción'!$E$14,B221='Recepción'!$E$15,AND(B221="Contacto con líquido",'Recepción'!$B$32&lt;&gt;""),AND(B221="Golpe / Caída",'Recepción'!$B$31&lt;&gt;""),AND(B221="No enciende",'Recepción'!$C$34&lt;&gt;"")),1,0)))</f>
        <v/>
      </c>
      <c r="K221" s="33">
        <f>IF(J221=1,COUNTIF($J$2:J221,1),0)</f>
        <v/>
      </c>
    </row>
    <row r="222">
      <c r="A222" s="31" t="inlineStr">
        <is>
          <t>S</t>
        </is>
      </c>
      <c r="B222" s="23" t="inlineStr">
        <is>
          <t>Pruebas funcionales de ingreso</t>
        </is>
      </c>
      <c r="C222" s="23" t="inlineStr">
        <is>
          <t>¿Funciona? · Lector de disco</t>
        </is>
      </c>
      <c r="D222" s="31" t="inlineStr">
        <is>
          <t>YN</t>
        </is>
      </c>
      <c r="E222" s="32" t="n">
        <v>0</v>
      </c>
      <c r="F222" s="32" t="n">
        <v>0</v>
      </c>
      <c r="G222" s="32" t="n">
        <v>0</v>
      </c>
      <c r="H222" s="32" t="n">
        <v>1</v>
      </c>
      <c r="I222" s="33">
        <f>IF(C222="",0,IFERROR(INDEX($E222:$H222,MATCH('Recepción'!$E$5,$E$1:$H$1,0)),0))</f>
        <v/>
      </c>
      <c r="J222" s="33">
        <f>IF(I222=0,0,IF(A222="S",1,IF(OR(B222='Recepción'!$E$13,B222='Recepción'!$E$14,B222='Recepción'!$E$15,AND(B222="Contacto con líquido",'Recepción'!$B$32&lt;&gt;""),AND(B222="Golpe / Caída",'Recepción'!$B$31&lt;&gt;""),AND(B222="No enciende",'Recepción'!$C$34&lt;&gt;"")),1,0)))</f>
        <v/>
      </c>
      <c r="K222" s="33">
        <f>IF(J222=1,COUNTIF($J$2:J222,1),0)</f>
        <v/>
      </c>
    </row>
    <row r="223">
      <c r="A223" s="31" t="inlineStr">
        <is>
          <t>S</t>
        </is>
      </c>
      <c r="B223" s="23" t="inlineStr">
        <is>
          <t>Pruebas funcionales de ingreso</t>
        </is>
      </c>
      <c r="C223" s="23" t="inlineStr">
        <is>
          <t>¿Funciona? · Salida HDMI / video</t>
        </is>
      </c>
      <c r="D223" s="31" t="inlineStr">
        <is>
          <t>YN</t>
        </is>
      </c>
      <c r="E223" s="32" t="n">
        <v>0</v>
      </c>
      <c r="F223" s="32" t="n">
        <v>0</v>
      </c>
      <c r="G223" s="32" t="n">
        <v>0</v>
      </c>
      <c r="H223" s="32" t="n">
        <v>1</v>
      </c>
      <c r="I223" s="33">
        <f>IF(C223="",0,IFERROR(INDEX($E223:$H223,MATCH('Recepción'!$E$5,$E$1:$H$1,0)),0))</f>
        <v/>
      </c>
      <c r="J223" s="33">
        <f>IF(I223=0,0,IF(A223="S",1,IF(OR(B223='Recepción'!$E$13,B223='Recepción'!$E$14,B223='Recepción'!$E$15,AND(B223="Contacto con líquido",'Recepción'!$B$32&lt;&gt;""),AND(B223="Golpe / Caída",'Recepción'!$B$31&lt;&gt;""),AND(B223="No enciende",'Recepción'!$C$34&lt;&gt;"")),1,0)))</f>
        <v/>
      </c>
      <c r="K223" s="33">
        <f>IF(J223=1,COUNTIF($J$2:J223,1),0)</f>
        <v/>
      </c>
    </row>
    <row r="224">
      <c r="A224" s="31" t="inlineStr">
        <is>
          <t>S</t>
        </is>
      </c>
      <c r="B224" s="23" t="inlineStr">
        <is>
          <t>Pruebas funcionales de ingreso</t>
        </is>
      </c>
      <c r="C224" s="23" t="inlineStr">
        <is>
          <t>¿Funciona? · Puertos USB</t>
        </is>
      </c>
      <c r="D224" s="31" t="inlineStr">
        <is>
          <t>YN</t>
        </is>
      </c>
      <c r="E224" s="32" t="n">
        <v>0</v>
      </c>
      <c r="F224" s="32" t="n">
        <v>0</v>
      </c>
      <c r="G224" s="32" t="n">
        <v>0</v>
      </c>
      <c r="H224" s="32" t="n">
        <v>1</v>
      </c>
      <c r="I224" s="33">
        <f>IF(C224="",0,IFERROR(INDEX($E224:$H224,MATCH('Recepción'!$E$5,$E$1:$H$1,0)),0))</f>
        <v/>
      </c>
      <c r="J224" s="33">
        <f>IF(I224=0,0,IF(A224="S",1,IF(OR(B224='Recepción'!$E$13,B224='Recepción'!$E$14,B224='Recepción'!$E$15,AND(B224="Contacto con líquido",'Recepción'!$B$32&lt;&gt;""),AND(B224="Golpe / Caída",'Recepción'!$B$31&lt;&gt;""),AND(B224="No enciende",'Recepción'!$C$34&lt;&gt;"")),1,0)))</f>
        <v/>
      </c>
      <c r="K224" s="33">
        <f>IF(J224=1,COUNTIF($J$2:J224,1),0)</f>
        <v/>
      </c>
    </row>
    <row r="225">
      <c r="A225" s="31" t="inlineStr">
        <is>
          <t>S</t>
        </is>
      </c>
      <c r="B225" s="23" t="inlineStr">
        <is>
          <t>Pruebas funcionales de ingreso</t>
        </is>
      </c>
      <c r="C225" s="23" t="inlineStr">
        <is>
          <t>¿Funciona? · Wi-Fi</t>
        </is>
      </c>
      <c r="D225" s="31" t="inlineStr">
        <is>
          <t>YN</t>
        </is>
      </c>
      <c r="E225" s="32" t="n">
        <v>0</v>
      </c>
      <c r="F225" s="32" t="n">
        <v>0</v>
      </c>
      <c r="G225" s="32" t="n">
        <v>0</v>
      </c>
      <c r="H225" s="32" t="n">
        <v>1</v>
      </c>
      <c r="I225" s="33">
        <f>IF(C225="",0,IFERROR(INDEX($E225:$H225,MATCH('Recepción'!$E$5,$E$1:$H$1,0)),0))</f>
        <v/>
      </c>
      <c r="J225" s="33">
        <f>IF(I225=0,0,IF(A225="S",1,IF(OR(B225='Recepción'!$E$13,B225='Recepción'!$E$14,B225='Recepción'!$E$15,AND(B225="Contacto con líquido",'Recepción'!$B$32&lt;&gt;""),AND(B225="Golpe / Caída",'Recepción'!$B$31&lt;&gt;""),AND(B225="No enciende",'Recepción'!$C$34&lt;&gt;"")),1,0)))</f>
        <v/>
      </c>
      <c r="K225" s="33">
        <f>IF(J225=1,COUNTIF($J$2:J225,1),0)</f>
        <v/>
      </c>
    </row>
    <row r="226">
      <c r="A226" s="31" t="inlineStr">
        <is>
          <t>S</t>
        </is>
      </c>
      <c r="B226" s="23" t="inlineStr">
        <is>
          <t>Pruebas funcionales de ingreso</t>
        </is>
      </c>
      <c r="C226" s="23" t="inlineStr">
        <is>
          <t>¿Funciona? · Control(es)</t>
        </is>
      </c>
      <c r="D226" s="31" t="inlineStr">
        <is>
          <t>YN</t>
        </is>
      </c>
      <c r="E226" s="32" t="n">
        <v>0</v>
      </c>
      <c r="F226" s="32" t="n">
        <v>0</v>
      </c>
      <c r="G226" s="32" t="n">
        <v>0</v>
      </c>
      <c r="H226" s="32" t="n">
        <v>1</v>
      </c>
      <c r="I226" s="33">
        <f>IF(C226="",0,IFERROR(INDEX($E226:$H226,MATCH('Recepción'!$E$5,$E$1:$H$1,0)),0))</f>
        <v/>
      </c>
      <c r="J226" s="33">
        <f>IF(I226=0,0,IF(A226="S",1,IF(OR(B226='Recepción'!$E$13,B226='Recepción'!$E$14,B226='Recepción'!$E$15,AND(B226="Contacto con líquido",'Recepción'!$B$32&lt;&gt;""),AND(B226="Golpe / Caída",'Recepción'!$B$31&lt;&gt;""),AND(B226="No enciende",'Recepción'!$C$34&lt;&gt;"")),1,0)))</f>
        <v/>
      </c>
      <c r="K226" s="33">
        <f>IF(J226=1,COUNTIF($J$2:J226,1),0)</f>
        <v/>
      </c>
    </row>
    <row r="227">
      <c r="A227" s="31" t="inlineStr">
        <is>
          <t>S</t>
        </is>
      </c>
      <c r="B227" s="23" t="inlineStr">
        <is>
          <t>Pruebas funcionales de ingreso</t>
        </is>
      </c>
      <c r="C227" s="23" t="inlineStr">
        <is>
          <t>¿Funciona? · Ventilador / ruido</t>
        </is>
      </c>
      <c r="D227" s="31" t="inlineStr">
        <is>
          <t>YN</t>
        </is>
      </c>
      <c r="E227" s="32" t="n">
        <v>0</v>
      </c>
      <c r="F227" s="32" t="n">
        <v>0</v>
      </c>
      <c r="G227" s="32" t="n">
        <v>0</v>
      </c>
      <c r="H227" s="32" t="n">
        <v>1</v>
      </c>
      <c r="I227" s="33">
        <f>IF(C227="",0,IFERROR(INDEX($E227:$H227,MATCH('Recepción'!$E$5,$E$1:$H$1,0)),0))</f>
        <v/>
      </c>
      <c r="J227" s="33">
        <f>IF(I227=0,0,IF(A227="S",1,IF(OR(B227='Recepción'!$E$13,B227='Recepción'!$E$14,B227='Recepción'!$E$15,AND(B227="Contacto con líquido",'Recepción'!$B$32&lt;&gt;""),AND(B227="Golpe / Caída",'Recepción'!$B$31&lt;&gt;""),AND(B227="No enciende",'Recepción'!$C$34&lt;&gt;"")),1,0)))</f>
        <v/>
      </c>
      <c r="K227" s="33">
        <f>IF(J227=1,COUNTIF($J$2:J227,1),0)</f>
        <v/>
      </c>
    </row>
    <row r="228">
      <c r="A228" s="31" t="inlineStr">
        <is>
          <t>S</t>
        </is>
      </c>
      <c r="B228" s="23" t="inlineStr">
        <is>
          <t>Pruebas funcionales de ingreso</t>
        </is>
      </c>
      <c r="C228" s="23" t="inlineStr">
        <is>
          <t>¿Funciona? · Audio</t>
        </is>
      </c>
      <c r="D228" s="31" t="inlineStr">
        <is>
          <t>YN</t>
        </is>
      </c>
      <c r="E228" s="32" t="n">
        <v>0</v>
      </c>
      <c r="F228" s="32" t="n">
        <v>0</v>
      </c>
      <c r="G228" s="32" t="n">
        <v>0</v>
      </c>
      <c r="H228" s="32" t="n">
        <v>1</v>
      </c>
      <c r="I228" s="33">
        <f>IF(C228="",0,IFERROR(INDEX($E228:$H228,MATCH('Recepción'!$E$5,$E$1:$H$1,0)),0))</f>
        <v/>
      </c>
      <c r="J228" s="33">
        <f>IF(I228=0,0,IF(A228="S",1,IF(OR(B228='Recepción'!$E$13,B228='Recepción'!$E$14,B228='Recepción'!$E$15,AND(B228="Contacto con líquido",'Recepción'!$B$32&lt;&gt;""),AND(B228="Golpe / Caída",'Recepción'!$B$31&lt;&gt;""),AND(B228="No enciende",'Recepción'!$C$34&lt;&gt;"")),1,0)))</f>
        <v/>
      </c>
      <c r="K228" s="33">
        <f>IF(J228=1,COUNTIF($J$2:J228,1),0)</f>
        <v/>
      </c>
    </row>
    <row r="229">
      <c r="A229" s="31" t="inlineStr">
        <is>
          <t>S</t>
        </is>
      </c>
      <c r="B229" s="23" t="inlineStr"/>
      <c r="C229" s="23" t="inlineStr">
        <is>
          <t>D. AUTORIZACIONES DEL CLIENTE</t>
        </is>
      </c>
      <c r="D229" s="31" t="inlineStr">
        <is>
          <t>HEAD</t>
        </is>
      </c>
      <c r="E229" s="32" t="n">
        <v>1</v>
      </c>
      <c r="F229" s="32" t="n">
        <v>1</v>
      </c>
      <c r="G229" s="32" t="n">
        <v>1</v>
      </c>
      <c r="H229" s="32" t="n">
        <v>1</v>
      </c>
      <c r="I229" s="33">
        <f>IF(C229="",0,IFERROR(INDEX($E229:$H229,MATCH('Recepción'!$E$5,$E$1:$H$1,0)),0))</f>
        <v/>
      </c>
      <c r="J229" s="33">
        <f>IF(I229=0,0,IF(A229="S",1,IF(OR(B229='Recepción'!$E$13,B229='Recepción'!$E$14,B229='Recepción'!$E$15,AND(B229="Contacto con líquido",'Recepción'!$B$32&lt;&gt;""),AND(B229="Golpe / Caída",'Recepción'!$B$31&lt;&gt;""),AND(B229="No enciende",'Recepción'!$C$34&lt;&gt;"")),1,0)))</f>
        <v/>
      </c>
      <c r="K229" s="33">
        <f>IF(J229=1,COUNTIF($J$2:J229,1),0)</f>
        <v/>
      </c>
    </row>
    <row r="230">
      <c r="A230" s="31" t="inlineStr">
        <is>
          <t>S</t>
        </is>
      </c>
      <c r="B230" s="23" t="inlineStr">
        <is>
          <t>Autorizaciones</t>
        </is>
      </c>
      <c r="C230" s="23" t="inlineStr">
        <is>
          <t>Autorizo el diagnóstico técnico del equipo.</t>
        </is>
      </c>
      <c r="D230" s="31" t="inlineStr">
        <is>
          <t>CHK</t>
        </is>
      </c>
      <c r="E230" s="32" t="n">
        <v>1</v>
      </c>
      <c r="F230" s="32" t="n">
        <v>1</v>
      </c>
      <c r="G230" s="32" t="n">
        <v>1</v>
      </c>
      <c r="H230" s="32" t="n">
        <v>1</v>
      </c>
      <c r="I230" s="33">
        <f>IF(C230="",0,IFERROR(INDEX($E230:$H230,MATCH('Recepción'!$E$5,$E$1:$H$1,0)),0))</f>
        <v/>
      </c>
      <c r="J230" s="33">
        <f>IF(I230=0,0,IF(A230="S",1,IF(OR(B230='Recepción'!$E$13,B230='Recepción'!$E$14,B230='Recepción'!$E$15,AND(B230="Contacto con líquido",'Recepción'!$B$32&lt;&gt;""),AND(B230="Golpe / Caída",'Recepción'!$B$31&lt;&gt;""),AND(B230="No enciende",'Recepción'!$C$34&lt;&gt;"")),1,0)))</f>
        <v/>
      </c>
      <c r="K230" s="33">
        <f>IF(J230=1,COUNTIF($J$2:J230,1),0)</f>
        <v/>
      </c>
    </row>
    <row r="231">
      <c r="A231" s="31" t="inlineStr">
        <is>
          <t>S</t>
        </is>
      </c>
      <c r="B231" s="23" t="inlineStr">
        <is>
          <t>Autorizaciones</t>
        </is>
      </c>
      <c r="C231" s="23" t="inlineStr">
        <is>
          <t>Declaro haber informado golpes, contacto con líquidos, reparaciones anteriores y fallas conocidas.</t>
        </is>
      </c>
      <c r="D231" s="31" t="inlineStr">
        <is>
          <t>CHK</t>
        </is>
      </c>
      <c r="E231" s="32" t="n">
        <v>1</v>
      </c>
      <c r="F231" s="32" t="n">
        <v>1</v>
      </c>
      <c r="G231" s="32" t="n">
        <v>1</v>
      </c>
      <c r="H231" s="32" t="n">
        <v>1</v>
      </c>
      <c r="I231" s="33">
        <f>IF(C231="",0,IFERROR(INDEX($E231:$H231,MATCH('Recepción'!$E$5,$E$1:$H$1,0)),0))</f>
        <v/>
      </c>
      <c r="J231" s="33">
        <f>IF(I231=0,0,IF(A231="S",1,IF(OR(B231='Recepción'!$E$13,B231='Recepción'!$E$14,B231='Recepción'!$E$15,AND(B231="Contacto con líquido",'Recepción'!$B$32&lt;&gt;""),AND(B231="Golpe / Caída",'Recepción'!$B$31&lt;&gt;""),AND(B231="No enciende",'Recepción'!$C$34&lt;&gt;"")),1,0)))</f>
        <v/>
      </c>
      <c r="K231" s="33">
        <f>IF(J231=1,COUNTIF($J$2:J231,1),0)</f>
        <v/>
      </c>
    </row>
    <row r="232">
      <c r="A232" s="31" t="inlineStr">
        <is>
          <t>S</t>
        </is>
      </c>
      <c r="B232" s="23" t="inlineStr">
        <is>
          <t>Autorizaciones</t>
        </is>
      </c>
      <c r="C232" s="23" t="inlineStr">
        <is>
          <t>Entiendo que RCP no es responsable por información sin respaldo previo cuando el procedimiento requiera intervenir almacenamiento, sistema operativo o componentes relacionados.</t>
        </is>
      </c>
      <c r="D232" s="31" t="inlineStr">
        <is>
          <t>CHK</t>
        </is>
      </c>
      <c r="E232" s="32" t="n">
        <v>1</v>
      </c>
      <c r="F232" s="32" t="n">
        <v>1</v>
      </c>
      <c r="G232" s="32" t="n">
        <v>1</v>
      </c>
      <c r="H232" s="32" t="n">
        <v>1</v>
      </c>
      <c r="I232" s="33">
        <f>IF(C232="",0,IFERROR(INDEX($E232:$H232,MATCH('Recepción'!$E$5,$E$1:$H$1,0)),0))</f>
        <v/>
      </c>
      <c r="J232" s="33">
        <f>IF(I232=0,0,IF(A232="S",1,IF(OR(B232='Recepción'!$E$13,B232='Recepción'!$E$14,B232='Recepción'!$E$15,AND(B232="Contacto con líquido",'Recepción'!$B$32&lt;&gt;""),AND(B232="Golpe / Caída",'Recepción'!$B$31&lt;&gt;""),AND(B232="No enciende",'Recepción'!$C$34&lt;&gt;"")),1,0)))</f>
        <v/>
      </c>
      <c r="K232" s="33">
        <f>IF(J232=1,COUNTIF($J$2:J232,1),0)</f>
        <v/>
      </c>
    </row>
    <row r="233">
      <c r="A233" s="31" t="inlineStr">
        <is>
          <t>S</t>
        </is>
      </c>
      <c r="B233" s="23" t="inlineStr">
        <is>
          <t>Autorizaciones</t>
        </is>
      </c>
      <c r="C233" s="23" t="inlineStr">
        <is>
          <t>Autorizo las pruebas funcionales necesarias para comprobar la reparación.</t>
        </is>
      </c>
      <c r="D233" s="31" t="inlineStr">
        <is>
          <t>CHK</t>
        </is>
      </c>
      <c r="E233" s="32" t="n">
        <v>1</v>
      </c>
      <c r="F233" s="32" t="n">
        <v>1</v>
      </c>
      <c r="G233" s="32" t="n">
        <v>1</v>
      </c>
      <c r="H233" s="32" t="n">
        <v>1</v>
      </c>
      <c r="I233" s="33">
        <f>IF(C233="",0,IFERROR(INDEX($E233:$H233,MATCH('Recepción'!$E$5,$E$1:$H$1,0)),0))</f>
        <v/>
      </c>
      <c r="J233" s="33">
        <f>IF(I233=0,0,IF(A233="S",1,IF(OR(B233='Recepción'!$E$13,B233='Recepción'!$E$14,B233='Recepción'!$E$15,AND(B233="Contacto con líquido",'Recepción'!$B$32&lt;&gt;""),AND(B233="Golpe / Caída",'Recepción'!$B$31&lt;&gt;""),AND(B233="No enciende",'Recepción'!$C$34&lt;&gt;"")),1,0)))</f>
        <v/>
      </c>
      <c r="K233" s="33">
        <f>IF(J233=1,COUNTIF($J$2:J233,1),0)</f>
        <v/>
      </c>
    </row>
    <row r="234">
      <c r="A234" s="31" t="inlineStr">
        <is>
          <t>S</t>
        </is>
      </c>
      <c r="B234" s="23" t="inlineStr">
        <is>
          <t>Autorizaciones</t>
        </is>
      </c>
      <c r="C234" s="23" t="inlineStr">
        <is>
          <t>Contraseña / PIN para pruebas: proporcionado</t>
        </is>
      </c>
      <c r="D234" s="31" t="inlineStr">
        <is>
          <t>CHK</t>
        </is>
      </c>
      <c r="E234" s="32" t="n">
        <v>1</v>
      </c>
      <c r="F234" s="32" t="n">
        <v>1</v>
      </c>
      <c r="G234" s="32" t="n">
        <v>1</v>
      </c>
      <c r="H234" s="32" t="n">
        <v>1</v>
      </c>
      <c r="I234" s="33">
        <f>IF(C234="",0,IFERROR(INDEX($E234:$H234,MATCH('Recepción'!$E$5,$E$1:$H$1,0)),0))</f>
        <v/>
      </c>
      <c r="J234" s="33">
        <f>IF(I234=0,0,IF(A234="S",1,IF(OR(B234='Recepción'!$E$13,B234='Recepción'!$E$14,B234='Recepción'!$E$15,AND(B234="Contacto con líquido",'Recepción'!$B$32&lt;&gt;""),AND(B234="Golpe / Caída",'Recepción'!$B$31&lt;&gt;""),AND(B234="No enciende",'Recepción'!$C$34&lt;&gt;"")),1,0)))</f>
        <v/>
      </c>
      <c r="K234" s="33">
        <f>IF(J234=1,COUNTIF($J$2:J234,1),0)</f>
        <v/>
      </c>
    </row>
    <row r="235">
      <c r="A235" s="31" t="inlineStr">
        <is>
          <t>S</t>
        </is>
      </c>
      <c r="B235" s="23" t="inlineStr">
        <is>
          <t>Autorizaciones</t>
        </is>
      </c>
      <c r="C235" s="23" t="inlineStr">
        <is>
          <t>Contraseña / PIN para pruebas: el cliente lo ingresará</t>
        </is>
      </c>
      <c r="D235" s="31" t="inlineStr">
        <is>
          <t>CHK</t>
        </is>
      </c>
      <c r="E235" s="32" t="n">
        <v>1</v>
      </c>
      <c r="F235" s="32" t="n">
        <v>1</v>
      </c>
      <c r="G235" s="32" t="n">
        <v>1</v>
      </c>
      <c r="H235" s="32" t="n">
        <v>1</v>
      </c>
      <c r="I235" s="33">
        <f>IF(C235="",0,IFERROR(INDEX($E235:$H235,MATCH('Recepción'!$E$5,$E$1:$H$1,0)),0))</f>
        <v/>
      </c>
      <c r="J235" s="33">
        <f>IF(I235=0,0,IF(A235="S",1,IF(OR(B235='Recepción'!$E$13,B235='Recepción'!$E$14,B235='Recepción'!$E$15,AND(B235="Contacto con líquido",'Recepción'!$B$32&lt;&gt;""),AND(B235="Golpe / Caída",'Recepción'!$B$31&lt;&gt;""),AND(B235="No enciende",'Recepción'!$C$34&lt;&gt;"")),1,0)))</f>
        <v/>
      </c>
      <c r="K235" s="33">
        <f>IF(J235=1,COUNTIF($J$2:J235,1),0)</f>
        <v/>
      </c>
    </row>
    <row r="236">
      <c r="A236" s="31" t="inlineStr">
        <is>
          <t>S</t>
        </is>
      </c>
      <c r="B236" s="23" t="inlineStr">
        <is>
          <t>Autorizaciones</t>
        </is>
      </c>
      <c r="C236" s="23" t="inlineStr">
        <is>
          <t>Contraseña / PIN para pruebas: no proporcionado</t>
        </is>
      </c>
      <c r="D236" s="31" t="inlineStr">
        <is>
          <t>CHK</t>
        </is>
      </c>
      <c r="E236" s="32" t="n">
        <v>1</v>
      </c>
      <c r="F236" s="32" t="n">
        <v>1</v>
      </c>
      <c r="G236" s="32" t="n">
        <v>1</v>
      </c>
      <c r="H236" s="32" t="n">
        <v>1</v>
      </c>
      <c r="I236" s="33">
        <f>IF(C236="",0,IFERROR(INDEX($E236:$H236,MATCH('Recepción'!$E$5,$E$1:$H$1,0)),0))</f>
        <v/>
      </c>
      <c r="J236" s="33">
        <f>IF(I236=0,0,IF(A236="S",1,IF(OR(B236='Recepción'!$E$13,B236='Recepción'!$E$14,B236='Recepción'!$E$15,AND(B236="Contacto con líquido",'Recepción'!$B$32&lt;&gt;""),AND(B236="Golpe / Caída",'Recepción'!$B$31&lt;&gt;""),AND(B236="No enciende",'Recepción'!$C$34&lt;&gt;"")),1,0)))</f>
        <v/>
      </c>
      <c r="K236" s="33">
        <f>IF(J236=1,COUNTIF($J$2:J236,1),0)</f>
        <v/>
      </c>
    </row>
    <row r="237">
      <c r="A237" s="31" t="inlineStr">
        <is>
          <t>S</t>
        </is>
      </c>
      <c r="B237" s="23" t="inlineStr">
        <is>
          <t>Autorizaciones</t>
        </is>
      </c>
      <c r="C237" s="23" t="inlineStr">
        <is>
          <t>Contraseña / PIN para pruebas: no aplica</t>
        </is>
      </c>
      <c r="D237" s="31" t="inlineStr">
        <is>
          <t>CHK</t>
        </is>
      </c>
      <c r="E237" s="32" t="n">
        <v>1</v>
      </c>
      <c r="F237" s="32" t="n">
        <v>1</v>
      </c>
      <c r="G237" s="32" t="n">
        <v>1</v>
      </c>
      <c r="H237" s="32" t="n">
        <v>1</v>
      </c>
      <c r="I237" s="33">
        <f>IF(C237="",0,IFERROR(INDEX($E237:$H237,MATCH('Recepción'!$E$5,$E$1:$H$1,0)),0))</f>
        <v/>
      </c>
      <c r="J237" s="33">
        <f>IF(I237=0,0,IF(A237="S",1,IF(OR(B237='Recepción'!$E$13,B237='Recepción'!$E$14,B237='Recepción'!$E$15,AND(B237="Contacto con líquido",'Recepción'!$B$32&lt;&gt;""),AND(B237="Golpe / Caída",'Recepción'!$B$31&lt;&gt;""),AND(B237="No enciende",'Recepción'!$C$34&lt;&gt;"")),1,0)))</f>
        <v/>
      </c>
      <c r="K237" s="33">
        <f>IF(J237=1,COUNTIF($J$2:J237,1),0)</f>
        <v/>
      </c>
    </row>
    <row r="238">
      <c r="A238" s="31" t="inlineStr">
        <is>
          <t>S</t>
        </is>
      </c>
      <c r="B238" s="23" t="inlineStr">
        <is>
          <t>Autorizaciones</t>
        </is>
      </c>
      <c r="C238" s="23" t="inlineStr">
        <is>
          <t>Nombre y firma del cliente (escriba el nombre en Detalle)</t>
        </is>
      </c>
      <c r="D238" s="31" t="inlineStr">
        <is>
          <t>TXT</t>
        </is>
      </c>
      <c r="E238" s="32" t="n">
        <v>1</v>
      </c>
      <c r="F238" s="32" t="n">
        <v>1</v>
      </c>
      <c r="G238" s="32" t="n">
        <v>1</v>
      </c>
      <c r="H238" s="32" t="n">
        <v>1</v>
      </c>
      <c r="I238" s="33">
        <f>IF(C238="",0,IFERROR(INDEX($E238:$H238,MATCH('Recepción'!$E$5,$E$1:$H$1,0)),0))</f>
        <v/>
      </c>
      <c r="J238" s="33">
        <f>IF(I238=0,0,IF(A238="S",1,IF(OR(B238='Recepción'!$E$13,B238='Recepción'!$E$14,B238='Recepción'!$E$15,AND(B238="Contacto con líquido",'Recepción'!$B$32&lt;&gt;""),AND(B238="Golpe / Caída",'Recepción'!$B$31&lt;&gt;""),AND(B238="No enciende",'Recepción'!$C$34&lt;&gt;"")),1,0)))</f>
        <v/>
      </c>
      <c r="K238" s="33">
        <f>IF(J238=1,COUNTIF($J$2:J238,1),0)</f>
        <v/>
      </c>
    </row>
    <row r="239">
      <c r="A239" s="31" t="inlineStr">
        <is>
          <t>S</t>
        </is>
      </c>
      <c r="B239" s="23" t="inlineStr">
        <is>
          <t>Autorizaciones</t>
        </is>
      </c>
      <c r="C239" s="23" t="inlineStr">
        <is>
          <t>Nombre y firma de quien recibe por RCP (escriba el nombre en Detalle)</t>
        </is>
      </c>
      <c r="D239" s="31" t="inlineStr">
        <is>
          <t>TXT</t>
        </is>
      </c>
      <c r="E239" s="32" t="n">
        <v>1</v>
      </c>
      <c r="F239" s="32" t="n">
        <v>1</v>
      </c>
      <c r="G239" s="32" t="n">
        <v>1</v>
      </c>
      <c r="H239" s="32" t="n">
        <v>1</v>
      </c>
      <c r="I239" s="33">
        <f>IF(C239="",0,IFERROR(INDEX($E239:$H239,MATCH('Recepción'!$E$5,$E$1:$H$1,0)),0))</f>
        <v/>
      </c>
      <c r="J239" s="33">
        <f>IF(I239=0,0,IF(A239="S",1,IF(OR(B239='Recepción'!$E$13,B239='Recepción'!$E$14,B239='Recepción'!$E$15,AND(B239="Contacto con líquido",'Recepción'!$B$32&lt;&gt;""),AND(B239="Golpe / Caída",'Recepción'!$B$31&lt;&gt;""),AND(B239="No enciende",'Recepción'!$C$34&lt;&gt;"")),1,0)))</f>
        <v/>
      </c>
      <c r="K239" s="33">
        <f>IF(J239=1,COUNTIF($J$2:J239,1),0)</f>
        <v/>
      </c>
    </row>
    <row r="240">
      <c r="I240" s="33">
        <f>IF(C240="",0,IFERROR(INDEX($E240:$H240,MATCH('Recepción'!$E$5,$E$1:$H$1,0)),0))</f>
        <v/>
      </c>
      <c r="J240" s="33">
        <f>IF(I240=0,0,IF(A240="S",1,IF(OR(B240='Recepción'!$E$13,B240='Recepción'!$E$14,B240='Recepción'!$E$15,AND(B240="Contacto con líquido",'Recepción'!$B$32&lt;&gt;""),AND(B240="Golpe / Caída",'Recepción'!$B$31&lt;&gt;""),AND(B240="No enciende",'Recepción'!$C$34&lt;&gt;"")),1,0)))</f>
        <v/>
      </c>
      <c r="K240" s="33">
        <f>IF(J240=1,COUNTIF($J$2:J240,1),0)</f>
        <v/>
      </c>
    </row>
    <row r="241">
      <c r="I241" s="33">
        <f>IF(C241="",0,IFERROR(INDEX($E241:$H241,MATCH('Recepción'!$E$5,$E$1:$H$1,0)),0))</f>
        <v/>
      </c>
      <c r="J241" s="33">
        <f>IF(I241=0,0,IF(A241="S",1,IF(OR(B241='Recepción'!$E$13,B241='Recepción'!$E$14,B241='Recepción'!$E$15,AND(B241="Contacto con líquido",'Recepción'!$B$32&lt;&gt;""),AND(B241="Golpe / Caída",'Recepción'!$B$31&lt;&gt;""),AND(B241="No enciende",'Recepción'!$C$34&lt;&gt;"")),1,0)))</f>
        <v/>
      </c>
      <c r="K241" s="33">
        <f>IF(J241=1,COUNTIF($J$2:J241,1),0)</f>
        <v/>
      </c>
    </row>
    <row r="242">
      <c r="I242" s="33">
        <f>IF(C242="",0,IFERROR(INDEX($E242:$H242,MATCH('Recepción'!$E$5,$E$1:$H$1,0)),0))</f>
        <v/>
      </c>
      <c r="J242" s="33">
        <f>IF(I242=0,0,IF(A242="S",1,IF(OR(B242='Recepción'!$E$13,B242='Recepción'!$E$14,B242='Recepción'!$E$15,AND(B242="Contacto con líquido",'Recepción'!$B$32&lt;&gt;""),AND(B242="Golpe / Caída",'Recepción'!$B$31&lt;&gt;""),AND(B242="No enciende",'Recepción'!$C$34&lt;&gt;"")),1,0)))</f>
        <v/>
      </c>
      <c r="K242" s="33">
        <f>IF(J242=1,COUNTIF($J$2:J242,1),0)</f>
        <v/>
      </c>
    </row>
    <row r="243">
      <c r="I243" s="33">
        <f>IF(C243="",0,IFERROR(INDEX($E243:$H243,MATCH('Recepción'!$E$5,$E$1:$H$1,0)),0))</f>
        <v/>
      </c>
      <c r="J243" s="33">
        <f>IF(I243=0,0,IF(A243="S",1,IF(OR(B243='Recepción'!$E$13,B243='Recepción'!$E$14,B243='Recepción'!$E$15,AND(B243="Contacto con líquido",'Recepción'!$B$32&lt;&gt;""),AND(B243="Golpe / Caída",'Recepción'!$B$31&lt;&gt;""),AND(B243="No enciende",'Recepción'!$C$34&lt;&gt;"")),1,0)))</f>
        <v/>
      </c>
      <c r="K243" s="33">
        <f>IF(J243=1,COUNTIF($J$2:J243,1),0)</f>
        <v/>
      </c>
    </row>
    <row r="244">
      <c r="I244" s="33">
        <f>IF(C244="",0,IFERROR(INDEX($E244:$H244,MATCH('Recepción'!$E$5,$E$1:$H$1,0)),0))</f>
        <v/>
      </c>
      <c r="J244" s="33">
        <f>IF(I244=0,0,IF(A244="S",1,IF(OR(B244='Recepción'!$E$13,B244='Recepción'!$E$14,B244='Recepción'!$E$15,AND(B244="Contacto con líquido",'Recepción'!$B$32&lt;&gt;""),AND(B244="Golpe / Caída",'Recepción'!$B$31&lt;&gt;""),AND(B244="No enciende",'Recepción'!$C$34&lt;&gt;"")),1,0)))</f>
        <v/>
      </c>
      <c r="K244" s="33">
        <f>IF(J244=1,COUNTIF($J$2:J244,1),0)</f>
        <v/>
      </c>
    </row>
    <row r="245">
      <c r="I245" s="33">
        <f>IF(C245="",0,IFERROR(INDEX($E245:$H245,MATCH('Recepción'!$E$5,$E$1:$H$1,0)),0))</f>
        <v/>
      </c>
      <c r="J245" s="33">
        <f>IF(I245=0,0,IF(A245="S",1,IF(OR(B245='Recepción'!$E$13,B245='Recepción'!$E$14,B245='Recepción'!$E$15,AND(B245="Contacto con líquido",'Recepción'!$B$32&lt;&gt;""),AND(B245="Golpe / Caída",'Recepción'!$B$31&lt;&gt;""),AND(B245="No enciende",'Recepción'!$C$34&lt;&gt;"")),1,0)))</f>
        <v/>
      </c>
      <c r="K245" s="33">
        <f>IF(J245=1,COUNTIF($J$2:J245,1),0)</f>
        <v/>
      </c>
    </row>
    <row r="246">
      <c r="I246" s="33">
        <f>IF(C246="",0,IFERROR(INDEX($E246:$H246,MATCH('Recepción'!$E$5,$E$1:$H$1,0)),0))</f>
        <v/>
      </c>
      <c r="J246" s="33">
        <f>IF(I246=0,0,IF(A246="S",1,IF(OR(B246='Recepción'!$E$13,B246='Recepción'!$E$14,B246='Recepción'!$E$15,AND(B246="Contacto con líquido",'Recepción'!$B$32&lt;&gt;""),AND(B246="Golpe / Caída",'Recepción'!$B$31&lt;&gt;""),AND(B246="No enciende",'Recepción'!$C$34&lt;&gt;"")),1,0)))</f>
        <v/>
      </c>
      <c r="K246" s="33">
        <f>IF(J246=1,COUNTIF($J$2:J246,1),0)</f>
        <v/>
      </c>
    </row>
    <row r="247">
      <c r="I247" s="33">
        <f>IF(C247="",0,IFERROR(INDEX($E247:$H247,MATCH('Recepción'!$E$5,$E$1:$H$1,0)),0))</f>
        <v/>
      </c>
      <c r="J247" s="33">
        <f>IF(I247=0,0,IF(A247="S",1,IF(OR(B247='Recepción'!$E$13,B247='Recepción'!$E$14,B247='Recepción'!$E$15,AND(B247="Contacto con líquido",'Recepción'!$B$32&lt;&gt;""),AND(B247="Golpe / Caída",'Recepción'!$B$31&lt;&gt;""),AND(B247="No enciende",'Recepción'!$C$34&lt;&gt;"")),1,0)))</f>
        <v/>
      </c>
      <c r="K247" s="33">
        <f>IF(J247=1,COUNTIF($J$2:J247,1),0)</f>
        <v/>
      </c>
    </row>
    <row r="248">
      <c r="I248" s="33">
        <f>IF(C248="",0,IFERROR(INDEX($E248:$H248,MATCH('Recepción'!$E$5,$E$1:$H$1,0)),0))</f>
        <v/>
      </c>
      <c r="J248" s="33">
        <f>IF(I248=0,0,IF(A248="S",1,IF(OR(B248='Recepción'!$E$13,B248='Recepción'!$E$14,B248='Recepción'!$E$15,AND(B248="Contacto con líquido",'Recepción'!$B$32&lt;&gt;""),AND(B248="Golpe / Caída",'Recepción'!$B$31&lt;&gt;""),AND(B248="No enciende",'Recepción'!$C$34&lt;&gt;"")),1,0)))</f>
        <v/>
      </c>
      <c r="K248" s="33">
        <f>IF(J248=1,COUNTIF($J$2:J248,1),0)</f>
        <v/>
      </c>
    </row>
    <row r="249">
      <c r="I249" s="33">
        <f>IF(C249="",0,IFERROR(INDEX($E249:$H249,MATCH('Recepción'!$E$5,$E$1:$H$1,0)),0))</f>
        <v/>
      </c>
      <c r="J249" s="33">
        <f>IF(I249=0,0,IF(A249="S",1,IF(OR(B249='Recepción'!$E$13,B249='Recepción'!$E$14,B249='Recepción'!$E$15,AND(B249="Contacto con líquido",'Recepción'!$B$32&lt;&gt;""),AND(B249="Golpe / Caída",'Recepción'!$B$31&lt;&gt;""),AND(B249="No enciende",'Recepción'!$C$34&lt;&gt;"")),1,0)))</f>
        <v/>
      </c>
      <c r="K249" s="33">
        <f>IF(J249=1,COUNTIF($J$2:J249,1),0)</f>
        <v/>
      </c>
    </row>
    <row r="250">
      <c r="I250" s="33">
        <f>IF(C250="",0,IFERROR(INDEX($E250:$H250,MATCH('Recepción'!$E$5,$E$1:$H$1,0)),0))</f>
        <v/>
      </c>
      <c r="J250" s="33">
        <f>IF(I250=0,0,IF(A250="S",1,IF(OR(B250='Recepción'!$E$13,B250='Recepción'!$E$14,B250='Recepción'!$E$15,AND(B250="Contacto con líquido",'Recepción'!$B$32&lt;&gt;""),AND(B250="Golpe / Caída",'Recepción'!$B$31&lt;&gt;""),AND(B250="No enciende",'Recepción'!$C$34&lt;&gt;"")),1,0)))</f>
        <v/>
      </c>
      <c r="K250" s="33">
        <f>IF(J250=1,COUNTIF($J$2:J250,1),0)</f>
        <v/>
      </c>
    </row>
    <row r="251">
      <c r="I251" s="33">
        <f>IF(C251="",0,IFERROR(INDEX($E251:$H251,MATCH('Recepción'!$E$5,$E$1:$H$1,0)),0))</f>
        <v/>
      </c>
      <c r="J251" s="33">
        <f>IF(I251=0,0,IF(A251="S",1,IF(OR(B251='Recepción'!$E$13,B251='Recepción'!$E$14,B251='Recepción'!$E$15,AND(B251="Contacto con líquido",'Recepción'!$B$32&lt;&gt;""),AND(B251="Golpe / Caída",'Recepción'!$B$31&lt;&gt;""),AND(B251="No enciende",'Recepción'!$C$34&lt;&gt;"")),1,0)))</f>
        <v/>
      </c>
      <c r="K251" s="33">
        <f>IF(J251=1,COUNTIF($J$2:J251,1),0)</f>
        <v/>
      </c>
    </row>
    <row r="252">
      <c r="I252" s="33">
        <f>IF(C252="",0,IFERROR(INDEX($E252:$H252,MATCH('Recepción'!$E$5,$E$1:$H$1,0)),0))</f>
        <v/>
      </c>
      <c r="J252" s="33">
        <f>IF(I252=0,0,IF(A252="S",1,IF(OR(B252='Recepción'!$E$13,B252='Recepción'!$E$14,B252='Recepción'!$E$15,AND(B252="Contacto con líquido",'Recepción'!$B$32&lt;&gt;""),AND(B252="Golpe / Caída",'Recepción'!$B$31&lt;&gt;""),AND(B252="No enciende",'Recepción'!$C$34&lt;&gt;"")),1,0)))</f>
        <v/>
      </c>
      <c r="K252" s="33">
        <f>IF(J252=1,COUNTIF($J$2:J252,1),0)</f>
        <v/>
      </c>
    </row>
    <row r="253">
      <c r="I253" s="33">
        <f>IF(C253="",0,IFERROR(INDEX($E253:$H253,MATCH('Recepción'!$E$5,$E$1:$H$1,0)),0))</f>
        <v/>
      </c>
      <c r="J253" s="33">
        <f>IF(I253=0,0,IF(A253="S",1,IF(OR(B253='Recepción'!$E$13,B253='Recepción'!$E$14,B253='Recepción'!$E$15,AND(B253="Contacto con líquido",'Recepción'!$B$32&lt;&gt;""),AND(B253="Golpe / Caída",'Recepción'!$B$31&lt;&gt;""),AND(B253="No enciende",'Recepción'!$C$34&lt;&gt;"")),1,0)))</f>
        <v/>
      </c>
      <c r="K253" s="33">
        <f>IF(J253=1,COUNTIF($J$2:J253,1),0)</f>
        <v/>
      </c>
    </row>
    <row r="254">
      <c r="I254" s="33">
        <f>IF(C254="",0,IFERROR(INDEX($E254:$H254,MATCH('Recepción'!$E$5,$E$1:$H$1,0)),0))</f>
        <v/>
      </c>
      <c r="J254" s="33">
        <f>IF(I254=0,0,IF(A254="S",1,IF(OR(B254='Recepción'!$E$13,B254='Recepción'!$E$14,B254='Recepción'!$E$15,AND(B254="Contacto con líquido",'Recepción'!$B$32&lt;&gt;""),AND(B254="Golpe / Caída",'Recepción'!$B$31&lt;&gt;""),AND(B254="No enciende",'Recepción'!$C$34&lt;&gt;"")),1,0)))</f>
        <v/>
      </c>
      <c r="K254" s="33">
        <f>IF(J254=1,COUNTIF($J$2:J254,1),0)</f>
        <v/>
      </c>
    </row>
    <row r="255">
      <c r="I255" s="33">
        <f>IF(C255="",0,IFERROR(INDEX($E255:$H255,MATCH('Recepción'!$E$5,$E$1:$H$1,0)),0))</f>
        <v/>
      </c>
      <c r="J255" s="33">
        <f>IF(I255=0,0,IF(A255="S",1,IF(OR(B255='Recepción'!$E$13,B255='Recepción'!$E$14,B255='Recepción'!$E$15,AND(B255="Contacto con líquido",'Recepción'!$B$32&lt;&gt;""),AND(B255="Golpe / Caída",'Recepción'!$B$31&lt;&gt;""),AND(B255="No enciende",'Recepción'!$C$34&lt;&gt;"")),1,0)))</f>
        <v/>
      </c>
      <c r="K255" s="33">
        <f>IF(J255=1,COUNTIF($J$2:J255,1),0)</f>
        <v/>
      </c>
    </row>
    <row r="256">
      <c r="I256" s="33">
        <f>IF(C256="",0,IFERROR(INDEX($E256:$H256,MATCH('Recepción'!$E$5,$E$1:$H$1,0)),0))</f>
        <v/>
      </c>
      <c r="J256" s="33">
        <f>IF(I256=0,0,IF(A256="S",1,IF(OR(B256='Recepción'!$E$13,B256='Recepción'!$E$14,B256='Recepción'!$E$15,AND(B256="Contacto con líquido",'Recepción'!$B$32&lt;&gt;""),AND(B256="Golpe / Caída",'Recepción'!$B$31&lt;&gt;""),AND(B256="No enciende",'Recepción'!$C$34&lt;&gt;"")),1,0)))</f>
        <v/>
      </c>
      <c r="K256" s="33">
        <f>IF(J256=1,COUNTIF($J$2:J256,1),0)</f>
        <v/>
      </c>
    </row>
    <row r="257">
      <c r="I257" s="33">
        <f>IF(C257="",0,IFERROR(INDEX($E257:$H257,MATCH('Recepción'!$E$5,$E$1:$H$1,0)),0))</f>
        <v/>
      </c>
      <c r="J257" s="33">
        <f>IF(I257=0,0,IF(A257="S",1,IF(OR(B257='Recepción'!$E$13,B257='Recepción'!$E$14,B257='Recepción'!$E$15,AND(B257="Contacto con líquido",'Recepción'!$B$32&lt;&gt;""),AND(B257="Golpe / Caída",'Recepción'!$B$31&lt;&gt;""),AND(B257="No enciende",'Recepción'!$C$34&lt;&gt;"")),1,0)))</f>
        <v/>
      </c>
      <c r="K257" s="33">
        <f>IF(J257=1,COUNTIF($J$2:J257,1),0)</f>
        <v/>
      </c>
    </row>
    <row r="258">
      <c r="I258" s="33">
        <f>IF(C258="",0,IFERROR(INDEX($E258:$H258,MATCH('Recepción'!$E$5,$E$1:$H$1,0)),0))</f>
        <v/>
      </c>
      <c r="J258" s="33">
        <f>IF(I258=0,0,IF(A258="S",1,IF(OR(B258='Recepción'!$E$13,B258='Recepción'!$E$14,B258='Recepción'!$E$15,AND(B258="Contacto con líquido",'Recepción'!$B$32&lt;&gt;""),AND(B258="Golpe / Caída",'Recepción'!$B$31&lt;&gt;""),AND(B258="No enciende",'Recepción'!$C$34&lt;&gt;"")),1,0)))</f>
        <v/>
      </c>
      <c r="K258" s="33">
        <f>IF(J258=1,COUNTIF($J$2:J258,1),0)</f>
        <v/>
      </c>
    </row>
    <row r="259">
      <c r="I259" s="33">
        <f>IF(C259="",0,IFERROR(INDEX($E259:$H259,MATCH('Recepción'!$E$5,$E$1:$H$1,0)),0))</f>
        <v/>
      </c>
      <c r="J259" s="33">
        <f>IF(I259=0,0,IF(A259="S",1,IF(OR(B259='Recepción'!$E$13,B259='Recepción'!$E$14,B259='Recepción'!$E$15,AND(B259="Contacto con líquido",'Recepción'!$B$32&lt;&gt;""),AND(B259="Golpe / Caída",'Recepción'!$B$31&lt;&gt;""),AND(B259="No enciende",'Recepción'!$C$34&lt;&gt;"")),1,0)))</f>
        <v/>
      </c>
      <c r="K259" s="33">
        <f>IF(J259=1,COUNTIF($J$2:J259,1),0)</f>
        <v/>
      </c>
    </row>
    <row r="260">
      <c r="I260" s="33">
        <f>IF(C260="",0,IFERROR(INDEX($E260:$H260,MATCH('Recepción'!$E$5,$E$1:$H$1,0)),0))</f>
        <v/>
      </c>
      <c r="J260" s="33">
        <f>IF(I260=0,0,IF(A260="S",1,IF(OR(B260='Recepción'!$E$13,B260='Recepción'!$E$14,B260='Recepción'!$E$15,AND(B260="Contacto con líquido",'Recepción'!$B$32&lt;&gt;""),AND(B260="Golpe / Caída",'Recepción'!$B$31&lt;&gt;""),AND(B260="No enciende",'Recepción'!$C$34&lt;&gt;"")),1,0)))</f>
        <v/>
      </c>
      <c r="K260" s="33">
        <f>IF(J260=1,COUNTIF($J$2:J260,1),0)</f>
        <v/>
      </c>
    </row>
    <row r="261">
      <c r="I261" s="33">
        <f>IF(C261="",0,IFERROR(INDEX($E261:$H261,MATCH('Recepción'!$E$5,$E$1:$H$1,0)),0))</f>
        <v/>
      </c>
      <c r="J261" s="33">
        <f>IF(I261=0,0,IF(A261="S",1,IF(OR(B261='Recepción'!$E$13,B261='Recepción'!$E$14,B261='Recepción'!$E$15,AND(B261="Contacto con líquido",'Recepción'!$B$32&lt;&gt;""),AND(B261="Golpe / Caída",'Recepción'!$B$31&lt;&gt;""),AND(B261="No enciende",'Recepción'!$C$34&lt;&gt;"")),1,0)))</f>
        <v/>
      </c>
      <c r="K261" s="33">
        <f>IF(J261=1,COUNTIF($J$2:J261,1),0)</f>
        <v/>
      </c>
    </row>
    <row r="262">
      <c r="I262" s="33">
        <f>IF(C262="",0,IFERROR(INDEX($E262:$H262,MATCH('Recepción'!$E$5,$E$1:$H$1,0)),0))</f>
        <v/>
      </c>
      <c r="J262" s="33">
        <f>IF(I262=0,0,IF(A262="S",1,IF(OR(B262='Recepción'!$E$13,B262='Recepción'!$E$14,B262='Recepción'!$E$15,AND(B262="Contacto con líquido",'Recepción'!$B$32&lt;&gt;""),AND(B262="Golpe / Caída",'Recepción'!$B$31&lt;&gt;""),AND(B262="No enciende",'Recepción'!$C$34&lt;&gt;"")),1,0)))</f>
        <v/>
      </c>
      <c r="K262" s="33">
        <f>IF(J262=1,COUNTIF($J$2:J262,1),0)</f>
        <v/>
      </c>
    </row>
    <row r="263">
      <c r="I263" s="33">
        <f>IF(C263="",0,IFERROR(INDEX($E263:$H263,MATCH('Recepción'!$E$5,$E$1:$H$1,0)),0))</f>
        <v/>
      </c>
      <c r="J263" s="33">
        <f>IF(I263=0,0,IF(A263="S",1,IF(OR(B263='Recepción'!$E$13,B263='Recepción'!$E$14,B263='Recepción'!$E$15,AND(B263="Contacto con líquido",'Recepción'!$B$32&lt;&gt;""),AND(B263="Golpe / Caída",'Recepción'!$B$31&lt;&gt;""),AND(B263="No enciende",'Recepción'!$C$34&lt;&gt;"")),1,0)))</f>
        <v/>
      </c>
      <c r="K263" s="33">
        <f>IF(J263=1,COUNTIF($J$2:J263,1),0)</f>
        <v/>
      </c>
    </row>
    <row r="264">
      <c r="I264" s="33">
        <f>IF(C264="",0,IFERROR(INDEX($E264:$H264,MATCH('Recepción'!$E$5,$E$1:$H$1,0)),0))</f>
        <v/>
      </c>
      <c r="J264" s="33">
        <f>IF(I264=0,0,IF(A264="S",1,IF(OR(B264='Recepción'!$E$13,B264='Recepción'!$E$14,B264='Recepción'!$E$15,AND(B264="Contacto con líquido",'Recepción'!$B$32&lt;&gt;""),AND(B264="Golpe / Caída",'Recepción'!$B$31&lt;&gt;""),AND(B264="No enciende",'Recepción'!$C$34&lt;&gt;"")),1,0)))</f>
        <v/>
      </c>
      <c r="K264" s="33">
        <f>IF(J264=1,COUNTIF($J$2:J264,1),0)</f>
        <v/>
      </c>
    </row>
    <row r="265">
      <c r="I265" s="33">
        <f>IF(C265="",0,IFERROR(INDEX($E265:$H265,MATCH('Recepción'!$E$5,$E$1:$H$1,0)),0))</f>
        <v/>
      </c>
      <c r="J265" s="33">
        <f>IF(I265=0,0,IF(A265="S",1,IF(OR(B265='Recepción'!$E$13,B265='Recepción'!$E$14,B265='Recepción'!$E$15,AND(B265="Contacto con líquido",'Recepción'!$B$32&lt;&gt;""),AND(B265="Golpe / Caída",'Recepción'!$B$31&lt;&gt;""),AND(B265="No enciende",'Recepción'!$C$34&lt;&gt;"")),1,0)))</f>
        <v/>
      </c>
      <c r="K265" s="33">
        <f>IF(J265=1,COUNTIF($J$2:J265,1),0)</f>
        <v/>
      </c>
    </row>
    <row r="266">
      <c r="I266" s="33">
        <f>IF(C266="",0,IFERROR(INDEX($E266:$H266,MATCH('Recepción'!$E$5,$E$1:$H$1,0)),0))</f>
        <v/>
      </c>
      <c r="J266" s="33">
        <f>IF(I266=0,0,IF(A266="S",1,IF(OR(B266='Recepción'!$E$13,B266='Recepción'!$E$14,B266='Recepción'!$E$15,AND(B266="Contacto con líquido",'Recepción'!$B$32&lt;&gt;""),AND(B266="Golpe / Caída",'Recepción'!$B$31&lt;&gt;""),AND(B266="No enciende",'Recepción'!$C$34&lt;&gt;"")),1,0)))</f>
        <v/>
      </c>
      <c r="K266" s="33">
        <f>IF(J266=1,COUNTIF($J$2:J266,1),0)</f>
        <v/>
      </c>
    </row>
    <row r="267">
      <c r="I267" s="33">
        <f>IF(C267="",0,IFERROR(INDEX($E267:$H267,MATCH('Recepción'!$E$5,$E$1:$H$1,0)),0))</f>
        <v/>
      </c>
      <c r="J267" s="33">
        <f>IF(I267=0,0,IF(A267="S",1,IF(OR(B267='Recepción'!$E$13,B267='Recepción'!$E$14,B267='Recepción'!$E$15,AND(B267="Contacto con líquido",'Recepción'!$B$32&lt;&gt;""),AND(B267="Golpe / Caída",'Recepción'!$B$31&lt;&gt;""),AND(B267="No enciende",'Recepción'!$C$34&lt;&gt;"")),1,0)))</f>
        <v/>
      </c>
      <c r="K267" s="33">
        <f>IF(J267=1,COUNTIF($J$2:J267,1),0)</f>
        <v/>
      </c>
    </row>
    <row r="268">
      <c r="I268" s="33">
        <f>IF(C268="",0,IFERROR(INDEX($E268:$H268,MATCH('Recepción'!$E$5,$E$1:$H$1,0)),0))</f>
        <v/>
      </c>
      <c r="J268" s="33">
        <f>IF(I268=0,0,IF(A268="S",1,IF(OR(B268='Recepción'!$E$13,B268='Recepción'!$E$14,B268='Recepción'!$E$15,AND(B268="Contacto con líquido",'Recepción'!$B$32&lt;&gt;""),AND(B268="Golpe / Caída",'Recepción'!$B$31&lt;&gt;""),AND(B268="No enciende",'Recepción'!$C$34&lt;&gt;"")),1,0)))</f>
        <v/>
      </c>
      <c r="K268" s="33">
        <f>IF(J268=1,COUNTIF($J$2:J268,1),0)</f>
        <v/>
      </c>
    </row>
    <row r="269">
      <c r="I269" s="33">
        <f>IF(C269="",0,IFERROR(INDEX($E269:$H269,MATCH('Recepción'!$E$5,$E$1:$H$1,0)),0))</f>
        <v/>
      </c>
      <c r="J269" s="33">
        <f>IF(I269=0,0,IF(A269="S",1,IF(OR(B269='Recepción'!$E$13,B269='Recepción'!$E$14,B269='Recepción'!$E$15,AND(B269="Contacto con líquido",'Recepción'!$B$32&lt;&gt;""),AND(B269="Golpe / Caída",'Recepción'!$B$31&lt;&gt;""),AND(B269="No enciende",'Recepción'!$C$34&lt;&gt;"")),1,0)))</f>
        <v/>
      </c>
      <c r="K269" s="33">
        <f>IF(J269=1,COUNTIF($J$2:J269,1),0)</f>
        <v/>
      </c>
    </row>
    <row r="270">
      <c r="I270" s="33">
        <f>IF(C270="",0,IFERROR(INDEX($E270:$H270,MATCH('Recepción'!$E$5,$E$1:$H$1,0)),0))</f>
        <v/>
      </c>
      <c r="J270" s="33">
        <f>IF(I270=0,0,IF(A270="S",1,IF(OR(B270='Recepción'!$E$13,B270='Recepción'!$E$14,B270='Recepción'!$E$15,AND(B270="Contacto con líquido",'Recepción'!$B$32&lt;&gt;""),AND(B270="Golpe / Caída",'Recepción'!$B$31&lt;&gt;""),AND(B270="No enciende",'Recepción'!$C$34&lt;&gt;"")),1,0)))</f>
        <v/>
      </c>
      <c r="K270" s="33">
        <f>IF(J270=1,COUNTIF($J$2:J270,1),0)</f>
        <v/>
      </c>
    </row>
    <row r="271">
      <c r="I271" s="33">
        <f>IF(C271="",0,IFERROR(INDEX($E271:$H271,MATCH('Recepción'!$E$5,$E$1:$H$1,0)),0))</f>
        <v/>
      </c>
      <c r="J271" s="33">
        <f>IF(I271=0,0,IF(A271="S",1,IF(OR(B271='Recepción'!$E$13,B271='Recepción'!$E$14,B271='Recepción'!$E$15,AND(B271="Contacto con líquido",'Recepción'!$B$32&lt;&gt;""),AND(B271="Golpe / Caída",'Recepción'!$B$31&lt;&gt;""),AND(B271="No enciende",'Recepción'!$C$34&lt;&gt;"")),1,0)))</f>
        <v/>
      </c>
      <c r="K271" s="33">
        <f>IF(J271=1,COUNTIF($J$2:J271,1),0)</f>
        <v/>
      </c>
    </row>
    <row r="272">
      <c r="I272" s="33">
        <f>IF(C272="",0,IFERROR(INDEX($E272:$H272,MATCH('Recepción'!$E$5,$E$1:$H$1,0)),0))</f>
        <v/>
      </c>
      <c r="J272" s="33">
        <f>IF(I272=0,0,IF(A272="S",1,IF(OR(B272='Recepción'!$E$13,B272='Recepción'!$E$14,B272='Recepción'!$E$15,AND(B272="Contacto con líquido",'Recepción'!$B$32&lt;&gt;""),AND(B272="Golpe / Caída",'Recepción'!$B$31&lt;&gt;""),AND(B272="No enciende",'Recepción'!$C$34&lt;&gt;"")),1,0)))</f>
        <v/>
      </c>
      <c r="K272" s="33">
        <f>IF(J272=1,COUNTIF($J$2:J272,1),0)</f>
        <v/>
      </c>
    </row>
    <row r="273">
      <c r="I273" s="33">
        <f>IF(C273="",0,IFERROR(INDEX($E273:$H273,MATCH('Recepción'!$E$5,$E$1:$H$1,0)),0))</f>
        <v/>
      </c>
      <c r="J273" s="33">
        <f>IF(I273=0,0,IF(A273="S",1,IF(OR(B273='Recepción'!$E$13,B273='Recepción'!$E$14,B273='Recepción'!$E$15,AND(B273="Contacto con líquido",'Recepción'!$B$32&lt;&gt;""),AND(B273="Golpe / Caída",'Recepción'!$B$31&lt;&gt;""),AND(B273="No enciende",'Recepción'!$C$34&lt;&gt;"")),1,0)))</f>
        <v/>
      </c>
      <c r="K273" s="33">
        <f>IF(J273=1,COUNTIF($J$2:J273,1),0)</f>
        <v/>
      </c>
    </row>
    <row r="274">
      <c r="I274" s="33">
        <f>IF(C274="",0,IFERROR(INDEX($E274:$H274,MATCH('Recepción'!$E$5,$E$1:$H$1,0)),0))</f>
        <v/>
      </c>
      <c r="J274" s="33">
        <f>IF(I274=0,0,IF(A274="S",1,IF(OR(B274='Recepción'!$E$13,B274='Recepción'!$E$14,B274='Recepción'!$E$15,AND(B274="Contacto con líquido",'Recepción'!$B$32&lt;&gt;""),AND(B274="Golpe / Caída",'Recepción'!$B$31&lt;&gt;""),AND(B274="No enciende",'Recepción'!$C$34&lt;&gt;"")),1,0)))</f>
        <v/>
      </c>
      <c r="K274" s="33">
        <f>IF(J274=1,COUNTIF($J$2:J274,1),0)</f>
        <v/>
      </c>
    </row>
    <row r="275">
      <c r="I275" s="33">
        <f>IF(C275="",0,IFERROR(INDEX($E275:$H275,MATCH('Recepción'!$E$5,$E$1:$H$1,0)),0))</f>
        <v/>
      </c>
      <c r="J275" s="33">
        <f>IF(I275=0,0,IF(A275="S",1,IF(OR(B275='Recepción'!$E$13,B275='Recepción'!$E$14,B275='Recepción'!$E$15,AND(B275="Contacto con líquido",'Recepción'!$B$32&lt;&gt;""),AND(B275="Golpe / Caída",'Recepción'!$B$31&lt;&gt;""),AND(B275="No enciende",'Recepción'!$C$34&lt;&gt;"")),1,0)))</f>
        <v/>
      </c>
      <c r="K275" s="33">
        <f>IF(J275=1,COUNTIF($J$2:J275,1),0)</f>
        <v/>
      </c>
    </row>
    <row r="276">
      <c r="I276" s="33">
        <f>IF(C276="",0,IFERROR(INDEX($E276:$H276,MATCH('Recepción'!$E$5,$E$1:$H$1,0)),0))</f>
        <v/>
      </c>
      <c r="J276" s="33">
        <f>IF(I276=0,0,IF(A276="S",1,IF(OR(B276='Recepción'!$E$13,B276='Recepción'!$E$14,B276='Recepción'!$E$15,AND(B276="Contacto con líquido",'Recepción'!$B$32&lt;&gt;""),AND(B276="Golpe / Caída",'Recepción'!$B$31&lt;&gt;""),AND(B276="No enciende",'Recepción'!$C$34&lt;&gt;"")),1,0)))</f>
        <v/>
      </c>
      <c r="K276" s="33">
        <f>IF(J276=1,COUNTIF($J$2:J276,1),0)</f>
        <v/>
      </c>
    </row>
    <row r="277">
      <c r="I277" s="33">
        <f>IF(C277="",0,IFERROR(INDEX($E277:$H277,MATCH('Recepción'!$E$5,$E$1:$H$1,0)),0))</f>
        <v/>
      </c>
      <c r="J277" s="33">
        <f>IF(I277=0,0,IF(A277="S",1,IF(OR(B277='Recepción'!$E$13,B277='Recepción'!$E$14,B277='Recepción'!$E$15,AND(B277="Contacto con líquido",'Recepción'!$B$32&lt;&gt;""),AND(B277="Golpe / Caída",'Recepción'!$B$31&lt;&gt;""),AND(B277="No enciende",'Recepción'!$C$34&lt;&gt;"")),1,0)))</f>
        <v/>
      </c>
      <c r="K277" s="33">
        <f>IF(J277=1,COUNTIF($J$2:J277,1),0)</f>
        <v/>
      </c>
    </row>
    <row r="278">
      <c r="I278" s="33">
        <f>IF(C278="",0,IFERROR(INDEX($E278:$H278,MATCH('Recepción'!$E$5,$E$1:$H$1,0)),0))</f>
        <v/>
      </c>
      <c r="J278" s="33">
        <f>IF(I278=0,0,IF(A278="S",1,IF(OR(B278='Recepción'!$E$13,B278='Recepción'!$E$14,B278='Recepción'!$E$15,AND(B278="Contacto con líquido",'Recepción'!$B$32&lt;&gt;""),AND(B278="Golpe / Caída",'Recepción'!$B$31&lt;&gt;""),AND(B278="No enciende",'Recepción'!$C$34&lt;&gt;"")),1,0)))</f>
        <v/>
      </c>
      <c r="K278" s="33">
        <f>IF(J278=1,COUNTIF($J$2:J278,1),0)</f>
        <v/>
      </c>
    </row>
    <row r="279">
      <c r="I279" s="33">
        <f>IF(C279="",0,IFERROR(INDEX($E279:$H279,MATCH('Recepción'!$E$5,$E$1:$H$1,0)),0))</f>
        <v/>
      </c>
      <c r="J279" s="33">
        <f>IF(I279=0,0,IF(A279="S",1,IF(OR(B279='Recepción'!$E$13,B279='Recepción'!$E$14,B279='Recepción'!$E$15,AND(B279="Contacto con líquido",'Recepción'!$B$32&lt;&gt;""),AND(B279="Golpe / Caída",'Recepción'!$B$31&lt;&gt;""),AND(B279="No enciende",'Recepción'!$C$34&lt;&gt;"")),1,0)))</f>
        <v/>
      </c>
      <c r="K279" s="33">
        <f>IF(J279=1,COUNTIF($J$2:J279,1),0)</f>
        <v/>
      </c>
    </row>
    <row r="280">
      <c r="I280" s="33">
        <f>IF(C280="",0,IFERROR(INDEX($E280:$H280,MATCH('Recepción'!$E$5,$E$1:$H$1,0)),0))</f>
        <v/>
      </c>
      <c r="J280" s="33">
        <f>IF(I280=0,0,IF(A280="S",1,IF(OR(B280='Recepción'!$E$13,B280='Recepción'!$E$14,B280='Recepción'!$E$15,AND(B280="Contacto con líquido",'Recepción'!$B$32&lt;&gt;""),AND(B280="Golpe / Caída",'Recepción'!$B$31&lt;&gt;""),AND(B280="No enciende",'Recepción'!$C$34&lt;&gt;"")),1,0)))</f>
        <v/>
      </c>
      <c r="K280" s="33">
        <f>IF(J280=1,COUNTIF($J$2:J280,1),0)</f>
        <v/>
      </c>
    </row>
    <row r="281">
      <c r="I281" s="33">
        <f>IF(C281="",0,IFERROR(INDEX($E281:$H281,MATCH('Recepción'!$E$5,$E$1:$H$1,0)),0))</f>
        <v/>
      </c>
      <c r="J281" s="33">
        <f>IF(I281=0,0,IF(A281="S",1,IF(OR(B281='Recepción'!$E$13,B281='Recepción'!$E$14,B281='Recepción'!$E$15,AND(B281="Contacto con líquido",'Recepción'!$B$32&lt;&gt;""),AND(B281="Golpe / Caída",'Recepción'!$B$31&lt;&gt;""),AND(B281="No enciende",'Recepción'!$C$34&lt;&gt;"")),1,0)))</f>
        <v/>
      </c>
      <c r="K281" s="33">
        <f>IF(J281=1,COUNTIF($J$2:J281,1),0)</f>
        <v/>
      </c>
    </row>
    <row r="282">
      <c r="I282" s="33">
        <f>IF(C282="",0,IFERROR(INDEX($E282:$H282,MATCH('Recepción'!$E$5,$E$1:$H$1,0)),0))</f>
        <v/>
      </c>
      <c r="J282" s="33">
        <f>IF(I282=0,0,IF(A282="S",1,IF(OR(B282='Recepción'!$E$13,B282='Recepción'!$E$14,B282='Recepción'!$E$15,AND(B282="Contacto con líquido",'Recepción'!$B$32&lt;&gt;""),AND(B282="Golpe / Caída",'Recepción'!$B$31&lt;&gt;""),AND(B282="No enciende",'Recepción'!$C$34&lt;&gt;"")),1,0)))</f>
        <v/>
      </c>
      <c r="K282" s="33">
        <f>IF(J282=1,COUNTIF($J$2:J282,1),0)</f>
        <v/>
      </c>
    </row>
    <row r="283">
      <c r="I283" s="33">
        <f>IF(C283="",0,IFERROR(INDEX($E283:$H283,MATCH('Recepción'!$E$5,$E$1:$H$1,0)),0))</f>
        <v/>
      </c>
      <c r="J283" s="33">
        <f>IF(I283=0,0,IF(A283="S",1,IF(OR(B283='Recepción'!$E$13,B283='Recepción'!$E$14,B283='Recepción'!$E$15,AND(B283="Contacto con líquido",'Recepción'!$B$32&lt;&gt;""),AND(B283="Golpe / Caída",'Recepción'!$B$31&lt;&gt;""),AND(B283="No enciende",'Recepción'!$C$34&lt;&gt;"")),1,0)))</f>
        <v/>
      </c>
      <c r="K283" s="33">
        <f>IF(J283=1,COUNTIF($J$2:J283,1),0)</f>
        <v/>
      </c>
    </row>
    <row r="284">
      <c r="I284" s="33">
        <f>IF(C284="",0,IFERROR(INDEX($E284:$H284,MATCH('Recepción'!$E$5,$E$1:$H$1,0)),0))</f>
        <v/>
      </c>
      <c r="J284" s="33">
        <f>IF(I284=0,0,IF(A284="S",1,IF(OR(B284='Recepción'!$E$13,B284='Recepción'!$E$14,B284='Recepción'!$E$15,AND(B284="Contacto con líquido",'Recepción'!$B$32&lt;&gt;""),AND(B284="Golpe / Caída",'Recepción'!$B$31&lt;&gt;""),AND(B284="No enciende",'Recepción'!$C$34&lt;&gt;"")),1,0)))</f>
        <v/>
      </c>
      <c r="K284" s="33">
        <f>IF(J284=1,COUNTIF($J$2:J284,1),0)</f>
        <v/>
      </c>
    </row>
    <row r="285">
      <c r="I285" s="33">
        <f>IF(C285="",0,IFERROR(INDEX($E285:$H285,MATCH('Recepción'!$E$5,$E$1:$H$1,0)),0))</f>
        <v/>
      </c>
      <c r="J285" s="33">
        <f>IF(I285=0,0,IF(A285="S",1,IF(OR(B285='Recepción'!$E$13,B285='Recepción'!$E$14,B285='Recepción'!$E$15,AND(B285="Contacto con líquido",'Recepción'!$B$32&lt;&gt;""),AND(B285="Golpe / Caída",'Recepción'!$B$31&lt;&gt;""),AND(B285="No enciende",'Recepción'!$C$34&lt;&gt;"")),1,0)))</f>
        <v/>
      </c>
      <c r="K285" s="33">
        <f>IF(J285=1,COUNTIF($J$2:J285,1),0)</f>
        <v/>
      </c>
    </row>
    <row r="286">
      <c r="I286" s="33">
        <f>IF(C286="",0,IFERROR(INDEX($E286:$H286,MATCH('Recepción'!$E$5,$E$1:$H$1,0)),0))</f>
        <v/>
      </c>
      <c r="J286" s="33">
        <f>IF(I286=0,0,IF(A286="S",1,IF(OR(B286='Recepción'!$E$13,B286='Recepción'!$E$14,B286='Recepción'!$E$15,AND(B286="Contacto con líquido",'Recepción'!$B$32&lt;&gt;""),AND(B286="Golpe / Caída",'Recepción'!$B$31&lt;&gt;""),AND(B286="No enciende",'Recepción'!$C$34&lt;&gt;"")),1,0)))</f>
        <v/>
      </c>
      <c r="K286" s="33">
        <f>IF(J286=1,COUNTIF($J$2:J286,1),0)</f>
        <v/>
      </c>
    </row>
    <row r="287">
      <c r="I287" s="33">
        <f>IF(C287="",0,IFERROR(INDEX($E287:$H287,MATCH('Recepción'!$E$5,$E$1:$H$1,0)),0))</f>
        <v/>
      </c>
      <c r="J287" s="33">
        <f>IF(I287=0,0,IF(A287="S",1,IF(OR(B287='Recepción'!$E$13,B287='Recepción'!$E$14,B287='Recepción'!$E$15,AND(B287="Contacto con líquido",'Recepción'!$B$32&lt;&gt;""),AND(B287="Golpe / Caída",'Recepción'!$B$31&lt;&gt;""),AND(B287="No enciende",'Recepción'!$C$34&lt;&gt;"")),1,0)))</f>
        <v/>
      </c>
      <c r="K287" s="33">
        <f>IF(J287=1,COUNTIF($J$2:J287,1),0)</f>
        <v/>
      </c>
    </row>
    <row r="288">
      <c r="I288" s="33">
        <f>IF(C288="",0,IFERROR(INDEX($E288:$H288,MATCH('Recepción'!$E$5,$E$1:$H$1,0)),0))</f>
        <v/>
      </c>
      <c r="J288" s="33">
        <f>IF(I288=0,0,IF(A288="S",1,IF(OR(B288='Recepción'!$E$13,B288='Recepción'!$E$14,B288='Recepción'!$E$15,AND(B288="Contacto con líquido",'Recepción'!$B$32&lt;&gt;""),AND(B288="Golpe / Caída",'Recepción'!$B$31&lt;&gt;""),AND(B288="No enciende",'Recepción'!$C$34&lt;&gt;"")),1,0)))</f>
        <v/>
      </c>
      <c r="K288" s="33">
        <f>IF(J288=1,COUNTIF($J$2:J288,1),0)</f>
        <v/>
      </c>
    </row>
    <row r="289">
      <c r="I289" s="33">
        <f>IF(C289="",0,IFERROR(INDEX($E289:$H289,MATCH('Recepción'!$E$5,$E$1:$H$1,0)),0))</f>
        <v/>
      </c>
      <c r="J289" s="33">
        <f>IF(I289=0,0,IF(A289="S",1,IF(OR(B289='Recepción'!$E$13,B289='Recepción'!$E$14,B289='Recepción'!$E$15,AND(B289="Contacto con líquido",'Recepción'!$B$32&lt;&gt;""),AND(B289="Golpe / Caída",'Recepción'!$B$31&lt;&gt;""),AND(B289="No enciende",'Recepción'!$C$34&lt;&gt;"")),1,0)))</f>
        <v/>
      </c>
      <c r="K289" s="33">
        <f>IF(J289=1,COUNTIF($J$2:J289,1),0)</f>
        <v/>
      </c>
    </row>
    <row r="290">
      <c r="I290" s="33">
        <f>IF(C290="",0,IFERROR(INDEX($E290:$H290,MATCH('Recepción'!$E$5,$E$1:$H$1,0)),0))</f>
        <v/>
      </c>
      <c r="J290" s="33">
        <f>IF(I290=0,0,IF(A290="S",1,IF(OR(B290='Recepción'!$E$13,B290='Recepción'!$E$14,B290='Recepción'!$E$15,AND(B290="Contacto con líquido",'Recepción'!$B$32&lt;&gt;""),AND(B290="Golpe / Caída",'Recepción'!$B$31&lt;&gt;""),AND(B290="No enciende",'Recepción'!$C$34&lt;&gt;"")),1,0)))</f>
        <v/>
      </c>
      <c r="K290" s="33">
        <f>IF(J290=1,COUNTIF($J$2:J290,1),0)</f>
        <v/>
      </c>
    </row>
    <row r="291">
      <c r="I291" s="33">
        <f>IF(C291="",0,IFERROR(INDEX($E291:$H291,MATCH('Recepción'!$E$5,$E$1:$H$1,0)),0))</f>
        <v/>
      </c>
      <c r="J291" s="33">
        <f>IF(I291=0,0,IF(A291="S",1,IF(OR(B291='Recepción'!$E$13,B291='Recepción'!$E$14,B291='Recepción'!$E$15,AND(B291="Contacto con líquido",'Recepción'!$B$32&lt;&gt;""),AND(B291="Golpe / Caída",'Recepción'!$B$31&lt;&gt;""),AND(B291="No enciende",'Recepción'!$C$34&lt;&gt;"")),1,0)))</f>
        <v/>
      </c>
      <c r="K291" s="33">
        <f>IF(J291=1,COUNTIF($J$2:J291,1),0)</f>
        <v/>
      </c>
    </row>
    <row r="292">
      <c r="I292" s="33">
        <f>IF(C292="",0,IFERROR(INDEX($E292:$H292,MATCH('Recepción'!$E$5,$E$1:$H$1,0)),0))</f>
        <v/>
      </c>
      <c r="J292" s="33">
        <f>IF(I292=0,0,IF(A292="S",1,IF(OR(B292='Recepción'!$E$13,B292='Recepción'!$E$14,B292='Recepción'!$E$15,AND(B292="Contacto con líquido",'Recepción'!$B$32&lt;&gt;""),AND(B292="Golpe / Caída",'Recepción'!$B$31&lt;&gt;""),AND(B292="No enciende",'Recepción'!$C$34&lt;&gt;"")),1,0)))</f>
        <v/>
      </c>
      <c r="K292" s="33">
        <f>IF(J292=1,COUNTIF($J$2:J292,1),0)</f>
        <v/>
      </c>
    </row>
    <row r="293">
      <c r="I293" s="33">
        <f>IF(C293="",0,IFERROR(INDEX($E293:$H293,MATCH('Recepción'!$E$5,$E$1:$H$1,0)),0))</f>
        <v/>
      </c>
      <c r="J293" s="33">
        <f>IF(I293=0,0,IF(A293="S",1,IF(OR(B293='Recepción'!$E$13,B293='Recepción'!$E$14,B293='Recepción'!$E$15,AND(B293="Contacto con líquido",'Recepción'!$B$32&lt;&gt;""),AND(B293="Golpe / Caída",'Recepción'!$B$31&lt;&gt;""),AND(B293="No enciende",'Recepción'!$C$34&lt;&gt;"")),1,0)))</f>
        <v/>
      </c>
      <c r="K293" s="33">
        <f>IF(J293=1,COUNTIF($J$2:J293,1),0)</f>
        <v/>
      </c>
    </row>
    <row r="294">
      <c r="I294" s="33">
        <f>IF(C294="",0,IFERROR(INDEX($E294:$H294,MATCH('Recepción'!$E$5,$E$1:$H$1,0)),0))</f>
        <v/>
      </c>
      <c r="J294" s="33">
        <f>IF(I294=0,0,IF(A294="S",1,IF(OR(B294='Recepción'!$E$13,B294='Recepción'!$E$14,B294='Recepción'!$E$15,AND(B294="Contacto con líquido",'Recepción'!$B$32&lt;&gt;""),AND(B294="Golpe / Caída",'Recepción'!$B$31&lt;&gt;""),AND(B294="No enciende",'Recepción'!$C$34&lt;&gt;"")),1,0)))</f>
        <v/>
      </c>
      <c r="K294" s="33">
        <f>IF(J294=1,COUNTIF($J$2:J294,1),0)</f>
        <v/>
      </c>
    </row>
    <row r="295">
      <c r="I295" s="33">
        <f>IF(C295="",0,IFERROR(INDEX($E295:$H295,MATCH('Recepción'!$E$5,$E$1:$H$1,0)),0))</f>
        <v/>
      </c>
      <c r="J295" s="33">
        <f>IF(I295=0,0,IF(A295="S",1,IF(OR(B295='Recepción'!$E$13,B295='Recepción'!$E$14,B295='Recepción'!$E$15,AND(B295="Contacto con líquido",'Recepción'!$B$32&lt;&gt;""),AND(B295="Golpe / Caída",'Recepción'!$B$31&lt;&gt;""),AND(B295="No enciende",'Recepción'!$C$34&lt;&gt;"")),1,0)))</f>
        <v/>
      </c>
      <c r="K295" s="33">
        <f>IF(J295=1,COUNTIF($J$2:J295,1),0)</f>
        <v/>
      </c>
    </row>
    <row r="296">
      <c r="I296" s="33">
        <f>IF(C296="",0,IFERROR(INDEX($E296:$H296,MATCH('Recepción'!$E$5,$E$1:$H$1,0)),0))</f>
        <v/>
      </c>
      <c r="J296" s="33">
        <f>IF(I296=0,0,IF(A296="S",1,IF(OR(B296='Recepción'!$E$13,B296='Recepción'!$E$14,B296='Recepción'!$E$15,AND(B296="Contacto con líquido",'Recepción'!$B$32&lt;&gt;""),AND(B296="Golpe / Caída",'Recepción'!$B$31&lt;&gt;""),AND(B296="No enciende",'Recepción'!$C$34&lt;&gt;"")),1,0)))</f>
        <v/>
      </c>
      <c r="K296" s="33">
        <f>IF(J296=1,COUNTIF($J$2:J296,1),0)</f>
        <v/>
      </c>
    </row>
    <row r="297">
      <c r="I297" s="33">
        <f>IF(C297="",0,IFERROR(INDEX($E297:$H297,MATCH('Recepción'!$E$5,$E$1:$H$1,0)),0))</f>
        <v/>
      </c>
      <c r="J297" s="33">
        <f>IF(I297=0,0,IF(A297="S",1,IF(OR(B297='Recepción'!$E$13,B297='Recepción'!$E$14,B297='Recepción'!$E$15,AND(B297="Contacto con líquido",'Recepción'!$B$32&lt;&gt;""),AND(B297="Golpe / Caída",'Recepción'!$B$31&lt;&gt;""),AND(B297="No enciende",'Recepción'!$C$34&lt;&gt;"")),1,0)))</f>
        <v/>
      </c>
      <c r="K297" s="33">
        <f>IF(J297=1,COUNTIF($J$2:J297,1),0)</f>
        <v/>
      </c>
    </row>
    <row r="298">
      <c r="I298" s="33">
        <f>IF(C298="",0,IFERROR(INDEX($E298:$H298,MATCH('Recepción'!$E$5,$E$1:$H$1,0)),0))</f>
        <v/>
      </c>
      <c r="J298" s="33">
        <f>IF(I298=0,0,IF(A298="S",1,IF(OR(B298='Recepción'!$E$13,B298='Recepción'!$E$14,B298='Recepción'!$E$15,AND(B298="Contacto con líquido",'Recepción'!$B$32&lt;&gt;""),AND(B298="Golpe / Caída",'Recepción'!$B$31&lt;&gt;""),AND(B298="No enciende",'Recepción'!$C$34&lt;&gt;"")),1,0)))</f>
        <v/>
      </c>
      <c r="K298" s="33">
        <f>IF(J298=1,COUNTIF($J$2:J298,1),0)</f>
        <v/>
      </c>
    </row>
    <row r="299">
      <c r="I299" s="33">
        <f>IF(C299="",0,IFERROR(INDEX($E299:$H299,MATCH('Recepción'!$E$5,$E$1:$H$1,0)),0))</f>
        <v/>
      </c>
      <c r="J299" s="33">
        <f>IF(I299=0,0,IF(A299="S",1,IF(OR(B299='Recepción'!$E$13,B299='Recepción'!$E$14,B299='Recepción'!$E$15,AND(B299="Contacto con líquido",'Recepción'!$B$32&lt;&gt;""),AND(B299="Golpe / Caída",'Recepción'!$B$31&lt;&gt;""),AND(B299="No enciende",'Recepción'!$C$34&lt;&gt;"")),1,0)))</f>
        <v/>
      </c>
      <c r="K299" s="33">
        <f>IF(J299=1,COUNTIF($J$2:J299,1),0)</f>
        <v/>
      </c>
    </row>
    <row r="300">
      <c r="I300" s="33">
        <f>IF(C300="",0,IFERROR(INDEX($E300:$H300,MATCH('Recepción'!$E$5,$E$1:$H$1,0)),0))</f>
        <v/>
      </c>
      <c r="J300" s="33">
        <f>IF(I300=0,0,IF(A300="S",1,IF(OR(B300='Recepción'!$E$13,B300='Recepción'!$E$14,B300='Recepción'!$E$15,AND(B300="Contacto con líquido",'Recepción'!$B$32&lt;&gt;""),AND(B300="Golpe / Caída",'Recepción'!$B$31&lt;&gt;""),AND(B300="No enciende",'Recepción'!$C$34&lt;&gt;"")),1,0)))</f>
        <v/>
      </c>
      <c r="K300" s="33">
        <f>IF(J300=1,COUNTIF($J$2:J300,1),0)</f>
        <v/>
      </c>
    </row>
    <row r="301">
      <c r="I301" s="33">
        <f>IF(C301="",0,IFERROR(INDEX($E301:$H301,MATCH('Recepción'!$E$5,$E$1:$H$1,0)),0))</f>
        <v/>
      </c>
      <c r="J301" s="33">
        <f>IF(I301=0,0,IF(A301="S",1,IF(OR(B301='Recepción'!$E$13,B301='Recepción'!$E$14,B301='Recepción'!$E$15,AND(B301="Contacto con líquido",'Recepción'!$B$32&lt;&gt;""),AND(B301="Golpe / Caída",'Recepción'!$B$31&lt;&gt;""),AND(B301="No enciende",'Recepción'!$C$34&lt;&gt;"")),1,0)))</f>
        <v/>
      </c>
      <c r="K301" s="33">
        <f>IF(J301=1,COUNTIF($J$2:J301,1),0)</f>
        <v/>
      </c>
    </row>
    <row r="302">
      <c r="I302" s="33">
        <f>IF(C302="",0,IFERROR(INDEX($E302:$H302,MATCH('Recepción'!$E$5,$E$1:$H$1,0)),0))</f>
        <v/>
      </c>
      <c r="J302" s="33">
        <f>IF(I302=0,0,IF(A302="S",1,IF(OR(B302='Recepción'!$E$13,B302='Recepción'!$E$14,B302='Recepción'!$E$15,AND(B302="Contacto con líquido",'Recepción'!$B$32&lt;&gt;""),AND(B302="Golpe / Caída",'Recepción'!$B$31&lt;&gt;""),AND(B302="No enciende",'Recepción'!$C$34&lt;&gt;"")),1,0)))</f>
        <v/>
      </c>
      <c r="K302" s="33">
        <f>IF(J302=1,COUNTIF($J$2:J302,1),0)</f>
        <v/>
      </c>
    </row>
    <row r="303">
      <c r="I303" s="33">
        <f>IF(C303="",0,IFERROR(INDEX($E303:$H303,MATCH('Recepción'!$E$5,$E$1:$H$1,0)),0))</f>
        <v/>
      </c>
      <c r="J303" s="33">
        <f>IF(I303=0,0,IF(A303="S",1,IF(OR(B303='Recepción'!$E$13,B303='Recepción'!$E$14,B303='Recepción'!$E$15,AND(B303="Contacto con líquido",'Recepción'!$B$32&lt;&gt;""),AND(B303="Golpe / Caída",'Recepción'!$B$31&lt;&gt;""),AND(B303="No enciende",'Recepción'!$C$34&lt;&gt;"")),1,0)))</f>
        <v/>
      </c>
      <c r="K303" s="33">
        <f>IF(J303=1,COUNTIF($J$2:J303,1),0)</f>
        <v/>
      </c>
    </row>
    <row r="304">
      <c r="I304" s="33">
        <f>IF(C304="",0,IFERROR(INDEX($E304:$H304,MATCH('Recepción'!$E$5,$E$1:$H$1,0)),0))</f>
        <v/>
      </c>
      <c r="J304" s="33">
        <f>IF(I304=0,0,IF(A304="S",1,IF(OR(B304='Recepción'!$E$13,B304='Recepción'!$E$14,B304='Recepción'!$E$15,AND(B304="Contacto con líquido",'Recepción'!$B$32&lt;&gt;""),AND(B304="Golpe / Caída",'Recepción'!$B$31&lt;&gt;""),AND(B304="No enciende",'Recepción'!$C$34&lt;&gt;"")),1,0)))</f>
        <v/>
      </c>
      <c r="K304" s="33">
        <f>IF(J304=1,COUNTIF($J$2:J304,1),0)</f>
        <v/>
      </c>
    </row>
    <row r="305">
      <c r="I305" s="33">
        <f>IF(C305="",0,IFERROR(INDEX($E305:$H305,MATCH('Recepción'!$E$5,$E$1:$H$1,0)),0))</f>
        <v/>
      </c>
      <c r="J305" s="33">
        <f>IF(I305=0,0,IF(A305="S",1,IF(OR(B305='Recepción'!$E$13,B305='Recepción'!$E$14,B305='Recepción'!$E$15,AND(B305="Contacto con líquido",'Recepción'!$B$32&lt;&gt;""),AND(B305="Golpe / Caída",'Recepción'!$B$31&lt;&gt;""),AND(B305="No enciende",'Recepción'!$C$34&lt;&gt;"")),1,0)))</f>
        <v/>
      </c>
      <c r="K305" s="33">
        <f>IF(J305=1,COUNTIF($J$2:J305,1),0)</f>
        <v/>
      </c>
    </row>
    <row r="306">
      <c r="I306" s="33">
        <f>IF(C306="",0,IFERROR(INDEX($E306:$H306,MATCH('Recepción'!$E$5,$E$1:$H$1,0)),0))</f>
        <v/>
      </c>
      <c r="J306" s="33">
        <f>IF(I306=0,0,IF(A306="S",1,IF(OR(B306='Recepción'!$E$13,B306='Recepción'!$E$14,B306='Recepción'!$E$15,AND(B306="Contacto con líquido",'Recepción'!$B$32&lt;&gt;""),AND(B306="Golpe / Caída",'Recepción'!$B$31&lt;&gt;""),AND(B306="No enciende",'Recepción'!$C$34&lt;&gt;"")),1,0)))</f>
        <v/>
      </c>
      <c r="K306" s="33">
        <f>IF(J306=1,COUNTIF($J$2:J306,1),0)</f>
        <v/>
      </c>
    </row>
    <row r="307">
      <c r="I307" s="33">
        <f>IF(C307="",0,IFERROR(INDEX($E307:$H307,MATCH('Recepción'!$E$5,$E$1:$H$1,0)),0))</f>
        <v/>
      </c>
      <c r="J307" s="33">
        <f>IF(I307=0,0,IF(A307="S",1,IF(OR(B307='Recepción'!$E$13,B307='Recepción'!$E$14,B307='Recepción'!$E$15,AND(B307="Contacto con líquido",'Recepción'!$B$32&lt;&gt;""),AND(B307="Golpe / Caída",'Recepción'!$B$31&lt;&gt;""),AND(B307="No enciende",'Recepción'!$C$34&lt;&gt;"")),1,0)))</f>
        <v/>
      </c>
      <c r="K307" s="33">
        <f>IF(J307=1,COUNTIF($J$2:J307,1),0)</f>
        <v/>
      </c>
    </row>
    <row r="308">
      <c r="I308" s="33">
        <f>IF(C308="",0,IFERROR(INDEX($E308:$H308,MATCH('Recepción'!$E$5,$E$1:$H$1,0)),0))</f>
        <v/>
      </c>
      <c r="J308" s="33">
        <f>IF(I308=0,0,IF(A308="S",1,IF(OR(B308='Recepción'!$E$13,B308='Recepción'!$E$14,B308='Recepción'!$E$15,AND(B308="Contacto con líquido",'Recepción'!$B$32&lt;&gt;""),AND(B308="Golpe / Caída",'Recepción'!$B$31&lt;&gt;""),AND(B308="No enciende",'Recepción'!$C$34&lt;&gt;"")),1,0)))</f>
        <v/>
      </c>
      <c r="K308" s="33">
        <f>IF(J308=1,COUNTIF($J$2:J308,1),0)</f>
        <v/>
      </c>
    </row>
    <row r="309">
      <c r="I309" s="33">
        <f>IF(C309="",0,IFERROR(INDEX($E309:$H309,MATCH('Recepción'!$E$5,$E$1:$H$1,0)),0))</f>
        <v/>
      </c>
      <c r="J309" s="33">
        <f>IF(I309=0,0,IF(A309="S",1,IF(OR(B309='Recepción'!$E$13,B309='Recepción'!$E$14,B309='Recepción'!$E$15,AND(B309="Contacto con líquido",'Recepción'!$B$32&lt;&gt;""),AND(B309="Golpe / Caída",'Recepción'!$B$31&lt;&gt;""),AND(B309="No enciende",'Recepción'!$C$34&lt;&gt;"")),1,0)))</f>
        <v/>
      </c>
      <c r="K309" s="33">
        <f>IF(J309=1,COUNTIF($J$2:J309,1),0)</f>
        <v/>
      </c>
    </row>
    <row r="310">
      <c r="I310" s="33">
        <f>IF(C310="",0,IFERROR(INDEX($E310:$H310,MATCH('Recepción'!$E$5,$E$1:$H$1,0)),0))</f>
        <v/>
      </c>
      <c r="J310" s="33">
        <f>IF(I310=0,0,IF(A310="S",1,IF(OR(B310='Recepción'!$E$13,B310='Recepción'!$E$14,B310='Recepción'!$E$15,AND(B310="Contacto con líquido",'Recepción'!$B$32&lt;&gt;""),AND(B310="Golpe / Caída",'Recepción'!$B$31&lt;&gt;""),AND(B310="No enciende",'Recepción'!$C$34&lt;&gt;"")),1,0)))</f>
        <v/>
      </c>
      <c r="K310" s="33">
        <f>IF(J310=1,COUNTIF($J$2:J310,1),0)</f>
        <v/>
      </c>
    </row>
    <row r="311">
      <c r="I311" s="33">
        <f>IF(C311="",0,IFERROR(INDEX($E311:$H311,MATCH('Recepción'!$E$5,$E$1:$H$1,0)),0))</f>
        <v/>
      </c>
      <c r="J311" s="33">
        <f>IF(I311=0,0,IF(A311="S",1,IF(OR(B311='Recepción'!$E$13,B311='Recepción'!$E$14,B311='Recepción'!$E$15,AND(B311="Contacto con líquido",'Recepción'!$B$32&lt;&gt;""),AND(B311="Golpe / Caída",'Recepción'!$B$31&lt;&gt;""),AND(B311="No enciende",'Recepción'!$C$34&lt;&gt;"")),1,0)))</f>
        <v/>
      </c>
      <c r="K311" s="33">
        <f>IF(J311=1,COUNTIF($J$2:J311,1),0)</f>
        <v/>
      </c>
    </row>
    <row r="312">
      <c r="I312" s="33">
        <f>IF(C312="",0,IFERROR(INDEX($E312:$H312,MATCH('Recepción'!$E$5,$E$1:$H$1,0)),0))</f>
        <v/>
      </c>
      <c r="J312" s="33">
        <f>IF(I312=0,0,IF(A312="S",1,IF(OR(B312='Recepción'!$E$13,B312='Recepción'!$E$14,B312='Recepción'!$E$15,AND(B312="Contacto con líquido",'Recepción'!$B$32&lt;&gt;""),AND(B312="Golpe / Caída",'Recepción'!$B$31&lt;&gt;""),AND(B312="No enciende",'Recepción'!$C$34&lt;&gt;"")),1,0)))</f>
        <v/>
      </c>
      <c r="K312" s="33">
        <f>IF(J312=1,COUNTIF($J$2:J312,1),0)</f>
        <v/>
      </c>
    </row>
    <row r="313">
      <c r="I313" s="33">
        <f>IF(C313="",0,IFERROR(INDEX($E313:$H313,MATCH('Recepción'!$E$5,$E$1:$H$1,0)),0))</f>
        <v/>
      </c>
      <c r="J313" s="33">
        <f>IF(I313=0,0,IF(A313="S",1,IF(OR(B313='Recepción'!$E$13,B313='Recepción'!$E$14,B313='Recepción'!$E$15,AND(B313="Contacto con líquido",'Recepción'!$B$32&lt;&gt;""),AND(B313="Golpe / Caída",'Recepción'!$B$31&lt;&gt;""),AND(B313="No enciende",'Recepción'!$C$34&lt;&gt;"")),1,0)))</f>
        <v/>
      </c>
      <c r="K313" s="33">
        <f>IF(J313=1,COUNTIF($J$2:J313,1),0)</f>
        <v/>
      </c>
    </row>
    <row r="314">
      <c r="I314" s="33">
        <f>IF(C314="",0,IFERROR(INDEX($E314:$H314,MATCH('Recepción'!$E$5,$E$1:$H$1,0)),0))</f>
        <v/>
      </c>
      <c r="J314" s="33">
        <f>IF(I314=0,0,IF(A314="S",1,IF(OR(B314='Recepción'!$E$13,B314='Recepción'!$E$14,B314='Recepción'!$E$15,AND(B314="Contacto con líquido",'Recepción'!$B$32&lt;&gt;""),AND(B314="Golpe / Caída",'Recepción'!$B$31&lt;&gt;""),AND(B314="No enciende",'Recepción'!$C$34&lt;&gt;"")),1,0)))</f>
        <v/>
      </c>
      <c r="K314" s="33">
        <f>IF(J314=1,COUNTIF($J$2:J314,1),0)</f>
        <v/>
      </c>
    </row>
    <row r="315">
      <c r="I315" s="33">
        <f>IF(C315="",0,IFERROR(INDEX($E315:$H315,MATCH('Recepción'!$E$5,$E$1:$H$1,0)),0))</f>
        <v/>
      </c>
      <c r="J315" s="33">
        <f>IF(I315=0,0,IF(A315="S",1,IF(OR(B315='Recepción'!$E$13,B315='Recepción'!$E$14,B315='Recepción'!$E$15,AND(B315="Contacto con líquido",'Recepción'!$B$32&lt;&gt;""),AND(B315="Golpe / Caída",'Recepción'!$B$31&lt;&gt;""),AND(B315="No enciende",'Recepción'!$C$34&lt;&gt;"")),1,0)))</f>
        <v/>
      </c>
      <c r="K315" s="33">
        <f>IF(J315=1,COUNTIF($J$2:J315,1),0)</f>
        <v/>
      </c>
    </row>
    <row r="316">
      <c r="I316" s="33">
        <f>IF(C316="",0,IFERROR(INDEX($E316:$H316,MATCH('Recepción'!$E$5,$E$1:$H$1,0)),0))</f>
        <v/>
      </c>
      <c r="J316" s="33">
        <f>IF(I316=0,0,IF(A316="S",1,IF(OR(B316='Recepción'!$E$13,B316='Recepción'!$E$14,B316='Recepción'!$E$15,AND(B316="Contacto con líquido",'Recepción'!$B$32&lt;&gt;""),AND(B316="Golpe / Caída",'Recepción'!$B$31&lt;&gt;""),AND(B316="No enciende",'Recepción'!$C$34&lt;&gt;"")),1,0)))</f>
        <v/>
      </c>
      <c r="K316" s="33">
        <f>IF(J316=1,COUNTIF($J$2:J316,1),0)</f>
        <v/>
      </c>
    </row>
    <row r="317">
      <c r="I317" s="33">
        <f>IF(C317="",0,IFERROR(INDEX($E317:$H317,MATCH('Recepción'!$E$5,$E$1:$H$1,0)),0))</f>
        <v/>
      </c>
      <c r="J317" s="33">
        <f>IF(I317=0,0,IF(A317="S",1,IF(OR(B317='Recepción'!$E$13,B317='Recepción'!$E$14,B317='Recepción'!$E$15,AND(B317="Contacto con líquido",'Recepción'!$B$32&lt;&gt;""),AND(B317="Golpe / Caída",'Recepción'!$B$31&lt;&gt;""),AND(B317="No enciende",'Recepción'!$C$34&lt;&gt;"")),1,0)))</f>
        <v/>
      </c>
      <c r="K317" s="33">
        <f>IF(J317=1,COUNTIF($J$2:J317,1),0)</f>
        <v/>
      </c>
    </row>
    <row r="318">
      <c r="I318" s="33">
        <f>IF(C318="",0,IFERROR(INDEX($E318:$H318,MATCH('Recepción'!$E$5,$E$1:$H$1,0)),0))</f>
        <v/>
      </c>
      <c r="J318" s="33">
        <f>IF(I318=0,0,IF(A318="S",1,IF(OR(B318='Recepción'!$E$13,B318='Recepción'!$E$14,B318='Recepción'!$E$15,AND(B318="Contacto con líquido",'Recepción'!$B$32&lt;&gt;""),AND(B318="Golpe / Caída",'Recepción'!$B$31&lt;&gt;""),AND(B318="No enciende",'Recepción'!$C$34&lt;&gt;"")),1,0)))</f>
        <v/>
      </c>
      <c r="K318" s="33">
        <f>IF(J318=1,COUNTIF($J$2:J318,1),0)</f>
        <v/>
      </c>
    </row>
    <row r="319">
      <c r="I319" s="33">
        <f>IF(C319="",0,IFERROR(INDEX($E319:$H319,MATCH('Recepción'!$E$5,$E$1:$H$1,0)),0))</f>
        <v/>
      </c>
      <c r="J319" s="33">
        <f>IF(I319=0,0,IF(A319="S",1,IF(OR(B319='Recepción'!$E$13,B319='Recepción'!$E$14,B319='Recepción'!$E$15,AND(B319="Contacto con líquido",'Recepción'!$B$32&lt;&gt;""),AND(B319="Golpe / Caída",'Recepción'!$B$31&lt;&gt;""),AND(B319="No enciende",'Recepción'!$C$34&lt;&gt;"")),1,0)))</f>
        <v/>
      </c>
      <c r="K319" s="33">
        <f>IF(J319=1,COUNTIF($J$2:J319,1),0)</f>
        <v/>
      </c>
    </row>
    <row r="320">
      <c r="I320" s="33">
        <f>IF(C320="",0,IFERROR(INDEX($E320:$H320,MATCH('Recepción'!$E$5,$E$1:$H$1,0)),0))</f>
        <v/>
      </c>
      <c r="J320" s="33">
        <f>IF(I320=0,0,IF(A320="S",1,IF(OR(B320='Recepción'!$E$13,B320='Recepción'!$E$14,B320='Recepción'!$E$15,AND(B320="Contacto con líquido",'Recepción'!$B$32&lt;&gt;""),AND(B320="Golpe / Caída",'Recepción'!$B$31&lt;&gt;""),AND(B320="No enciende",'Recepción'!$C$34&lt;&gt;"")),1,0)))</f>
        <v/>
      </c>
      <c r="K320" s="33">
        <f>IF(J320=1,COUNTIF($J$2:J320,1),0)</f>
        <v/>
      </c>
    </row>
    <row r="321">
      <c r="I321" s="33">
        <f>IF(C321="",0,IFERROR(INDEX($E321:$H321,MATCH('Recepción'!$E$5,$E$1:$H$1,0)),0))</f>
        <v/>
      </c>
      <c r="J321" s="33">
        <f>IF(I321=0,0,IF(A321="S",1,IF(OR(B321='Recepción'!$E$13,B321='Recepción'!$E$14,B321='Recepción'!$E$15,AND(B321="Contacto con líquido",'Recepción'!$B$32&lt;&gt;""),AND(B321="Golpe / Caída",'Recepción'!$B$31&lt;&gt;""),AND(B321="No enciende",'Recepción'!$C$34&lt;&gt;"")),1,0)))</f>
        <v/>
      </c>
      <c r="K321" s="33">
        <f>IF(J321=1,COUNTIF($J$2:J321,1),0)</f>
        <v/>
      </c>
    </row>
    <row r="322">
      <c r="I322" s="33">
        <f>IF(C322="",0,IFERROR(INDEX($E322:$H322,MATCH('Recepción'!$E$5,$E$1:$H$1,0)),0))</f>
        <v/>
      </c>
      <c r="J322" s="33">
        <f>IF(I322=0,0,IF(A322="S",1,IF(OR(B322='Recepción'!$E$13,B322='Recepción'!$E$14,B322='Recepción'!$E$15,AND(B322="Contacto con líquido",'Recepción'!$B$32&lt;&gt;""),AND(B322="Golpe / Caída",'Recepción'!$B$31&lt;&gt;""),AND(B322="No enciende",'Recepción'!$C$34&lt;&gt;"")),1,0)))</f>
        <v/>
      </c>
      <c r="K322" s="33">
        <f>IF(J322=1,COUNTIF($J$2:J322,1),0)</f>
        <v/>
      </c>
    </row>
    <row r="323">
      <c r="I323" s="33">
        <f>IF(C323="",0,IFERROR(INDEX($E323:$H323,MATCH('Recepción'!$E$5,$E$1:$H$1,0)),0))</f>
        <v/>
      </c>
      <c r="J323" s="33">
        <f>IF(I323=0,0,IF(A323="S",1,IF(OR(B323='Recepción'!$E$13,B323='Recepción'!$E$14,B323='Recepción'!$E$15,AND(B323="Contacto con líquido",'Recepción'!$B$32&lt;&gt;""),AND(B323="Golpe / Caída",'Recepción'!$B$31&lt;&gt;""),AND(B323="No enciende",'Recepción'!$C$34&lt;&gt;"")),1,0)))</f>
        <v/>
      </c>
      <c r="K323" s="33">
        <f>IF(J323=1,COUNTIF($J$2:J323,1),0)</f>
        <v/>
      </c>
    </row>
    <row r="324">
      <c r="I324" s="33">
        <f>IF(C324="",0,IFERROR(INDEX($E324:$H324,MATCH('Recepción'!$E$5,$E$1:$H$1,0)),0))</f>
        <v/>
      </c>
      <c r="J324" s="33">
        <f>IF(I324=0,0,IF(A324="S",1,IF(OR(B324='Recepción'!$E$13,B324='Recepción'!$E$14,B324='Recepción'!$E$15,AND(B324="Contacto con líquido",'Recepción'!$B$32&lt;&gt;""),AND(B324="Golpe / Caída",'Recepción'!$B$31&lt;&gt;""),AND(B324="No enciende",'Recepción'!$C$34&lt;&gt;"")),1,0)))</f>
        <v/>
      </c>
      <c r="K324" s="33">
        <f>IF(J324=1,COUNTIF($J$2:J324,1),0)</f>
        <v/>
      </c>
    </row>
    <row r="325">
      <c r="I325" s="33">
        <f>IF(C325="",0,IFERROR(INDEX($E325:$H325,MATCH('Recepción'!$E$5,$E$1:$H$1,0)),0))</f>
        <v/>
      </c>
      <c r="J325" s="33">
        <f>IF(I325=0,0,IF(A325="S",1,IF(OR(B325='Recepción'!$E$13,B325='Recepción'!$E$14,B325='Recepción'!$E$15,AND(B325="Contacto con líquido",'Recepción'!$B$32&lt;&gt;""),AND(B325="Golpe / Caída",'Recepción'!$B$31&lt;&gt;""),AND(B325="No enciende",'Recepción'!$C$34&lt;&gt;"")),1,0)))</f>
        <v/>
      </c>
      <c r="K325" s="33">
        <f>IF(J325=1,COUNTIF($J$2:J325,1),0)</f>
        <v/>
      </c>
    </row>
    <row r="326">
      <c r="I326" s="33">
        <f>IF(C326="",0,IFERROR(INDEX($E326:$H326,MATCH('Recepción'!$E$5,$E$1:$H$1,0)),0))</f>
        <v/>
      </c>
      <c r="J326" s="33">
        <f>IF(I326=0,0,IF(A326="S",1,IF(OR(B326='Recepción'!$E$13,B326='Recepción'!$E$14,B326='Recepción'!$E$15,AND(B326="Contacto con líquido",'Recepción'!$B$32&lt;&gt;""),AND(B326="Golpe / Caída",'Recepción'!$B$31&lt;&gt;""),AND(B326="No enciende",'Recepción'!$C$34&lt;&gt;"")),1,0)))</f>
        <v/>
      </c>
      <c r="K326" s="33">
        <f>IF(J326=1,COUNTIF($J$2:J326,1),0)</f>
        <v/>
      </c>
    </row>
    <row r="327">
      <c r="I327" s="33">
        <f>IF(C327="",0,IFERROR(INDEX($E327:$H327,MATCH('Recepción'!$E$5,$E$1:$H$1,0)),0))</f>
        <v/>
      </c>
      <c r="J327" s="33">
        <f>IF(I327=0,0,IF(A327="S",1,IF(OR(B327='Recepción'!$E$13,B327='Recepción'!$E$14,B327='Recepción'!$E$15,AND(B327="Contacto con líquido",'Recepción'!$B$32&lt;&gt;""),AND(B327="Golpe / Caída",'Recepción'!$B$31&lt;&gt;""),AND(B327="No enciende",'Recepción'!$C$34&lt;&gt;"")),1,0)))</f>
        <v/>
      </c>
      <c r="K327" s="33">
        <f>IF(J327=1,COUNTIF($J$2:J327,1),0)</f>
        <v/>
      </c>
    </row>
    <row r="328">
      <c r="I328" s="33">
        <f>IF(C328="",0,IFERROR(INDEX($E328:$H328,MATCH('Recepción'!$E$5,$E$1:$H$1,0)),0))</f>
        <v/>
      </c>
      <c r="J328" s="33">
        <f>IF(I328=0,0,IF(A328="S",1,IF(OR(B328='Recepción'!$E$13,B328='Recepción'!$E$14,B328='Recepción'!$E$15,AND(B328="Contacto con líquido",'Recepción'!$B$32&lt;&gt;""),AND(B328="Golpe / Caída",'Recepción'!$B$31&lt;&gt;""),AND(B328="No enciende",'Recepción'!$C$34&lt;&gt;"")),1,0)))</f>
        <v/>
      </c>
      <c r="K328" s="33">
        <f>IF(J328=1,COUNTIF($J$2:J328,1),0)</f>
        <v/>
      </c>
    </row>
    <row r="329">
      <c r="I329" s="33">
        <f>IF(C329="",0,IFERROR(INDEX($E329:$H329,MATCH('Recepción'!$E$5,$E$1:$H$1,0)),0))</f>
        <v/>
      </c>
      <c r="J329" s="33">
        <f>IF(I329=0,0,IF(A329="S",1,IF(OR(B329='Recepción'!$E$13,B329='Recepción'!$E$14,B329='Recepción'!$E$15,AND(B329="Contacto con líquido",'Recepción'!$B$32&lt;&gt;""),AND(B329="Golpe / Caída",'Recepción'!$B$31&lt;&gt;""),AND(B329="No enciende",'Recepción'!$C$34&lt;&gt;"")),1,0)))</f>
        <v/>
      </c>
      <c r="K329" s="33">
        <f>IF(J329=1,COUNTIF($J$2:J329,1),0)</f>
        <v/>
      </c>
    </row>
    <row r="330">
      <c r="I330" s="33">
        <f>IF(C330="",0,IFERROR(INDEX($E330:$H330,MATCH('Recepción'!$E$5,$E$1:$H$1,0)),0))</f>
        <v/>
      </c>
      <c r="J330" s="33">
        <f>IF(I330=0,0,IF(A330="S",1,IF(OR(B330='Recepción'!$E$13,B330='Recepción'!$E$14,B330='Recepción'!$E$15,AND(B330="Contacto con líquido",'Recepción'!$B$32&lt;&gt;""),AND(B330="Golpe / Caída",'Recepción'!$B$31&lt;&gt;""),AND(B330="No enciende",'Recepción'!$C$34&lt;&gt;"")),1,0)))</f>
        <v/>
      </c>
      <c r="K330" s="33">
        <f>IF(J330=1,COUNTIF($J$2:J330,1),0)</f>
        <v/>
      </c>
    </row>
    <row r="331">
      <c r="I331" s="33">
        <f>IF(C331="",0,IFERROR(INDEX($E331:$H331,MATCH('Recepción'!$E$5,$E$1:$H$1,0)),0))</f>
        <v/>
      </c>
      <c r="J331" s="33">
        <f>IF(I331=0,0,IF(A331="S",1,IF(OR(B331='Recepción'!$E$13,B331='Recepción'!$E$14,B331='Recepción'!$E$15,AND(B331="Contacto con líquido",'Recepción'!$B$32&lt;&gt;""),AND(B331="Golpe / Caída",'Recepción'!$B$31&lt;&gt;""),AND(B331="No enciende",'Recepción'!$C$34&lt;&gt;"")),1,0)))</f>
        <v/>
      </c>
      <c r="K331" s="33">
        <f>IF(J331=1,COUNTIF($J$2:J331,1),0)</f>
        <v/>
      </c>
    </row>
    <row r="332">
      <c r="I332" s="33">
        <f>IF(C332="",0,IFERROR(INDEX($E332:$H332,MATCH('Recepción'!$E$5,$E$1:$H$1,0)),0))</f>
        <v/>
      </c>
      <c r="J332" s="33">
        <f>IF(I332=0,0,IF(A332="S",1,IF(OR(B332='Recepción'!$E$13,B332='Recepción'!$E$14,B332='Recepción'!$E$15,AND(B332="Contacto con líquido",'Recepción'!$B$32&lt;&gt;""),AND(B332="Golpe / Caída",'Recepción'!$B$31&lt;&gt;""),AND(B332="No enciende",'Recepción'!$C$34&lt;&gt;"")),1,0)))</f>
        <v/>
      </c>
      <c r="K332" s="33">
        <f>IF(J332=1,COUNTIF($J$2:J332,1),0)</f>
        <v/>
      </c>
    </row>
    <row r="333">
      <c r="I333" s="33">
        <f>IF(C333="",0,IFERROR(INDEX($E333:$H333,MATCH('Recepción'!$E$5,$E$1:$H$1,0)),0))</f>
        <v/>
      </c>
      <c r="J333" s="33">
        <f>IF(I333=0,0,IF(A333="S",1,IF(OR(B333='Recepción'!$E$13,B333='Recepción'!$E$14,B333='Recepción'!$E$15,AND(B333="Contacto con líquido",'Recepción'!$B$32&lt;&gt;""),AND(B333="Golpe / Caída",'Recepción'!$B$31&lt;&gt;""),AND(B333="No enciende",'Recepción'!$C$34&lt;&gt;"")),1,0)))</f>
        <v/>
      </c>
      <c r="K333" s="33">
        <f>IF(J333=1,COUNTIF($J$2:J333,1),0)</f>
        <v/>
      </c>
    </row>
    <row r="334">
      <c r="I334" s="33">
        <f>IF(C334="",0,IFERROR(INDEX($E334:$H334,MATCH('Recepción'!$E$5,$E$1:$H$1,0)),0))</f>
        <v/>
      </c>
      <c r="J334" s="33">
        <f>IF(I334=0,0,IF(A334="S",1,IF(OR(B334='Recepción'!$E$13,B334='Recepción'!$E$14,B334='Recepción'!$E$15,AND(B334="Contacto con líquido",'Recepción'!$B$32&lt;&gt;""),AND(B334="Golpe / Caída",'Recepción'!$B$31&lt;&gt;""),AND(B334="No enciende",'Recepción'!$C$34&lt;&gt;"")),1,0)))</f>
        <v/>
      </c>
      <c r="K334" s="33">
        <f>IF(J334=1,COUNTIF($J$2:J334,1),0)</f>
        <v/>
      </c>
    </row>
    <row r="335">
      <c r="I335" s="33">
        <f>IF(C335="",0,IFERROR(INDEX($E335:$H335,MATCH('Recepción'!$E$5,$E$1:$H$1,0)),0))</f>
        <v/>
      </c>
      <c r="J335" s="33">
        <f>IF(I335=0,0,IF(A335="S",1,IF(OR(B335='Recepción'!$E$13,B335='Recepción'!$E$14,B335='Recepción'!$E$15,AND(B335="Contacto con líquido",'Recepción'!$B$32&lt;&gt;""),AND(B335="Golpe / Caída",'Recepción'!$B$31&lt;&gt;""),AND(B335="No enciende",'Recepción'!$C$34&lt;&gt;"")),1,0)))</f>
        <v/>
      </c>
      <c r="K335" s="33">
        <f>IF(J335=1,COUNTIF($J$2:J335,1),0)</f>
        <v/>
      </c>
    </row>
    <row r="336">
      <c r="I336" s="33">
        <f>IF(C336="",0,IFERROR(INDEX($E336:$H336,MATCH('Recepción'!$E$5,$E$1:$H$1,0)),0))</f>
        <v/>
      </c>
      <c r="J336" s="33">
        <f>IF(I336=0,0,IF(A336="S",1,IF(OR(B336='Recepción'!$E$13,B336='Recepción'!$E$14,B336='Recepción'!$E$15,AND(B336="Contacto con líquido",'Recepción'!$B$32&lt;&gt;""),AND(B336="Golpe / Caída",'Recepción'!$B$31&lt;&gt;""),AND(B336="No enciende",'Recepción'!$C$34&lt;&gt;"")),1,0)))</f>
        <v/>
      </c>
      <c r="K336" s="33">
        <f>IF(J336=1,COUNTIF($J$2:J336,1),0)</f>
        <v/>
      </c>
    </row>
    <row r="337">
      <c r="I337" s="33">
        <f>IF(C337="",0,IFERROR(INDEX($E337:$H337,MATCH('Recepción'!$E$5,$E$1:$H$1,0)),0))</f>
        <v/>
      </c>
      <c r="J337" s="33">
        <f>IF(I337=0,0,IF(A337="S",1,IF(OR(B337='Recepción'!$E$13,B337='Recepción'!$E$14,B337='Recepción'!$E$15,AND(B337="Contacto con líquido",'Recepción'!$B$32&lt;&gt;""),AND(B337="Golpe / Caída",'Recepción'!$B$31&lt;&gt;""),AND(B337="No enciende",'Recepción'!$C$34&lt;&gt;"")),1,0)))</f>
        <v/>
      </c>
      <c r="K337" s="33">
        <f>IF(J337=1,COUNTIF($J$2:J337,1),0)</f>
        <v/>
      </c>
    </row>
    <row r="338">
      <c r="I338" s="33">
        <f>IF(C338="",0,IFERROR(INDEX($E338:$H338,MATCH('Recepción'!$E$5,$E$1:$H$1,0)),0))</f>
        <v/>
      </c>
      <c r="J338" s="33">
        <f>IF(I338=0,0,IF(A338="S",1,IF(OR(B338='Recepción'!$E$13,B338='Recepción'!$E$14,B338='Recepción'!$E$15,AND(B338="Contacto con líquido",'Recepción'!$B$32&lt;&gt;""),AND(B338="Golpe / Caída",'Recepción'!$B$31&lt;&gt;""),AND(B338="No enciende",'Recepción'!$C$34&lt;&gt;"")),1,0)))</f>
        <v/>
      </c>
      <c r="K338" s="33">
        <f>IF(J338=1,COUNTIF($J$2:J338,1),0)</f>
        <v/>
      </c>
    </row>
    <row r="339">
      <c r="I339" s="33">
        <f>IF(C339="",0,IFERROR(INDEX($E339:$H339,MATCH('Recepción'!$E$5,$E$1:$H$1,0)),0))</f>
        <v/>
      </c>
      <c r="J339" s="33">
        <f>IF(I339=0,0,IF(A339="S",1,IF(OR(B339='Recepción'!$E$13,B339='Recepción'!$E$14,B339='Recepción'!$E$15,AND(B339="Contacto con líquido",'Recepción'!$B$32&lt;&gt;""),AND(B339="Golpe / Caída",'Recepción'!$B$31&lt;&gt;""),AND(B339="No enciende",'Recepción'!$C$34&lt;&gt;"")),1,0)))</f>
        <v/>
      </c>
      <c r="K339" s="33">
        <f>IF(J339=1,COUNTIF($J$2:J339,1),0)</f>
        <v/>
      </c>
    </row>
    <row r="340">
      <c r="I340" s="33">
        <f>IF(C340="",0,IFERROR(INDEX($E340:$H340,MATCH('Recepción'!$E$5,$E$1:$H$1,0)),0))</f>
        <v/>
      </c>
      <c r="J340" s="33">
        <f>IF(I340=0,0,IF(A340="S",1,IF(OR(B340='Recepción'!$E$13,B340='Recepción'!$E$14,B340='Recepción'!$E$15,AND(B340="Contacto con líquido",'Recepción'!$B$32&lt;&gt;""),AND(B340="Golpe / Caída",'Recepción'!$B$31&lt;&gt;""),AND(B340="No enciende",'Recepción'!$C$34&lt;&gt;"")),1,0)))</f>
        <v/>
      </c>
      <c r="K340" s="33">
        <f>IF(J340=1,COUNTIF($J$2:J340,1),0)</f>
        <v/>
      </c>
    </row>
    <row r="341">
      <c r="I341" s="33">
        <f>IF(C341="",0,IFERROR(INDEX($E341:$H341,MATCH('Recepción'!$E$5,$E$1:$H$1,0)),0))</f>
        <v/>
      </c>
      <c r="J341" s="33">
        <f>IF(I341=0,0,IF(A341="S",1,IF(OR(B341='Recepción'!$E$13,B341='Recepción'!$E$14,B341='Recepción'!$E$15,AND(B341="Contacto con líquido",'Recepción'!$B$32&lt;&gt;""),AND(B341="Golpe / Caída",'Recepción'!$B$31&lt;&gt;""),AND(B341="No enciende",'Recepción'!$C$34&lt;&gt;"")),1,0)))</f>
        <v/>
      </c>
      <c r="K341" s="33">
        <f>IF(J341=1,COUNTIF($J$2:J341,1),0)</f>
        <v/>
      </c>
    </row>
    <row r="342">
      <c r="I342" s="33">
        <f>IF(C342="",0,IFERROR(INDEX($E342:$H342,MATCH('Recepción'!$E$5,$E$1:$H$1,0)),0))</f>
        <v/>
      </c>
      <c r="J342" s="33">
        <f>IF(I342=0,0,IF(A342="S",1,IF(OR(B342='Recepción'!$E$13,B342='Recepción'!$E$14,B342='Recepción'!$E$15,AND(B342="Contacto con líquido",'Recepción'!$B$32&lt;&gt;""),AND(B342="Golpe / Caída",'Recepción'!$B$31&lt;&gt;""),AND(B342="No enciende",'Recepción'!$C$34&lt;&gt;"")),1,0)))</f>
        <v/>
      </c>
      <c r="K342" s="33">
        <f>IF(J342=1,COUNTIF($J$2:J342,1),0)</f>
        <v/>
      </c>
    </row>
    <row r="343">
      <c r="I343" s="33">
        <f>IF(C343="",0,IFERROR(INDEX($E343:$H343,MATCH('Recepción'!$E$5,$E$1:$H$1,0)),0))</f>
        <v/>
      </c>
      <c r="J343" s="33">
        <f>IF(I343=0,0,IF(A343="S",1,IF(OR(B343='Recepción'!$E$13,B343='Recepción'!$E$14,B343='Recepción'!$E$15,AND(B343="Contacto con líquido",'Recepción'!$B$32&lt;&gt;""),AND(B343="Golpe / Caída",'Recepción'!$B$31&lt;&gt;""),AND(B343="No enciende",'Recepción'!$C$34&lt;&gt;"")),1,0)))</f>
        <v/>
      </c>
      <c r="K343" s="33">
        <f>IF(J343=1,COUNTIF($J$2:J343,1),0)</f>
        <v/>
      </c>
    </row>
    <row r="344">
      <c r="I344" s="33">
        <f>IF(C344="",0,IFERROR(INDEX($E344:$H344,MATCH('Recepción'!$E$5,$E$1:$H$1,0)),0))</f>
        <v/>
      </c>
      <c r="J344" s="33">
        <f>IF(I344=0,0,IF(A344="S",1,IF(OR(B344='Recepción'!$E$13,B344='Recepción'!$E$14,B344='Recepción'!$E$15,AND(B344="Contacto con líquido",'Recepción'!$B$32&lt;&gt;""),AND(B344="Golpe / Caída",'Recepción'!$B$31&lt;&gt;""),AND(B344="No enciende",'Recepción'!$C$34&lt;&gt;"")),1,0)))</f>
        <v/>
      </c>
      <c r="K344" s="33">
        <f>IF(J344=1,COUNTIF($J$2:J344,1),0)</f>
        <v/>
      </c>
    </row>
    <row r="345">
      <c r="I345" s="33">
        <f>IF(C345="",0,IFERROR(INDEX($E345:$H345,MATCH('Recepción'!$E$5,$E$1:$H$1,0)),0))</f>
        <v/>
      </c>
      <c r="J345" s="33">
        <f>IF(I345=0,0,IF(A345="S",1,IF(OR(B345='Recepción'!$E$13,B345='Recepción'!$E$14,B345='Recepción'!$E$15,AND(B345="Contacto con líquido",'Recepción'!$B$32&lt;&gt;""),AND(B345="Golpe / Caída",'Recepción'!$B$31&lt;&gt;""),AND(B345="No enciende",'Recepción'!$C$34&lt;&gt;"")),1,0)))</f>
        <v/>
      </c>
      <c r="K345" s="33">
        <f>IF(J345=1,COUNTIF($J$2:J345,1),0)</f>
        <v/>
      </c>
    </row>
    <row r="346">
      <c r="I346" s="33">
        <f>IF(C346="",0,IFERROR(INDEX($E346:$H346,MATCH('Recepción'!$E$5,$E$1:$H$1,0)),0))</f>
        <v/>
      </c>
      <c r="J346" s="33">
        <f>IF(I346=0,0,IF(A346="S",1,IF(OR(B346='Recepción'!$E$13,B346='Recepción'!$E$14,B346='Recepción'!$E$15,AND(B346="Contacto con líquido",'Recepción'!$B$32&lt;&gt;""),AND(B346="Golpe / Caída",'Recepción'!$B$31&lt;&gt;""),AND(B346="No enciende",'Recepción'!$C$34&lt;&gt;"")),1,0)))</f>
        <v/>
      </c>
      <c r="K346" s="33">
        <f>IF(J346=1,COUNTIF($J$2:J346,1),0)</f>
        <v/>
      </c>
    </row>
    <row r="347">
      <c r="I347" s="33">
        <f>IF(C347="",0,IFERROR(INDEX($E347:$H347,MATCH('Recepción'!$E$5,$E$1:$H$1,0)),0))</f>
        <v/>
      </c>
      <c r="J347" s="33">
        <f>IF(I347=0,0,IF(A347="S",1,IF(OR(B347='Recepción'!$E$13,B347='Recepción'!$E$14,B347='Recepción'!$E$15,AND(B347="Contacto con líquido",'Recepción'!$B$32&lt;&gt;""),AND(B347="Golpe / Caída",'Recepción'!$B$31&lt;&gt;""),AND(B347="No enciende",'Recepción'!$C$34&lt;&gt;"")),1,0)))</f>
        <v/>
      </c>
      <c r="K347" s="33">
        <f>IF(J347=1,COUNTIF($J$2:J347,1),0)</f>
        <v/>
      </c>
    </row>
    <row r="348">
      <c r="I348" s="33">
        <f>IF(C348="",0,IFERROR(INDEX($E348:$H348,MATCH('Recepción'!$E$5,$E$1:$H$1,0)),0))</f>
        <v/>
      </c>
      <c r="J348" s="33">
        <f>IF(I348=0,0,IF(A348="S",1,IF(OR(B348='Recepción'!$E$13,B348='Recepción'!$E$14,B348='Recepción'!$E$15,AND(B348="Contacto con líquido",'Recepción'!$B$32&lt;&gt;""),AND(B348="Golpe / Caída",'Recepción'!$B$31&lt;&gt;""),AND(B348="No enciende",'Recepción'!$C$34&lt;&gt;"")),1,0)))</f>
        <v/>
      </c>
      <c r="K348" s="33">
        <f>IF(J348=1,COUNTIF($J$2:J348,1),0)</f>
        <v/>
      </c>
    </row>
    <row r="349">
      <c r="I349" s="33">
        <f>IF(C349="",0,IFERROR(INDEX($E349:$H349,MATCH('Recepción'!$E$5,$E$1:$H$1,0)),0))</f>
        <v/>
      </c>
      <c r="J349" s="33">
        <f>IF(I349=0,0,IF(A349="S",1,IF(OR(B349='Recepción'!$E$13,B349='Recepción'!$E$14,B349='Recepción'!$E$15,AND(B349="Contacto con líquido",'Recepción'!$B$32&lt;&gt;""),AND(B349="Golpe / Caída",'Recepción'!$B$31&lt;&gt;""),AND(B349="No enciende",'Recepción'!$C$34&lt;&gt;"")),1,0)))</f>
        <v/>
      </c>
      <c r="K349" s="33">
        <f>IF(J349=1,COUNTIF($J$2:J349,1),0)</f>
        <v/>
      </c>
    </row>
    <row r="350">
      <c r="I350" s="33">
        <f>IF(C350="",0,IFERROR(INDEX($E350:$H350,MATCH('Recepción'!$E$5,$E$1:$H$1,0)),0))</f>
        <v/>
      </c>
      <c r="J350" s="33">
        <f>IF(I350=0,0,IF(A350="S",1,IF(OR(B350='Recepción'!$E$13,B350='Recepción'!$E$14,B350='Recepción'!$E$15,AND(B350="Contacto con líquido",'Recepción'!$B$32&lt;&gt;""),AND(B350="Golpe / Caída",'Recepción'!$B$31&lt;&gt;""),AND(B350="No enciende",'Recepción'!$C$34&lt;&gt;"")),1,0)))</f>
        <v/>
      </c>
      <c r="K350" s="33">
        <f>IF(J350=1,COUNTIF($J$2:J350,1),0)</f>
        <v/>
      </c>
    </row>
    <row r="351">
      <c r="I351" s="33">
        <f>IF(C351="",0,IFERROR(INDEX($E351:$H351,MATCH('Recepción'!$E$5,$E$1:$H$1,0)),0))</f>
        <v/>
      </c>
      <c r="J351" s="33">
        <f>IF(I351=0,0,IF(A351="S",1,IF(OR(B351='Recepción'!$E$13,B351='Recepción'!$E$14,B351='Recepción'!$E$15,AND(B351="Contacto con líquido",'Recepción'!$B$32&lt;&gt;""),AND(B351="Golpe / Caída",'Recepción'!$B$31&lt;&gt;""),AND(B351="No enciende",'Recepción'!$C$34&lt;&gt;"")),1,0)))</f>
        <v/>
      </c>
      <c r="K351" s="33">
        <f>IF(J351=1,COUNTIF($J$2:J351,1),0)</f>
        <v/>
      </c>
    </row>
    <row r="352">
      <c r="I352" s="33">
        <f>IF(C352="",0,IFERROR(INDEX($E352:$H352,MATCH('Recepción'!$E$5,$E$1:$H$1,0)),0))</f>
        <v/>
      </c>
      <c r="J352" s="33">
        <f>IF(I352=0,0,IF(A352="S",1,IF(OR(B352='Recepción'!$E$13,B352='Recepción'!$E$14,B352='Recepción'!$E$15,AND(B352="Contacto con líquido",'Recepción'!$B$32&lt;&gt;""),AND(B352="Golpe / Caída",'Recepción'!$B$31&lt;&gt;""),AND(B352="No enciende",'Recepción'!$C$34&lt;&gt;"")),1,0)))</f>
        <v/>
      </c>
      <c r="K352" s="33">
        <f>IF(J352=1,COUNTIF($J$2:J352,1),0)</f>
        <v/>
      </c>
    </row>
    <row r="353">
      <c r="I353" s="33">
        <f>IF(C353="",0,IFERROR(INDEX($E353:$H353,MATCH('Recepción'!$E$5,$E$1:$H$1,0)),0))</f>
        <v/>
      </c>
      <c r="J353" s="33">
        <f>IF(I353=0,0,IF(A353="S",1,IF(OR(B353='Recepción'!$E$13,B353='Recepción'!$E$14,B353='Recepción'!$E$15,AND(B353="Contacto con líquido",'Recepción'!$B$32&lt;&gt;""),AND(B353="Golpe / Caída",'Recepción'!$B$31&lt;&gt;""),AND(B353="No enciende",'Recepción'!$C$34&lt;&gt;"")),1,0)))</f>
        <v/>
      </c>
      <c r="K353" s="33">
        <f>IF(J353=1,COUNTIF($J$2:J353,1),0)</f>
        <v/>
      </c>
    </row>
    <row r="354">
      <c r="I354" s="33">
        <f>IF(C354="",0,IFERROR(INDEX($E354:$H354,MATCH('Recepción'!$E$5,$E$1:$H$1,0)),0))</f>
        <v/>
      </c>
      <c r="J354" s="33">
        <f>IF(I354=0,0,IF(A354="S",1,IF(OR(B354='Recepción'!$E$13,B354='Recepción'!$E$14,B354='Recepción'!$E$15,AND(B354="Contacto con líquido",'Recepción'!$B$32&lt;&gt;""),AND(B354="Golpe / Caída",'Recepción'!$B$31&lt;&gt;""),AND(B354="No enciende",'Recepción'!$C$34&lt;&gt;"")),1,0)))</f>
        <v/>
      </c>
      <c r="K354" s="33">
        <f>IF(J354=1,COUNTIF($J$2:J354,1),0)</f>
        <v/>
      </c>
    </row>
    <row r="355">
      <c r="I355" s="33">
        <f>IF(C355="",0,IFERROR(INDEX($E355:$H355,MATCH('Recepción'!$E$5,$E$1:$H$1,0)),0))</f>
        <v/>
      </c>
      <c r="J355" s="33">
        <f>IF(I355=0,0,IF(A355="S",1,IF(OR(B355='Recepción'!$E$13,B355='Recepción'!$E$14,B355='Recepción'!$E$15,AND(B355="Contacto con líquido",'Recepción'!$B$32&lt;&gt;""),AND(B355="Golpe / Caída",'Recepción'!$B$31&lt;&gt;""),AND(B355="No enciende",'Recepción'!$C$34&lt;&gt;"")),1,0)))</f>
        <v/>
      </c>
      <c r="K355" s="33">
        <f>IF(J355=1,COUNTIF($J$2:J355,1),0)</f>
        <v/>
      </c>
    </row>
    <row r="356">
      <c r="I356" s="33">
        <f>IF(C356="",0,IFERROR(INDEX($E356:$H356,MATCH('Recepción'!$E$5,$E$1:$H$1,0)),0))</f>
        <v/>
      </c>
      <c r="J356" s="33">
        <f>IF(I356=0,0,IF(A356="S",1,IF(OR(B356='Recepción'!$E$13,B356='Recepción'!$E$14,B356='Recepción'!$E$15,AND(B356="Contacto con líquido",'Recepción'!$B$32&lt;&gt;""),AND(B356="Golpe / Caída",'Recepción'!$B$31&lt;&gt;""),AND(B356="No enciende",'Recepción'!$C$34&lt;&gt;"")),1,0)))</f>
        <v/>
      </c>
      <c r="K356" s="33">
        <f>IF(J356=1,COUNTIF($J$2:J356,1),0)</f>
        <v/>
      </c>
    </row>
    <row r="357">
      <c r="I357" s="33">
        <f>IF(C357="",0,IFERROR(INDEX($E357:$H357,MATCH('Recepción'!$E$5,$E$1:$H$1,0)),0))</f>
        <v/>
      </c>
      <c r="J357" s="33">
        <f>IF(I357=0,0,IF(A357="S",1,IF(OR(B357='Recepción'!$E$13,B357='Recepción'!$E$14,B357='Recepción'!$E$15,AND(B357="Contacto con líquido",'Recepción'!$B$32&lt;&gt;""),AND(B357="Golpe / Caída",'Recepción'!$B$31&lt;&gt;""),AND(B357="No enciende",'Recepción'!$C$34&lt;&gt;"")),1,0)))</f>
        <v/>
      </c>
      <c r="K357" s="33">
        <f>IF(J357=1,COUNTIF($J$2:J357,1),0)</f>
        <v/>
      </c>
    </row>
    <row r="358">
      <c r="I358" s="33">
        <f>IF(C358="",0,IFERROR(INDEX($E358:$H358,MATCH('Recepción'!$E$5,$E$1:$H$1,0)),0))</f>
        <v/>
      </c>
      <c r="J358" s="33">
        <f>IF(I358=0,0,IF(A358="S",1,IF(OR(B358='Recepción'!$E$13,B358='Recepción'!$E$14,B358='Recepción'!$E$15,AND(B358="Contacto con líquido",'Recepción'!$B$32&lt;&gt;""),AND(B358="Golpe / Caída",'Recepción'!$B$31&lt;&gt;""),AND(B358="No enciende",'Recepción'!$C$34&lt;&gt;"")),1,0)))</f>
        <v/>
      </c>
      <c r="K358" s="33">
        <f>IF(J358=1,COUNTIF($J$2:J358,1),0)</f>
        <v/>
      </c>
    </row>
    <row r="359">
      <c r="I359" s="33">
        <f>IF(C359="",0,IFERROR(INDEX($E359:$H359,MATCH('Recepción'!$E$5,$E$1:$H$1,0)),0))</f>
        <v/>
      </c>
      <c r="J359" s="33">
        <f>IF(I359=0,0,IF(A359="S",1,IF(OR(B359='Recepción'!$E$13,B359='Recepción'!$E$14,B359='Recepción'!$E$15,AND(B359="Contacto con líquido",'Recepción'!$B$32&lt;&gt;""),AND(B359="Golpe / Caída",'Recepción'!$B$31&lt;&gt;""),AND(B359="No enciende",'Recepción'!$C$34&lt;&gt;"")),1,0)))</f>
        <v/>
      </c>
      <c r="K359" s="33">
        <f>IF(J359=1,COUNTIF($J$2:J359,1),0)</f>
        <v/>
      </c>
    </row>
    <row r="360">
      <c r="I360" s="33">
        <f>IF(C360="",0,IFERROR(INDEX($E360:$H360,MATCH('Recepción'!$E$5,$E$1:$H$1,0)),0))</f>
        <v/>
      </c>
      <c r="J360" s="33">
        <f>IF(I360=0,0,IF(A360="S",1,IF(OR(B360='Recepción'!$E$13,B360='Recepción'!$E$14,B360='Recepción'!$E$15,AND(B360="Contacto con líquido",'Recepción'!$B$32&lt;&gt;""),AND(B360="Golpe / Caída",'Recepción'!$B$31&lt;&gt;""),AND(B360="No enciende",'Recepción'!$C$34&lt;&gt;"")),1,0)))</f>
        <v/>
      </c>
      <c r="K360" s="33">
        <f>IF(J360=1,COUNTIF($J$2:J360,1),0)</f>
        <v/>
      </c>
    </row>
    <row r="361">
      <c r="I361" s="33">
        <f>IF(C361="",0,IFERROR(INDEX($E361:$H361,MATCH('Recepción'!$E$5,$E$1:$H$1,0)),0))</f>
        <v/>
      </c>
      <c r="J361" s="33">
        <f>IF(I361=0,0,IF(A361="S",1,IF(OR(B361='Recepción'!$E$13,B361='Recepción'!$E$14,B361='Recepción'!$E$15,AND(B361="Contacto con líquido",'Recepción'!$B$32&lt;&gt;""),AND(B361="Golpe / Caída",'Recepción'!$B$31&lt;&gt;""),AND(B361="No enciende",'Recepción'!$C$34&lt;&gt;"")),1,0)))</f>
        <v/>
      </c>
      <c r="K361" s="33">
        <f>IF(J361=1,COUNTIF($J$2:J361,1),0)</f>
        <v/>
      </c>
    </row>
    <row r="362">
      <c r="I362" s="33">
        <f>IF(C362="",0,IFERROR(INDEX($E362:$H362,MATCH('Recepción'!$E$5,$E$1:$H$1,0)),0))</f>
        <v/>
      </c>
      <c r="J362" s="33">
        <f>IF(I362=0,0,IF(A362="S",1,IF(OR(B362='Recepción'!$E$13,B362='Recepción'!$E$14,B362='Recepción'!$E$15,AND(B362="Contacto con líquido",'Recepción'!$B$32&lt;&gt;""),AND(B362="Golpe / Caída",'Recepción'!$B$31&lt;&gt;""),AND(B362="No enciende",'Recepción'!$C$34&lt;&gt;"")),1,0)))</f>
        <v/>
      </c>
      <c r="K362" s="33">
        <f>IF(J362=1,COUNTIF($J$2:J362,1),0)</f>
        <v/>
      </c>
    </row>
    <row r="363">
      <c r="I363" s="33">
        <f>IF(C363="",0,IFERROR(INDEX($E363:$H363,MATCH('Recepción'!$E$5,$E$1:$H$1,0)),0))</f>
        <v/>
      </c>
      <c r="J363" s="33">
        <f>IF(I363=0,0,IF(A363="S",1,IF(OR(B363='Recepción'!$E$13,B363='Recepción'!$E$14,B363='Recepción'!$E$15,AND(B363="Contacto con líquido",'Recepción'!$B$32&lt;&gt;""),AND(B363="Golpe / Caída",'Recepción'!$B$31&lt;&gt;""),AND(B363="No enciende",'Recepción'!$C$34&lt;&gt;"")),1,0)))</f>
        <v/>
      </c>
      <c r="K363" s="33">
        <f>IF(J363=1,COUNTIF($J$2:J363,1),0)</f>
        <v/>
      </c>
    </row>
    <row r="364">
      <c r="I364" s="33">
        <f>IF(C364="",0,IFERROR(INDEX($E364:$H364,MATCH('Recepción'!$E$5,$E$1:$H$1,0)),0))</f>
        <v/>
      </c>
      <c r="J364" s="33">
        <f>IF(I364=0,0,IF(A364="S",1,IF(OR(B364='Recepción'!$E$13,B364='Recepción'!$E$14,B364='Recepción'!$E$15,AND(B364="Contacto con líquido",'Recepción'!$B$32&lt;&gt;""),AND(B364="Golpe / Caída",'Recepción'!$B$31&lt;&gt;""),AND(B364="No enciende",'Recepción'!$C$34&lt;&gt;"")),1,0)))</f>
        <v/>
      </c>
      <c r="K364" s="33">
        <f>IF(J364=1,COUNTIF($J$2:J364,1),0)</f>
        <v/>
      </c>
    </row>
    <row r="365">
      <c r="I365" s="33">
        <f>IF(C365="",0,IFERROR(INDEX($E365:$H365,MATCH('Recepción'!$E$5,$E$1:$H$1,0)),0))</f>
        <v/>
      </c>
      <c r="J365" s="33">
        <f>IF(I365=0,0,IF(A365="S",1,IF(OR(B365='Recepción'!$E$13,B365='Recepción'!$E$14,B365='Recepción'!$E$15,AND(B365="Contacto con líquido",'Recepción'!$B$32&lt;&gt;""),AND(B365="Golpe / Caída",'Recepción'!$B$31&lt;&gt;""),AND(B365="No enciende",'Recepción'!$C$34&lt;&gt;"")),1,0)))</f>
        <v/>
      </c>
      <c r="K365" s="33">
        <f>IF(J365=1,COUNTIF($J$2:J365,1),0)</f>
        <v/>
      </c>
    </row>
    <row r="366">
      <c r="I366" s="33">
        <f>IF(C366="",0,IFERROR(INDEX($E366:$H366,MATCH('Recepción'!$E$5,$E$1:$H$1,0)),0))</f>
        <v/>
      </c>
      <c r="J366" s="33">
        <f>IF(I366=0,0,IF(A366="S",1,IF(OR(B366='Recepción'!$E$13,B366='Recepción'!$E$14,B366='Recepción'!$E$15,AND(B366="Contacto con líquido",'Recepción'!$B$32&lt;&gt;""),AND(B366="Golpe / Caída",'Recepción'!$B$31&lt;&gt;""),AND(B366="No enciende",'Recepción'!$C$34&lt;&gt;"")),1,0)))</f>
        <v/>
      </c>
      <c r="K366" s="33">
        <f>IF(J366=1,COUNTIF($J$2:J366,1),0)</f>
        <v/>
      </c>
    </row>
    <row r="367">
      <c r="I367" s="33">
        <f>IF(C367="",0,IFERROR(INDEX($E367:$H367,MATCH('Recepción'!$E$5,$E$1:$H$1,0)),0))</f>
        <v/>
      </c>
      <c r="J367" s="33">
        <f>IF(I367=0,0,IF(A367="S",1,IF(OR(B367='Recepción'!$E$13,B367='Recepción'!$E$14,B367='Recepción'!$E$15,AND(B367="Contacto con líquido",'Recepción'!$B$32&lt;&gt;""),AND(B367="Golpe / Caída",'Recepción'!$B$31&lt;&gt;""),AND(B367="No enciende",'Recepción'!$C$34&lt;&gt;"")),1,0)))</f>
        <v/>
      </c>
      <c r="K367" s="33">
        <f>IF(J367=1,COUNTIF($J$2:J367,1),0)</f>
        <v/>
      </c>
    </row>
    <row r="368">
      <c r="I368" s="33">
        <f>IF(C368="",0,IFERROR(INDEX($E368:$H368,MATCH('Recepción'!$E$5,$E$1:$H$1,0)),0))</f>
        <v/>
      </c>
      <c r="J368" s="33">
        <f>IF(I368=0,0,IF(A368="S",1,IF(OR(B368='Recepción'!$E$13,B368='Recepción'!$E$14,B368='Recepción'!$E$15,AND(B368="Contacto con líquido",'Recepción'!$B$32&lt;&gt;""),AND(B368="Golpe / Caída",'Recepción'!$B$31&lt;&gt;""),AND(B368="No enciende",'Recepción'!$C$34&lt;&gt;"")),1,0)))</f>
        <v/>
      </c>
      <c r="K368" s="33">
        <f>IF(J368=1,COUNTIF($J$2:J368,1),0)</f>
        <v/>
      </c>
    </row>
    <row r="369">
      <c r="I369" s="33">
        <f>IF(C369="",0,IFERROR(INDEX($E369:$H369,MATCH('Recepción'!$E$5,$E$1:$H$1,0)),0))</f>
        <v/>
      </c>
      <c r="J369" s="33">
        <f>IF(I369=0,0,IF(A369="S",1,IF(OR(B369='Recepción'!$E$13,B369='Recepción'!$E$14,B369='Recepción'!$E$15,AND(B369="Contacto con líquido",'Recepción'!$B$32&lt;&gt;""),AND(B369="Golpe / Caída",'Recepción'!$B$31&lt;&gt;""),AND(B369="No enciende",'Recepción'!$C$34&lt;&gt;"")),1,0)))</f>
        <v/>
      </c>
      <c r="K369" s="33">
        <f>IF(J369=1,COUNTIF($J$2:J369,1),0)</f>
        <v/>
      </c>
    </row>
    <row r="370">
      <c r="I370" s="33">
        <f>IF(C370="",0,IFERROR(INDEX($E370:$H370,MATCH('Recepción'!$E$5,$E$1:$H$1,0)),0))</f>
        <v/>
      </c>
      <c r="J370" s="33">
        <f>IF(I370=0,0,IF(A370="S",1,IF(OR(B370='Recepción'!$E$13,B370='Recepción'!$E$14,B370='Recepción'!$E$15,AND(B370="Contacto con líquido",'Recepción'!$B$32&lt;&gt;""),AND(B370="Golpe / Caída",'Recepción'!$B$31&lt;&gt;""),AND(B370="No enciende",'Recepción'!$C$34&lt;&gt;"")),1,0)))</f>
        <v/>
      </c>
      <c r="K370" s="33">
        <f>IF(J370=1,COUNTIF($J$2:J370,1),0)</f>
        <v/>
      </c>
    </row>
    <row r="371">
      <c r="I371" s="33">
        <f>IF(C371="",0,IFERROR(INDEX($E371:$H371,MATCH('Recepción'!$E$5,$E$1:$H$1,0)),0))</f>
        <v/>
      </c>
      <c r="J371" s="33">
        <f>IF(I371=0,0,IF(A371="S",1,IF(OR(B371='Recepción'!$E$13,B371='Recepción'!$E$14,B371='Recepción'!$E$15,AND(B371="Contacto con líquido",'Recepción'!$B$32&lt;&gt;""),AND(B371="Golpe / Caída",'Recepción'!$B$31&lt;&gt;""),AND(B371="No enciende",'Recepción'!$C$34&lt;&gt;"")),1,0)))</f>
        <v/>
      </c>
      <c r="K371" s="33">
        <f>IF(J371=1,COUNTIF($J$2:J371,1),0)</f>
        <v/>
      </c>
    </row>
    <row r="372">
      <c r="I372" s="33">
        <f>IF(C372="",0,IFERROR(INDEX($E372:$H372,MATCH('Recepción'!$E$5,$E$1:$H$1,0)),0))</f>
        <v/>
      </c>
      <c r="J372" s="33">
        <f>IF(I372=0,0,IF(A372="S",1,IF(OR(B372='Recepción'!$E$13,B372='Recepción'!$E$14,B372='Recepción'!$E$15,AND(B372="Contacto con líquido",'Recepción'!$B$32&lt;&gt;""),AND(B372="Golpe / Caída",'Recepción'!$B$31&lt;&gt;""),AND(B372="No enciende",'Recepción'!$C$34&lt;&gt;"")),1,0)))</f>
        <v/>
      </c>
      <c r="K372" s="33">
        <f>IF(J372=1,COUNTIF($J$2:J372,1),0)</f>
        <v/>
      </c>
    </row>
    <row r="373">
      <c r="I373" s="33">
        <f>IF(C373="",0,IFERROR(INDEX($E373:$H373,MATCH('Recepción'!$E$5,$E$1:$H$1,0)),0))</f>
        <v/>
      </c>
      <c r="J373" s="33">
        <f>IF(I373=0,0,IF(A373="S",1,IF(OR(B373='Recepción'!$E$13,B373='Recepción'!$E$14,B373='Recepción'!$E$15,AND(B373="Contacto con líquido",'Recepción'!$B$32&lt;&gt;""),AND(B373="Golpe / Caída",'Recepción'!$B$31&lt;&gt;""),AND(B373="No enciende",'Recepción'!$C$34&lt;&gt;"")),1,0)))</f>
        <v/>
      </c>
      <c r="K373" s="33">
        <f>IF(J373=1,COUNTIF($J$2:J373,1),0)</f>
        <v/>
      </c>
    </row>
    <row r="374">
      <c r="I374" s="33">
        <f>IF(C374="",0,IFERROR(INDEX($E374:$H374,MATCH('Recepción'!$E$5,$E$1:$H$1,0)),0))</f>
        <v/>
      </c>
      <c r="J374" s="33">
        <f>IF(I374=0,0,IF(A374="S",1,IF(OR(B374='Recepción'!$E$13,B374='Recepción'!$E$14,B374='Recepción'!$E$15,AND(B374="Contacto con líquido",'Recepción'!$B$32&lt;&gt;""),AND(B374="Golpe / Caída",'Recepción'!$B$31&lt;&gt;""),AND(B374="No enciende",'Recepción'!$C$34&lt;&gt;"")),1,0)))</f>
        <v/>
      </c>
      <c r="K374" s="33">
        <f>IF(J374=1,COUNTIF($J$2:J374,1),0)</f>
        <v/>
      </c>
    </row>
    <row r="375">
      <c r="I375" s="33">
        <f>IF(C375="",0,IFERROR(INDEX($E375:$H375,MATCH('Recepción'!$E$5,$E$1:$H$1,0)),0))</f>
        <v/>
      </c>
      <c r="J375" s="33">
        <f>IF(I375=0,0,IF(A375="S",1,IF(OR(B375='Recepción'!$E$13,B375='Recepción'!$E$14,B375='Recepción'!$E$15,AND(B375="Contacto con líquido",'Recepción'!$B$32&lt;&gt;""),AND(B375="Golpe / Caída",'Recepción'!$B$31&lt;&gt;""),AND(B375="No enciende",'Recepción'!$C$34&lt;&gt;"")),1,0)))</f>
        <v/>
      </c>
      <c r="K375" s="33">
        <f>IF(J375=1,COUNTIF($J$2:J375,1),0)</f>
        <v/>
      </c>
    </row>
    <row r="376">
      <c r="I376" s="33">
        <f>IF(C376="",0,IFERROR(INDEX($E376:$H376,MATCH('Recepción'!$E$5,$E$1:$H$1,0)),0))</f>
        <v/>
      </c>
      <c r="J376" s="33">
        <f>IF(I376=0,0,IF(A376="S",1,IF(OR(B376='Recepción'!$E$13,B376='Recepción'!$E$14,B376='Recepción'!$E$15,AND(B376="Contacto con líquido",'Recepción'!$B$32&lt;&gt;""),AND(B376="Golpe / Caída",'Recepción'!$B$31&lt;&gt;""),AND(B376="No enciende",'Recepción'!$C$34&lt;&gt;"")),1,0)))</f>
        <v/>
      </c>
      <c r="K376" s="33">
        <f>IF(J376=1,COUNTIF($J$2:J376,1),0)</f>
        <v/>
      </c>
    </row>
    <row r="377">
      <c r="I377" s="33">
        <f>IF(C377="",0,IFERROR(INDEX($E377:$H377,MATCH('Recepción'!$E$5,$E$1:$H$1,0)),0))</f>
        <v/>
      </c>
      <c r="J377" s="33">
        <f>IF(I377=0,0,IF(A377="S",1,IF(OR(B377='Recepción'!$E$13,B377='Recepción'!$E$14,B377='Recepción'!$E$15,AND(B377="Contacto con líquido",'Recepción'!$B$32&lt;&gt;""),AND(B377="Golpe / Caída",'Recepción'!$B$31&lt;&gt;""),AND(B377="No enciende",'Recepción'!$C$34&lt;&gt;"")),1,0)))</f>
        <v/>
      </c>
      <c r="K377" s="33">
        <f>IF(J377=1,COUNTIF($J$2:J377,1),0)</f>
        <v/>
      </c>
    </row>
    <row r="378">
      <c r="I378" s="33">
        <f>IF(C378="",0,IFERROR(INDEX($E378:$H378,MATCH('Recepción'!$E$5,$E$1:$H$1,0)),0))</f>
        <v/>
      </c>
      <c r="J378" s="33">
        <f>IF(I378=0,0,IF(A378="S",1,IF(OR(B378='Recepción'!$E$13,B378='Recepción'!$E$14,B378='Recepción'!$E$15,AND(B378="Contacto con líquido",'Recepción'!$B$32&lt;&gt;""),AND(B378="Golpe / Caída",'Recepción'!$B$31&lt;&gt;""),AND(B378="No enciende",'Recepción'!$C$34&lt;&gt;"")),1,0)))</f>
        <v/>
      </c>
      <c r="K378" s="33">
        <f>IF(J378=1,COUNTIF($J$2:J378,1),0)</f>
        <v/>
      </c>
    </row>
    <row r="379">
      <c r="I379" s="33">
        <f>IF(C379="",0,IFERROR(INDEX($E379:$H379,MATCH('Recepción'!$E$5,$E$1:$H$1,0)),0))</f>
        <v/>
      </c>
      <c r="J379" s="33">
        <f>IF(I379=0,0,IF(A379="S",1,IF(OR(B379='Recepción'!$E$13,B379='Recepción'!$E$14,B379='Recepción'!$E$15,AND(B379="Contacto con líquido",'Recepción'!$B$32&lt;&gt;""),AND(B379="Golpe / Caída",'Recepción'!$B$31&lt;&gt;""),AND(B379="No enciende",'Recepción'!$C$34&lt;&gt;"")),1,0)))</f>
        <v/>
      </c>
      <c r="K379" s="33">
        <f>IF(J379=1,COUNTIF($J$2:J379,1),0)</f>
        <v/>
      </c>
    </row>
    <row r="380">
      <c r="I380" s="33">
        <f>IF(C380="",0,IFERROR(INDEX($E380:$H380,MATCH('Recepción'!$E$5,$E$1:$H$1,0)),0))</f>
        <v/>
      </c>
      <c r="J380" s="33">
        <f>IF(I380=0,0,IF(A380="S",1,IF(OR(B380='Recepción'!$E$13,B380='Recepción'!$E$14,B380='Recepción'!$E$15,AND(B380="Contacto con líquido",'Recepción'!$B$32&lt;&gt;""),AND(B380="Golpe / Caída",'Recepción'!$B$31&lt;&gt;""),AND(B380="No enciende",'Recepción'!$C$34&lt;&gt;"")),1,0)))</f>
        <v/>
      </c>
      <c r="K380" s="33">
        <f>IF(J380=1,COUNTIF($J$2:J380,1),0)</f>
        <v/>
      </c>
    </row>
    <row r="381">
      <c r="I381" s="33">
        <f>IF(C381="",0,IFERROR(INDEX($E381:$H381,MATCH('Recepción'!$E$5,$E$1:$H$1,0)),0))</f>
        <v/>
      </c>
      <c r="J381" s="33">
        <f>IF(I381=0,0,IF(A381="S",1,IF(OR(B381='Recepción'!$E$13,B381='Recepción'!$E$14,B381='Recepción'!$E$15,AND(B381="Contacto con líquido",'Recepción'!$B$32&lt;&gt;""),AND(B381="Golpe / Caída",'Recepción'!$B$31&lt;&gt;""),AND(B381="No enciende",'Recepción'!$C$34&lt;&gt;"")),1,0)))</f>
        <v/>
      </c>
      <c r="K381" s="33">
        <f>IF(J381=1,COUNTIF($J$2:J381,1),0)</f>
        <v/>
      </c>
    </row>
    <row r="382">
      <c r="I382" s="33">
        <f>IF(C382="",0,IFERROR(INDEX($E382:$H382,MATCH('Recepción'!$E$5,$E$1:$H$1,0)),0))</f>
        <v/>
      </c>
      <c r="J382" s="33">
        <f>IF(I382=0,0,IF(A382="S",1,IF(OR(B382='Recepción'!$E$13,B382='Recepción'!$E$14,B382='Recepción'!$E$15,AND(B382="Contacto con líquido",'Recepción'!$B$32&lt;&gt;""),AND(B382="Golpe / Caída",'Recepción'!$B$31&lt;&gt;""),AND(B382="No enciende",'Recepción'!$C$34&lt;&gt;"")),1,0)))</f>
        <v/>
      </c>
      <c r="K382" s="33">
        <f>IF(J382=1,COUNTIF($J$2:J382,1),0)</f>
        <v/>
      </c>
    </row>
    <row r="383">
      <c r="I383" s="33">
        <f>IF(C383="",0,IFERROR(INDEX($E383:$H383,MATCH('Recepción'!$E$5,$E$1:$H$1,0)),0))</f>
        <v/>
      </c>
      <c r="J383" s="33">
        <f>IF(I383=0,0,IF(A383="S",1,IF(OR(B383='Recepción'!$E$13,B383='Recepción'!$E$14,B383='Recepción'!$E$15,AND(B383="Contacto con líquido",'Recepción'!$B$32&lt;&gt;""),AND(B383="Golpe / Caída",'Recepción'!$B$31&lt;&gt;""),AND(B383="No enciende",'Recepción'!$C$34&lt;&gt;"")),1,0)))</f>
        <v/>
      </c>
      <c r="K383" s="33">
        <f>IF(J383=1,COUNTIF($J$2:J383,1),0)</f>
        <v/>
      </c>
    </row>
    <row r="384">
      <c r="I384" s="33">
        <f>IF(C384="",0,IFERROR(INDEX($E384:$H384,MATCH('Recepción'!$E$5,$E$1:$H$1,0)),0))</f>
        <v/>
      </c>
      <c r="J384" s="33">
        <f>IF(I384=0,0,IF(A384="S",1,IF(OR(B384='Recepción'!$E$13,B384='Recepción'!$E$14,B384='Recepción'!$E$15,AND(B384="Contacto con líquido",'Recepción'!$B$32&lt;&gt;""),AND(B384="Golpe / Caída",'Recepción'!$B$31&lt;&gt;""),AND(B384="No enciende",'Recepción'!$C$34&lt;&gt;"")),1,0)))</f>
        <v/>
      </c>
      <c r="K384" s="33">
        <f>IF(J384=1,COUNTIF($J$2:J384,1),0)</f>
        <v/>
      </c>
    </row>
    <row r="385">
      <c r="I385" s="33">
        <f>IF(C385="",0,IFERROR(INDEX($E385:$H385,MATCH('Recepción'!$E$5,$E$1:$H$1,0)),0))</f>
        <v/>
      </c>
      <c r="J385" s="33">
        <f>IF(I385=0,0,IF(A385="S",1,IF(OR(B385='Recepción'!$E$13,B385='Recepción'!$E$14,B385='Recepción'!$E$15,AND(B385="Contacto con líquido",'Recepción'!$B$32&lt;&gt;""),AND(B385="Golpe / Caída",'Recepción'!$B$31&lt;&gt;""),AND(B385="No enciende",'Recepción'!$C$34&lt;&gt;"")),1,0)))</f>
        <v/>
      </c>
      <c r="K385" s="33">
        <f>IF(J385=1,COUNTIF($J$2:J385,1),0)</f>
        <v/>
      </c>
    </row>
    <row r="386">
      <c r="I386" s="33">
        <f>IF(C386="",0,IFERROR(INDEX($E386:$H386,MATCH('Recepción'!$E$5,$E$1:$H$1,0)),0))</f>
        <v/>
      </c>
      <c r="J386" s="33">
        <f>IF(I386=0,0,IF(A386="S",1,IF(OR(B386='Recepción'!$E$13,B386='Recepción'!$E$14,B386='Recepción'!$E$15,AND(B386="Contacto con líquido",'Recepción'!$B$32&lt;&gt;""),AND(B386="Golpe / Caída",'Recepción'!$B$31&lt;&gt;""),AND(B386="No enciende",'Recepción'!$C$34&lt;&gt;"")),1,0)))</f>
        <v/>
      </c>
      <c r="K386" s="33">
        <f>IF(J386=1,COUNTIF($J$2:J386,1),0)</f>
        <v/>
      </c>
    </row>
    <row r="387">
      <c r="I387" s="33">
        <f>IF(C387="",0,IFERROR(INDEX($E387:$H387,MATCH('Recepción'!$E$5,$E$1:$H$1,0)),0))</f>
        <v/>
      </c>
      <c r="J387" s="33">
        <f>IF(I387=0,0,IF(A387="S",1,IF(OR(B387='Recepción'!$E$13,B387='Recepción'!$E$14,B387='Recepción'!$E$15,AND(B387="Contacto con líquido",'Recepción'!$B$32&lt;&gt;""),AND(B387="Golpe / Caída",'Recepción'!$B$31&lt;&gt;""),AND(B387="No enciende",'Recepción'!$C$34&lt;&gt;"")),1,0)))</f>
        <v/>
      </c>
      <c r="K387" s="33">
        <f>IF(J387=1,COUNTIF($J$2:J387,1),0)</f>
        <v/>
      </c>
    </row>
    <row r="388">
      <c r="I388" s="33">
        <f>IF(C388="",0,IFERROR(INDEX($E388:$H388,MATCH('Recepción'!$E$5,$E$1:$H$1,0)),0))</f>
        <v/>
      </c>
      <c r="J388" s="33">
        <f>IF(I388=0,0,IF(A388="S",1,IF(OR(B388='Recepción'!$E$13,B388='Recepción'!$E$14,B388='Recepción'!$E$15,AND(B388="Contacto con líquido",'Recepción'!$B$32&lt;&gt;""),AND(B388="Golpe / Caída",'Recepción'!$B$31&lt;&gt;""),AND(B388="No enciende",'Recepción'!$C$34&lt;&gt;"")),1,0)))</f>
        <v/>
      </c>
      <c r="K388" s="33">
        <f>IF(J388=1,COUNTIF($J$2:J388,1),0)</f>
        <v/>
      </c>
    </row>
    <row r="389">
      <c r="I389" s="33">
        <f>IF(C389="",0,IFERROR(INDEX($E389:$H389,MATCH('Recepción'!$E$5,$E$1:$H$1,0)),0))</f>
        <v/>
      </c>
      <c r="J389" s="33">
        <f>IF(I389=0,0,IF(A389="S",1,IF(OR(B389='Recepción'!$E$13,B389='Recepción'!$E$14,B389='Recepción'!$E$15,AND(B389="Contacto con líquido",'Recepción'!$B$32&lt;&gt;""),AND(B389="Golpe / Caída",'Recepción'!$B$31&lt;&gt;""),AND(B389="No enciende",'Recepción'!$C$34&lt;&gt;"")),1,0)))</f>
        <v/>
      </c>
      <c r="K389" s="33">
        <f>IF(J389=1,COUNTIF($J$2:J389,1),0)</f>
        <v/>
      </c>
    </row>
    <row r="390">
      <c r="I390" s="33">
        <f>IF(C390="",0,IFERROR(INDEX($E390:$H390,MATCH('Recepción'!$E$5,$E$1:$H$1,0)),0))</f>
        <v/>
      </c>
      <c r="J390" s="33">
        <f>IF(I390=0,0,IF(A390="S",1,IF(OR(B390='Recepción'!$E$13,B390='Recepción'!$E$14,B390='Recepción'!$E$15,AND(B390="Contacto con líquido",'Recepción'!$B$32&lt;&gt;""),AND(B390="Golpe / Caída",'Recepción'!$B$31&lt;&gt;""),AND(B390="No enciende",'Recepción'!$C$34&lt;&gt;"")),1,0)))</f>
        <v/>
      </c>
      <c r="K390" s="33">
        <f>IF(J390=1,COUNTIF($J$2:J390,1),0)</f>
        <v/>
      </c>
    </row>
    <row r="391">
      <c r="I391" s="33">
        <f>IF(C391="",0,IFERROR(INDEX($E391:$H391,MATCH('Recepción'!$E$5,$E$1:$H$1,0)),0))</f>
        <v/>
      </c>
      <c r="J391" s="33">
        <f>IF(I391=0,0,IF(A391="S",1,IF(OR(B391='Recepción'!$E$13,B391='Recepción'!$E$14,B391='Recepción'!$E$15,AND(B391="Contacto con líquido",'Recepción'!$B$32&lt;&gt;""),AND(B391="Golpe / Caída",'Recepción'!$B$31&lt;&gt;""),AND(B391="No enciende",'Recepción'!$C$34&lt;&gt;"")),1,0)))</f>
        <v/>
      </c>
      <c r="K391" s="33">
        <f>IF(J391=1,COUNTIF($J$2:J391,1),0)</f>
        <v/>
      </c>
    </row>
    <row r="392">
      <c r="I392" s="33">
        <f>IF(C392="",0,IFERROR(INDEX($E392:$H392,MATCH('Recepción'!$E$5,$E$1:$H$1,0)),0))</f>
        <v/>
      </c>
      <c r="J392" s="33">
        <f>IF(I392=0,0,IF(A392="S",1,IF(OR(B392='Recepción'!$E$13,B392='Recepción'!$E$14,B392='Recepción'!$E$15,AND(B392="Contacto con líquido",'Recepción'!$B$32&lt;&gt;""),AND(B392="Golpe / Caída",'Recepción'!$B$31&lt;&gt;""),AND(B392="No enciende",'Recepción'!$C$34&lt;&gt;"")),1,0)))</f>
        <v/>
      </c>
      <c r="K392" s="33">
        <f>IF(J392=1,COUNTIF($J$2:J392,1),0)</f>
        <v/>
      </c>
    </row>
    <row r="393">
      <c r="I393" s="33">
        <f>IF(C393="",0,IFERROR(INDEX($E393:$H393,MATCH('Recepción'!$E$5,$E$1:$H$1,0)),0))</f>
        <v/>
      </c>
      <c r="J393" s="33">
        <f>IF(I393=0,0,IF(A393="S",1,IF(OR(B393='Recepción'!$E$13,B393='Recepción'!$E$14,B393='Recepción'!$E$15,AND(B393="Contacto con líquido",'Recepción'!$B$32&lt;&gt;""),AND(B393="Golpe / Caída",'Recepción'!$B$31&lt;&gt;""),AND(B393="No enciende",'Recepción'!$C$34&lt;&gt;"")),1,0)))</f>
        <v/>
      </c>
      <c r="K393" s="33">
        <f>IF(J393=1,COUNTIF($J$2:J393,1),0)</f>
        <v/>
      </c>
    </row>
    <row r="394">
      <c r="I394" s="33">
        <f>IF(C394="",0,IFERROR(INDEX($E394:$H394,MATCH('Recepción'!$E$5,$E$1:$H$1,0)),0))</f>
        <v/>
      </c>
      <c r="J394" s="33">
        <f>IF(I394=0,0,IF(A394="S",1,IF(OR(B394='Recepción'!$E$13,B394='Recepción'!$E$14,B394='Recepción'!$E$15,AND(B394="Contacto con líquido",'Recepción'!$B$32&lt;&gt;""),AND(B394="Golpe / Caída",'Recepción'!$B$31&lt;&gt;""),AND(B394="No enciende",'Recepción'!$C$34&lt;&gt;"")),1,0)))</f>
        <v/>
      </c>
      <c r="K394" s="33">
        <f>IF(J394=1,COUNTIF($J$2:J394,1),0)</f>
        <v/>
      </c>
    </row>
    <row r="395">
      <c r="I395" s="33">
        <f>IF(C395="",0,IFERROR(INDEX($E395:$H395,MATCH('Recepción'!$E$5,$E$1:$H$1,0)),0))</f>
        <v/>
      </c>
      <c r="J395" s="33">
        <f>IF(I395=0,0,IF(A395="S",1,IF(OR(B395='Recepción'!$E$13,B395='Recepción'!$E$14,B395='Recepción'!$E$15,AND(B395="Contacto con líquido",'Recepción'!$B$32&lt;&gt;""),AND(B395="Golpe / Caída",'Recepción'!$B$31&lt;&gt;""),AND(B395="No enciende",'Recepción'!$C$34&lt;&gt;"")),1,0)))</f>
        <v/>
      </c>
      <c r="K395" s="33">
        <f>IF(J395=1,COUNTIF($J$2:J395,1),0)</f>
        <v/>
      </c>
    </row>
    <row r="396">
      <c r="I396" s="33">
        <f>IF(C396="",0,IFERROR(INDEX($E396:$H396,MATCH('Recepción'!$E$5,$E$1:$H$1,0)),0))</f>
        <v/>
      </c>
      <c r="J396" s="33">
        <f>IF(I396=0,0,IF(A396="S",1,IF(OR(B396='Recepción'!$E$13,B396='Recepción'!$E$14,B396='Recepción'!$E$15,AND(B396="Contacto con líquido",'Recepción'!$B$32&lt;&gt;""),AND(B396="Golpe / Caída",'Recepción'!$B$31&lt;&gt;""),AND(B396="No enciende",'Recepción'!$C$34&lt;&gt;"")),1,0)))</f>
        <v/>
      </c>
      <c r="K396" s="33">
        <f>IF(J396=1,COUNTIF($J$2:J396,1),0)</f>
        <v/>
      </c>
    </row>
    <row r="397">
      <c r="I397" s="33">
        <f>IF(C397="",0,IFERROR(INDEX($E397:$H397,MATCH('Recepción'!$E$5,$E$1:$H$1,0)),0))</f>
        <v/>
      </c>
      <c r="J397" s="33">
        <f>IF(I397=0,0,IF(A397="S",1,IF(OR(B397='Recepción'!$E$13,B397='Recepción'!$E$14,B397='Recepción'!$E$15,AND(B397="Contacto con líquido",'Recepción'!$B$32&lt;&gt;""),AND(B397="Golpe / Caída",'Recepción'!$B$31&lt;&gt;""),AND(B397="No enciende",'Recepción'!$C$34&lt;&gt;"")),1,0)))</f>
        <v/>
      </c>
      <c r="K397" s="33">
        <f>IF(J397=1,COUNTIF($J$2:J397,1),0)</f>
        <v/>
      </c>
    </row>
    <row r="398">
      <c r="I398" s="33">
        <f>IF(C398="",0,IFERROR(INDEX($E398:$H398,MATCH('Recepción'!$E$5,$E$1:$H$1,0)),0))</f>
        <v/>
      </c>
      <c r="J398" s="33">
        <f>IF(I398=0,0,IF(A398="S",1,IF(OR(B398='Recepción'!$E$13,B398='Recepción'!$E$14,B398='Recepción'!$E$15,AND(B398="Contacto con líquido",'Recepción'!$B$32&lt;&gt;""),AND(B398="Golpe / Caída",'Recepción'!$B$31&lt;&gt;""),AND(B398="No enciende",'Recepción'!$C$34&lt;&gt;"")),1,0)))</f>
        <v/>
      </c>
      <c r="K398" s="33">
        <f>IF(J398=1,COUNTIF($J$2:J398,1),0)</f>
        <v/>
      </c>
    </row>
    <row r="399">
      <c r="I399" s="33">
        <f>IF(C399="",0,IFERROR(INDEX($E399:$H399,MATCH('Recepción'!$E$5,$E$1:$H$1,0)),0))</f>
        <v/>
      </c>
      <c r="J399" s="33">
        <f>IF(I399=0,0,IF(A399="S",1,IF(OR(B399='Recepción'!$E$13,B399='Recepción'!$E$14,B399='Recepción'!$E$15,AND(B399="Contacto con líquido",'Recepción'!$B$32&lt;&gt;""),AND(B399="Golpe / Caída",'Recepción'!$B$31&lt;&gt;""),AND(B399="No enciende",'Recepción'!$C$34&lt;&gt;"")),1,0)))</f>
        <v/>
      </c>
      <c r="K399" s="33">
        <f>IF(J399=1,COUNTIF($J$2:J399,1),0)</f>
        <v/>
      </c>
    </row>
    <row r="400">
      <c r="I400" s="33">
        <f>IF(C400="",0,IFERROR(INDEX($E400:$H400,MATCH('Recepción'!$E$5,$E$1:$H$1,0)),0))</f>
        <v/>
      </c>
      <c r="J400" s="33">
        <f>IF(I400=0,0,IF(A400="S",1,IF(OR(B400='Recepción'!$E$13,B400='Recepción'!$E$14,B400='Recepción'!$E$15,AND(B400="Contacto con líquido",'Recepción'!$B$32&lt;&gt;""),AND(B400="Golpe / Caída",'Recepción'!$B$31&lt;&gt;""),AND(B400="No enciende",'Recepción'!$C$34&lt;&gt;"")),1,0)))</f>
        <v/>
      </c>
      <c r="K400" s="33">
        <f>IF(J400=1,COUNTIF($J$2:J400,1),0)</f>
        <v/>
      </c>
    </row>
  </sheetData>
  <autoFilter ref="A1:K239"/>
  <dataValidations count="2">
    <dataValidation sqref="E2:H400" showDropDown="0" showInputMessage="0" showErrorMessage="0" allowBlank="1" type="list">
      <formula1>"1,0"</formula1>
    </dataValidation>
    <dataValidation sqref="D2:D400" showDropDown="0" showInputMessage="0" showErrorMessage="0" allowBlank="1" type="list">
      <formula1>"CHK,YN,YNS,TXT,HEAD"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34" t="inlineStr">
        <is>
          <t>Tipo de equipo</t>
        </is>
      </c>
      <c r="B1" s="34" t="inlineStr">
        <is>
          <t>Clave</t>
        </is>
      </c>
      <c r="D1" s="34" t="inlineStr">
        <is>
          <t>F_Celular</t>
        </is>
      </c>
      <c r="E1" s="34" t="inlineStr">
        <is>
          <t>F_Reloj</t>
        </is>
      </c>
      <c r="F1" s="34" t="inlineStr">
        <is>
          <t>F_Computadora</t>
        </is>
      </c>
      <c r="G1" s="34" t="inlineStr">
        <is>
          <t>F_Consola</t>
        </is>
      </c>
    </row>
    <row r="2">
      <c r="A2" s="35" t="inlineStr">
        <is>
          <t>Celular</t>
        </is>
      </c>
      <c r="B2" s="35" t="inlineStr">
        <is>
          <t>Celular</t>
        </is>
      </c>
      <c r="D2" s="35" t="inlineStr">
        <is>
          <t>No enciende</t>
        </is>
      </c>
      <c r="E2" s="35" t="inlineStr">
        <is>
          <t>No enciende</t>
        </is>
      </c>
      <c r="F2" s="35" t="inlineStr">
        <is>
          <t>No enciende</t>
        </is>
      </c>
      <c r="G2" s="35" t="inlineStr">
        <is>
          <t>No enciende</t>
        </is>
      </c>
    </row>
    <row r="3">
      <c r="A3" s="35" t="inlineStr">
        <is>
          <t>Reloj</t>
        </is>
      </c>
      <c r="B3" s="35" t="inlineStr">
        <is>
          <t>Reloj</t>
        </is>
      </c>
      <c r="D3" s="35" t="inlineStr">
        <is>
          <t>Batería / No carga</t>
        </is>
      </c>
      <c r="E3" s="35" t="inlineStr">
        <is>
          <t>Batería / No carga</t>
        </is>
      </c>
      <c r="F3" s="35" t="inlineStr">
        <is>
          <t>Batería / No carga</t>
        </is>
      </c>
      <c r="G3" s="35" t="inlineStr">
        <is>
          <t>Batería / No carga</t>
        </is>
      </c>
    </row>
    <row r="4">
      <c r="A4" s="35" t="inlineStr">
        <is>
          <t>Computadora</t>
        </is>
      </c>
      <c r="B4" s="35" t="inlineStr">
        <is>
          <t>Computadora</t>
        </is>
      </c>
      <c r="D4" s="35" t="inlineStr">
        <is>
          <t>Calentamiento / Se apaga</t>
        </is>
      </c>
      <c r="E4" s="35" t="inlineStr">
        <is>
          <t>Contacto con líquido</t>
        </is>
      </c>
      <c r="F4" s="35" t="inlineStr">
        <is>
          <t>Calentamiento / Se apaga</t>
        </is>
      </c>
      <c r="G4" s="35" t="inlineStr">
        <is>
          <t>Calentamiento / Se apaga</t>
        </is>
      </c>
    </row>
    <row r="5">
      <c r="A5" s="35" t="inlineStr">
        <is>
          <t>Consola</t>
        </is>
      </c>
      <c r="B5" s="35" t="inlineStr">
        <is>
          <t>Consola</t>
        </is>
      </c>
      <c r="D5" s="35" t="inlineStr">
        <is>
          <t>Contacto con líquido</t>
        </is>
      </c>
      <c r="E5" s="35" t="inlineStr">
        <is>
          <t>Golpe / Caída</t>
        </is>
      </c>
      <c r="F5" s="35" t="inlineStr">
        <is>
          <t>Contacto con líquido</t>
        </is>
      </c>
      <c r="G5" s="35" t="inlineStr">
        <is>
          <t>Contacto con líquido</t>
        </is>
      </c>
    </row>
    <row r="6">
      <c r="D6" s="35" t="inlineStr">
        <is>
          <t>Golpe / Caída</t>
        </is>
      </c>
      <c r="E6" s="35" t="inlineStr">
        <is>
          <t>Pantalla / Imagen</t>
        </is>
      </c>
      <c r="F6" s="35" t="inlineStr">
        <is>
          <t>Golpe / Caída</t>
        </is>
      </c>
      <c r="G6" s="35" t="inlineStr">
        <is>
          <t>Golpe / Caída</t>
        </is>
      </c>
    </row>
    <row r="7">
      <c r="D7" s="35" t="inlineStr">
        <is>
          <t>Pantalla / Imagen</t>
        </is>
      </c>
      <c r="E7" s="35" t="inlineStr">
        <is>
          <t>Lentitud / Sistema</t>
        </is>
      </c>
      <c r="F7" s="35" t="inlineStr">
        <is>
          <t>Pantalla / Imagen</t>
        </is>
      </c>
      <c r="G7" s="35" t="inlineStr">
        <is>
          <t>Pantalla / Imagen</t>
        </is>
      </c>
    </row>
    <row r="8">
      <c r="D8" s="35" t="inlineStr">
        <is>
          <t>Lentitud / Sistema</t>
        </is>
      </c>
      <c r="E8" s="35" t="inlineStr">
        <is>
          <t>Cuenta / Bloqueo</t>
        </is>
      </c>
      <c r="F8" s="35" t="inlineStr">
        <is>
          <t>Lentitud / Sistema</t>
        </is>
      </c>
      <c r="G8" s="35" t="inlineStr">
        <is>
          <t>Lentitud / Sistema</t>
        </is>
      </c>
    </row>
    <row r="9">
      <c r="D9" s="35" t="inlineStr">
        <is>
          <t>Cuenta / Bloqueo</t>
        </is>
      </c>
      <c r="E9" s="35" t="inlineStr">
        <is>
          <t>Audio / Cámara / Micrófono</t>
        </is>
      </c>
      <c r="F9" s="35" t="inlineStr">
        <is>
          <t>Disco / Almacenamiento</t>
        </is>
      </c>
      <c r="G9" s="35" t="inlineStr">
        <is>
          <t>Disco / Almacenamiento</t>
        </is>
      </c>
    </row>
    <row r="10">
      <c r="D10" s="35" t="inlineStr">
        <is>
          <t>Audio / Cámara / Micrófono</t>
        </is>
      </c>
      <c r="E10" s="35" t="inlineStr">
        <is>
          <t>Red / Señal / Conectividad</t>
        </is>
      </c>
      <c r="F10" s="35" t="inlineStr">
        <is>
          <t>Cuenta / Bloqueo</t>
        </is>
      </c>
      <c r="G10" s="35" t="inlineStr">
        <is>
          <t>Cuenta / Bloqueo</t>
        </is>
      </c>
    </row>
    <row r="11">
      <c r="D11" s="35" t="inlineStr">
        <is>
          <t>Red / Señal / Conectividad</t>
        </is>
      </c>
      <c r="E11" s="35" t="inlineStr">
        <is>
          <t>Sensores / Botones / Correa</t>
        </is>
      </c>
      <c r="F11" s="35" t="inlineStr">
        <is>
          <t>Audio / Cámara / Micrófono</t>
        </is>
      </c>
      <c r="G11" s="35" t="inlineStr">
        <is>
          <t>Audio / Cámara / Micrófono</t>
        </is>
      </c>
    </row>
    <row r="12">
      <c r="D12" s="35" t="inlineStr">
        <is>
          <t>Otra falla</t>
        </is>
      </c>
      <c r="E12" s="35" t="inlineStr">
        <is>
          <t>Otra falla</t>
        </is>
      </c>
      <c r="F12" s="35" t="inlineStr">
        <is>
          <t>Red / Señal / Conectividad</t>
        </is>
      </c>
      <c r="G12" s="35" t="inlineStr">
        <is>
          <t>Red / Señal / Conectividad</t>
        </is>
      </c>
    </row>
    <row r="13">
      <c r="F13" s="35" t="inlineStr">
        <is>
          <t>Teclado / Touchpad / Puertos</t>
        </is>
      </c>
      <c r="G13" s="35" t="inlineStr">
        <is>
          <t>Lector de disco / Juegos</t>
        </is>
      </c>
    </row>
    <row r="14">
      <c r="F14" s="35" t="inlineStr">
        <is>
          <t>Otra falla</t>
        </is>
      </c>
      <c r="G14" s="35" t="inlineStr">
        <is>
          <t>Control / Mando</t>
        </is>
      </c>
    </row>
    <row r="15">
      <c r="G15" s="35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2026-09-30T15:44:31Z</dcterms:created>
  <dcterms:modified xsi:type="dcterms:W3CDTF">2026-09-30T15:44:32Z</dcterms:modified>
</cp:coreProperties>
</file>