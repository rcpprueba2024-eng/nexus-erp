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Banco_Preguntas" sheetId="3" state="visible" r:id="rId3"/>
    <sheet name="Listas" sheetId="4" state="visible" r:id="rId4"/>
  </sheets>
  <definedNames>
    <definedName name="T_EQUIPO">Listas!$A$2:$A$5</definedName>
    <definedName name="L_YN">Listas!$C$2:$C$3</definedName>
    <definedName name="L_YNS">Listas!$D$2:$D$4</definedName>
    <definedName name="L_YNC">Listas!$T$2:$T$4</definedName>
    <definedName name="L_FUN">Listas!$U$2:$U$4</definedName>
    <definedName name="L_FALLAP">Listas!$V$2:$V$12</definedName>
    <definedName name="L_DESDE">Listas!$W$2:$W$8</definedName>
    <definedName name="L_PERM">Listas!$X$2:$X$4</definedName>
    <definedName name="L_ENC">Listas!$Y$2:$Y$5</definedName>
    <definedName name="L_OTRAF">Listas!$Z$2:$Z$10</definedName>
    <definedName name="L_LUZ">Listas!$AA$2:$AA$8</definedName>
    <definedName name="L_SENAL">Listas!$AB$2:$AB$6</definedName>
    <definedName name="L_AUTON">Listas!$AC$2:$AC$7</definedName>
    <definedName name="L_ZONAC">Listas!$AD$2:$AD$7</definedName>
    <definedName name="L_MANT">Listas!$AE$2:$AE$6</definedName>
    <definedName name="L_ABCE">Listas!$AF$2:$AF$4</definedName>
    <definedName name="L_ZONAI">Listas!$AG$2:$AG$9</definedName>
    <definedName name="L_ERR">Listas!$AH$2:$AH$7</definedName>
    <definedName name="L_PROG">Listas!$AI$2:$AI$8</definedName>
    <definedName name="L_SO">Listas!$AJ$2:$AJ$7</definedName>
    <definedName name="L_TEL">Listas!$AK$2:$AK$4</definedName>
    <definedName name="L_JUE">Listas!$AL$2:$AL$5</definedName>
    <definedName name="L_NCTRL">Listas!$AM$2:$AM$5</definedName>
    <definedName name="L_SOL">Listas!$AN$2:$AN$8</definedName>
    <definedName name="L_DANO">Listas!$AO$2:$AO$8</definedName>
    <definedName name="L_CUANDO">Listas!$AP$2:$AP$6</definedName>
    <definedName name="L_MOM">Listas!$AQ$2:$AQ$5</definedName>
    <definedName name="L_LIQ">Listas!$AR$2:$AR$8</definedName>
    <definedName name="L_E_PANT">Listas!$AS$2:$AS$5</definedName>
    <definedName name="L_E_CARC">Listas!$AT$2:$AT$5</definedName>
    <definedName name="L_PIN">Listas!$AU$2:$AU$5</definedName>
    <definedName name="F_Celular">Listas!$F$2:$F$12</definedName>
    <definedName name="F_Reloj">Listas!$G$2:$G$12</definedName>
    <definedName name="F_Computadora">Listas!$H$2:$H$14</definedName>
    <definedName name="F_Consola">Listas!$I$2:$I$15</definedName>
    <definedName name="_xlnm.Print_Titles" localSheetId="1">'Recepción'!$1:$2</definedName>
    <definedName name="_xlnm._FilterDatabase" localSheetId="2" hidden="1">'Banco_Preguntas'!$A$1:$K$232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 inden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name val="Arial"/>
        <b val="1"/>
        <color rgb="00FFFFFF"/>
        <sz val="11"/>
      </font>
      <fill>
        <patternFill patternType="solid">
          <bgColor rgb="001F3864"/>
        </patternFill>
      </fill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name val="Arial"/>
        <b val="1"/>
        <color rgb="00006100"/>
      </font>
      <fill>
        <patternFill patternType="solid">
          <bgColor rgb="00C6EFCE"/>
        </patternFill>
      </fill>
    </dxf>
    <dxf>
      <font>
        <name val="Arial"/>
        <b val="1"/>
        <color rgb="007F6000"/>
      </font>
      <fill>
        <patternFill patternType="solid">
          <bgColor rgb="00FFEB9C"/>
        </patternFill>
      </fill>
    </dxf>
    <dxf>
      <fill>
        <patternFill patternType="solid">
          <bgColor rgb="00FFF8DC"/>
        </patternFill>
      </fill>
    </dxf>
    <dxf>
      <font>
        <name val="Arial"/>
        <b val="1"/>
        <color rgb="002E75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CÓMO USARLO</t>
        </is>
      </c>
    </row>
    <row r="4" ht="18" customHeight="1">
      <c r="B4" s="3" t="inlineStr">
        <is>
          <t>1. Abrir</t>
        </is>
      </c>
      <c r="C4" s="4" t="inlineStr">
        <is>
          <t>La hoja «Recepción» abre vacía: solo los datos del cliente y el selector de equipo.</t>
        </is>
      </c>
    </row>
    <row r="5" ht="32" customHeight="1">
      <c r="B5" s="3" t="inlineStr">
        <is>
          <t>2. Equipo</t>
        </is>
      </c>
      <c r="C5" s="4" t="inlineStr">
        <is>
          <t>Elija Celular, Reloj, Computadora o Consola. En ese momento se despliega el checklist de ese equipo (nada se mezcla con los demás).</t>
        </is>
      </c>
    </row>
    <row r="6" ht="18" customHeight="1">
      <c r="B6" s="3" t="inlineStr">
        <is>
          <t>3. Falla</t>
        </is>
      </c>
      <c r="C6" s="4" t="inlineStr">
        <is>
          <t>Elija la falla principal (y hasta dos más) para agregar el checklist específico de esa falla.</t>
        </is>
      </c>
    </row>
    <row r="7" ht="46" customHeight="1">
      <c r="B7" s="3" t="inlineStr">
        <is>
          <t>4. Responder</t>
        </is>
      </c>
      <c r="C7" s="4" t="inlineStr">
        <is>
          <t>Cada fila es una pregunta. Las de Sí/No tienen lista desplegable y se pintan de color; las que piden un dato (falla, fecha, tipo de líquido, estado de pantalla…) tienen su propia lista de opciones. Nada se escribe, excepto la contraseña/PIN y las notas opcionales de «Detalle».</t>
        </is>
      </c>
    </row>
    <row r="8" ht="46" customHeight="1">
      <c r="B8" s="3" t="inlineStr">
        <is>
          <t>5. Reglas automáticas</t>
        </is>
      </c>
      <c r="C8" s="4" t="inlineStr">
        <is>
          <t>Si responde Sí en líquido, se agrega el bloque de líquido; Sí en golpe, el de golpe; No en «¿Enciende actualmente?», el de «No enciende». Salen alertas rojas de líquido, batería inflada, datos sin respaldo, reparación previa y golpe.</t>
        </is>
      </c>
    </row>
    <row r="9" ht="32" customHeight="1">
      <c r="B9" s="3" t="inlineStr">
        <is>
          <t>6. Guardar</t>
        </is>
      </c>
      <c r="C9" s="4" t="inlineStr">
        <is>
          <t>Por cada cliente use «Guardar como» con nombre nuevo (ej. RCP_Cliente_2026-09-30.xlsx) y deje esta versión como plantilla limpia.</t>
        </is>
      </c>
    </row>
    <row r="10">
      <c r="B10" s="2" t="inlineStr">
        <is>
          <t>COLORES</t>
        </is>
      </c>
    </row>
    <row r="11" ht="18" customHeight="1">
      <c r="B11" s="5" t="inlineStr">
        <is>
          <t>Sí</t>
        </is>
      </c>
      <c r="C11" s="4" t="inlineStr">
        <is>
          <t>Verde.</t>
        </is>
      </c>
    </row>
    <row r="12" ht="18" customHeight="1">
      <c r="B12" s="6" t="inlineStr">
        <is>
          <t>No</t>
        </is>
      </c>
      <c r="C12" s="4" t="inlineStr">
        <is>
          <t>Rojo.</t>
        </is>
      </c>
    </row>
    <row r="13" ht="18" customHeight="1">
      <c r="B13" s="7" t="inlineStr">
        <is>
          <t>No sé</t>
        </is>
      </c>
      <c r="C13" s="4" t="inlineStr">
        <is>
          <t>Amarillo.</t>
        </is>
      </c>
    </row>
    <row r="14" ht="18" customHeight="1">
      <c r="B14" s="3" t="inlineStr">
        <is>
          <t>Amarillo claro</t>
        </is>
      </c>
      <c r="C14" s="4" t="inlineStr">
        <is>
          <t>Celda por responder.</t>
        </is>
      </c>
    </row>
    <row r="15" ht="18" customHeight="1">
      <c r="B15" s="3" t="inlineStr">
        <is>
          <t>Contraseña</t>
        </is>
      </c>
      <c r="C15" s="4" t="inlineStr">
        <is>
          <t>Es la única respuesta que se escribe a mano.</t>
        </is>
      </c>
    </row>
    <row r="16">
      <c r="B16" s="2" t="inlineStr">
        <is>
          <t>PERSONALIZAR</t>
        </is>
      </c>
    </row>
    <row r="17" ht="32" customHeight="1">
      <c r="B17" s="3" t="inlineStr">
        <is>
          <t>Banco_Preguntas</t>
        </is>
      </c>
      <c r="C17" s="4" t="inlineStr">
        <is>
          <t>Contiene todas las preguntas. Puede editar textos o agregar preguntas al final indicando bloque, tipo (YN, YNS, TXT) y marcando 1/0 los equipos donde aplica.</t>
        </is>
      </c>
    </row>
    <row r="18" ht="18" customHeight="1">
      <c r="B18" s="3" t="inlineStr">
        <is>
          <t>Importante</t>
        </is>
      </c>
      <c r="C18" s="4" t="inlineStr">
        <is>
          <t>Abra el archivo en Excel. Las vistas previas no recalculan y no mostrarán el cambio automático.</t>
        </is>
      </c>
    </row>
  </sheetData>
  <mergeCells count="4">
    <mergeCell ref="B1:C1"/>
    <mergeCell ref="B3:C3"/>
    <mergeCell ref="B16:C16"/>
    <mergeCell ref="B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H1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66" customWidth="1" min="3" max="3"/>
    <col width="30" customWidth="1" min="4" max="4"/>
    <col width="36" customWidth="1" min="5" max="5"/>
    <col hidden="1" width="6" customWidth="1" min="6" max="6"/>
    <col hidden="1" width="8" customWidth="1" min="7" max="7"/>
    <col hidden="1" width="10" customWidth="1" min="8" max="8"/>
  </cols>
  <sheetData>
    <row r="1" ht="36" customHeight="1">
      <c r="B1" s="1" t="inlineStr">
        <is>
          <t>RCP · CHECKLIST DE RECEPCIÓN TÉCNICA</t>
        </is>
      </c>
    </row>
    <row r="2">
      <c r="B2" s="8" t="inlineStr">
        <is>
          <t>Elija el tipo de equipo y se despliega su checklist. Responda cada pregunta: Sí / No / No sé.</t>
        </is>
      </c>
    </row>
    <row r="4" ht="22" customHeight="1">
      <c r="B4" s="9" t="inlineStr">
        <is>
          <t>DATOS DEL EQUIPO Y DEL CLIENTE</t>
        </is>
      </c>
    </row>
    <row r="5" ht="21" customHeight="1">
      <c r="B5" s="10" t="inlineStr">
        <is>
          <t>Tipo de equipo *</t>
        </is>
      </c>
      <c r="C5" s="11" t="n"/>
      <c r="D5" s="12" t="n"/>
      <c r="F5">
        <f>IFERROR(INDEX(Listas!$B$2:$B$5,MATCH(C5,Listas!$A$2:$A$5,0)),"Otro")</f>
        <v/>
      </c>
    </row>
    <row r="6" ht="21" customHeight="1">
      <c r="B6" s="10" t="inlineStr">
        <is>
          <t>N.º de orden</t>
        </is>
      </c>
      <c r="C6" s="11" t="n"/>
      <c r="D6" s="12" t="n"/>
    </row>
    <row r="7" ht="21" customHeight="1">
      <c r="B7" s="10" t="inlineStr">
        <is>
          <t>Marca / Modelo</t>
        </is>
      </c>
      <c r="C7" s="11" t="n"/>
      <c r="D7" s="12" t="n"/>
    </row>
    <row r="8" ht="21" customHeight="1">
      <c r="B8" s="10" t="inlineStr">
        <is>
          <t>Serial / IMEI</t>
        </is>
      </c>
      <c r="C8" s="11" t="n"/>
      <c r="D8" s="12" t="n"/>
    </row>
    <row r="9" ht="21" customHeight="1">
      <c r="B9" s="10" t="inlineStr">
        <is>
          <t>Cliente</t>
        </is>
      </c>
      <c r="C9" s="11" t="n"/>
      <c r="D9" s="12" t="n"/>
    </row>
    <row r="10" ht="21" customHeight="1">
      <c r="B10" s="10" t="inlineStr">
        <is>
          <t>Teléfono / WhatsApp</t>
        </is>
      </c>
      <c r="C10" s="11" t="n"/>
      <c r="D10" s="12" t="n"/>
    </row>
    <row r="11" ht="21" customHeight="1">
      <c r="B11" s="10" t="inlineStr">
        <is>
          <t>Recibido por</t>
        </is>
      </c>
      <c r="C11" s="11" t="n"/>
      <c r="D11" s="12" t="n"/>
    </row>
    <row r="12" ht="21" customHeight="1">
      <c r="B12" s="10" t="inlineStr">
        <is>
          <t>Fecha de recepción</t>
        </is>
      </c>
      <c r="C12" s="13" t="n"/>
      <c r="D12" s="12" t="n"/>
    </row>
    <row r="13" ht="21" customHeight="1">
      <c r="B13" s="10" t="inlineStr">
        <is>
          <t>Falla reportada (principal)</t>
        </is>
      </c>
      <c r="C13" s="11" t="n"/>
      <c r="D13" s="12" t="n"/>
    </row>
    <row r="14" ht="21" customHeight="1">
      <c r="B14" s="10" t="inlineStr">
        <is>
          <t>Segunda falla (opcional)</t>
        </is>
      </c>
      <c r="C14" s="11" t="n"/>
      <c r="D14" s="12" t="n"/>
    </row>
    <row r="15" ht="21" customHeight="1">
      <c r="B15" s="10" t="inlineStr">
        <is>
          <t>Tercera falla (opcional)</t>
        </is>
      </c>
      <c r="C15" s="11" t="n"/>
      <c r="D15" s="12" t="n"/>
    </row>
    <row r="16" ht="21" customHeight="1">
      <c r="B16" s="10" t="inlineStr">
        <is>
          <t>Nivel de atención</t>
        </is>
      </c>
      <c r="C16" s="14">
        <f>IF(C5="","",IF(OR(D29="Sí",SUMPRODUCT(ISNUMBER(SEARCH("inflada",$C$24:$C$193))*($D$24:$D$193="Sí"))&gt;0),"ALTA PRIORIDAD","Normal"))</f>
        <v/>
      </c>
      <c r="D16" s="15" t="n"/>
    </row>
    <row r="17">
      <c r="B17" s="16">
        <f>IF(COUNTIF(Banco_Preguntas!$J$2:$J$500,1)&gt;170,"AVISO: hay más preguntas que filas disponibles; reduzca las fallas seleccionadas.",IF(C5="","Seleccione el tipo de equipo para comenzar.",IF(C13="","Ahora seleccione la falla reportada (fila 13) para agregar las preguntas de esa falla.",IF(COUNTIF(INDEX(Listas!$F$2:$I$20,0,MATCH(C5,Listas!$A$2:$A$5,0)),C13)=0,"La falla elegida no aplica a este equipo: vuelva a seleccionarla.","Checklist de "&amp;C5&amp;" · falla: "&amp;C13&amp;IF(C14&lt;&gt;""," + "&amp;C14,"")&amp;IF(C15&lt;&gt;""," + "&amp;C15,"")))))</f>
        <v/>
      </c>
    </row>
    <row r="18" ht="14" customHeight="1">
      <c r="B18" s="17">
        <f>IF(D29="Sí","ALTA PRIORIDAD · Ingresa por CONTAMINACIÓN DE LÍQUIDO: registrarlo en la orden; no encender ni conectar al cargador.","")</f>
        <v/>
      </c>
    </row>
    <row r="19" ht="14" customHeight="1">
      <c r="B19" s="17">
        <f>IF(SUMPRODUCT(ISNUMBER(SEARCH("inflada",$C$24:$C$193))*($D$24:$D$193="Sí"))&gt;0,"ALTA PRIORIDAD · Batería inflada / equipo deformado: riesgo de seguridad, manipular con cuidado y aislar el equipo.","")</f>
        <v/>
      </c>
    </row>
    <row r="20" ht="14" customHeight="1">
      <c r="B20" s="17">
        <f>IF(AND(D33="Sí",D34&lt;&gt;"Sí"),"DATOS EN RIESGO · Información importante SIN respaldo confirmado: reforzar la autorización de la sección D antes de intervenir.","")</f>
        <v/>
      </c>
    </row>
    <row r="21" ht="14" customHeight="1">
      <c r="B21" s="17">
        <f>IF(D30="Sí","Equipo abierto o reparado antes: fotografiar señales de apertura y anotar quién lo intervino.","")</f>
        <v/>
      </c>
    </row>
    <row r="22" ht="14" customHeight="1">
      <c r="B22" s="17">
        <f>IF(D28="Sí","Golpe o caída reportado: documentar la zona del impacto y fotografiar daños existentes.","")</f>
        <v/>
      </c>
    </row>
    <row r="23" ht="20" customHeight="1">
      <c r="B23" s="18">
        <f>IF($C$5="","","Bloque")</f>
        <v/>
      </c>
      <c r="C23" s="18">
        <f>IF($C$5="","","Pregunta")</f>
        <v/>
      </c>
      <c r="D23" s="18">
        <f>IF($C$5="","","Respuesta")</f>
        <v/>
      </c>
      <c r="E23" s="18">
        <f>IF($C$5="","","Detalle / observación")</f>
        <v/>
      </c>
    </row>
    <row r="24">
      <c r="B24" s="19">
        <f>IF(OR(F24=0,G24="HEAD"),"",INDEX(Banco_Preguntas!$B$2:$B$500,F24))</f>
        <v/>
      </c>
      <c r="C24" s="20">
        <f>IF(F24=0,"",INDEX(Banco_Preguntas!$C$2:$C$500,F24))</f>
        <v/>
      </c>
      <c r="D24" s="21" t="n"/>
      <c r="E24" s="20" t="n"/>
      <c r="F24">
        <f>IFERROR(MATCH(1,Banco_Preguntas!$K$2:$K$500,0),0)</f>
        <v/>
      </c>
      <c r="G24">
        <f>IF(F24=0,"",INDEX(Banco_Preguntas!$D$2:$D$500,F24))</f>
        <v/>
      </c>
      <c r="H24">
        <f>IF(OR(G24="",G24="TXT",G24="HEAD"),"L_YN","L_"&amp;G24)</f>
        <v/>
      </c>
    </row>
    <row r="25">
      <c r="B25" s="19">
        <f>IF(OR(F25=0,G25="HEAD"),"",INDEX(Banco_Preguntas!$B$2:$B$500,F25))</f>
        <v/>
      </c>
      <c r="C25" s="20">
        <f>IF(F25=0,"",INDEX(Banco_Preguntas!$C$2:$C$500,F25))</f>
        <v/>
      </c>
      <c r="D25" s="21" t="n"/>
      <c r="E25" s="20" t="n"/>
      <c r="F25">
        <f>IFERROR(MATCH(2,Banco_Preguntas!$K$2:$K$500,0),0)</f>
        <v/>
      </c>
      <c r="G25">
        <f>IF(F25=0,"",INDEX(Banco_Preguntas!$D$2:$D$500,F25))</f>
        <v/>
      </c>
      <c r="H25">
        <f>IF(OR(G25="",G25="TXT",G25="HEAD"),"L_YN","L_"&amp;G25)</f>
        <v/>
      </c>
    </row>
    <row r="26">
      <c r="B26" s="19">
        <f>IF(OR(F26=0,G26="HEAD"),"",INDEX(Banco_Preguntas!$B$2:$B$500,F26))</f>
        <v/>
      </c>
      <c r="C26" s="20">
        <f>IF(F26=0,"",INDEX(Banco_Preguntas!$C$2:$C$500,F26))</f>
        <v/>
      </c>
      <c r="D26" s="21" t="n"/>
      <c r="E26" s="20" t="n"/>
      <c r="F26">
        <f>IFERROR(MATCH(3,Banco_Preguntas!$K$2:$K$500,0),0)</f>
        <v/>
      </c>
      <c r="G26">
        <f>IF(F26=0,"",INDEX(Banco_Preguntas!$D$2:$D$500,F26))</f>
        <v/>
      </c>
      <c r="H26">
        <f>IF(OR(G26="",G26="TXT",G26="HEAD"),"L_YN","L_"&amp;G26)</f>
        <v/>
      </c>
    </row>
    <row r="27">
      <c r="B27" s="19">
        <f>IF(OR(F27=0,G27="HEAD"),"",INDEX(Banco_Preguntas!$B$2:$B$500,F27))</f>
        <v/>
      </c>
      <c r="C27" s="20">
        <f>IF(F27=0,"",INDEX(Banco_Preguntas!$C$2:$C$500,F27))</f>
        <v/>
      </c>
      <c r="D27" s="21" t="n"/>
      <c r="E27" s="20" t="n"/>
      <c r="F27">
        <f>IFERROR(MATCH(4,Banco_Preguntas!$K$2:$K$500,0),0)</f>
        <v/>
      </c>
      <c r="G27">
        <f>IF(F27=0,"",INDEX(Banco_Preguntas!$D$2:$D$500,F27))</f>
        <v/>
      </c>
      <c r="H27">
        <f>IF(OR(G27="",G27="TXT",G27="HEAD"),"L_YN","L_"&amp;G27)</f>
        <v/>
      </c>
    </row>
    <row r="28">
      <c r="B28" s="19">
        <f>IF(OR(F28=0,G28="HEAD"),"",INDEX(Banco_Preguntas!$B$2:$B$500,F28))</f>
        <v/>
      </c>
      <c r="C28" s="20">
        <f>IF(F28=0,"",INDEX(Banco_Preguntas!$C$2:$C$500,F28))</f>
        <v/>
      </c>
      <c r="D28" s="21" t="n"/>
      <c r="E28" s="20" t="n"/>
      <c r="F28">
        <f>IFERROR(MATCH(5,Banco_Preguntas!$K$2:$K$500,0),0)</f>
        <v/>
      </c>
      <c r="G28">
        <f>IF(F28=0,"",INDEX(Banco_Preguntas!$D$2:$D$500,F28))</f>
        <v/>
      </c>
      <c r="H28">
        <f>IF(OR(G28="",G28="TXT",G28="HEAD"),"L_YN","L_"&amp;G28)</f>
        <v/>
      </c>
    </row>
    <row r="29">
      <c r="B29" s="19">
        <f>IF(OR(F29=0,G29="HEAD"),"",INDEX(Banco_Preguntas!$B$2:$B$500,F29))</f>
        <v/>
      </c>
      <c r="C29" s="20">
        <f>IF(F29=0,"",INDEX(Banco_Preguntas!$C$2:$C$500,F29))</f>
        <v/>
      </c>
      <c r="D29" s="21" t="n"/>
      <c r="E29" s="20" t="n"/>
      <c r="F29">
        <f>IFERROR(MATCH(6,Banco_Preguntas!$K$2:$K$500,0),0)</f>
        <v/>
      </c>
      <c r="G29">
        <f>IF(F29=0,"",INDEX(Banco_Preguntas!$D$2:$D$500,F29))</f>
        <v/>
      </c>
      <c r="H29">
        <f>IF(OR(G29="",G29="TXT",G29="HEAD"),"L_YN","L_"&amp;G29)</f>
        <v/>
      </c>
    </row>
    <row r="30">
      <c r="B30" s="19">
        <f>IF(OR(F30=0,G30="HEAD"),"",INDEX(Banco_Preguntas!$B$2:$B$500,F30))</f>
        <v/>
      </c>
      <c r="C30" s="20">
        <f>IF(F30=0,"",INDEX(Banco_Preguntas!$C$2:$C$500,F30))</f>
        <v/>
      </c>
      <c r="D30" s="21" t="n"/>
      <c r="E30" s="20" t="n"/>
      <c r="F30">
        <f>IFERROR(MATCH(7,Banco_Preguntas!$K$2:$K$500,0),0)</f>
        <v/>
      </c>
      <c r="G30">
        <f>IF(F30=0,"",INDEX(Banco_Preguntas!$D$2:$D$500,F30))</f>
        <v/>
      </c>
      <c r="H30">
        <f>IF(OR(G30="",G30="TXT",G30="HEAD"),"L_YN","L_"&amp;G30)</f>
        <v/>
      </c>
    </row>
    <row r="31">
      <c r="B31" s="19">
        <f>IF(OR(F31=0,G31="HEAD"),"",INDEX(Banco_Preguntas!$B$2:$B$500,F31))</f>
        <v/>
      </c>
      <c r="C31" s="20">
        <f>IF(F31=0,"",INDEX(Banco_Preguntas!$C$2:$C$500,F31))</f>
        <v/>
      </c>
      <c r="D31" s="21" t="n"/>
      <c r="E31" s="20" t="n"/>
      <c r="F31">
        <f>IFERROR(MATCH(8,Banco_Preguntas!$K$2:$K$500,0),0)</f>
        <v/>
      </c>
      <c r="G31">
        <f>IF(F31=0,"",INDEX(Banco_Preguntas!$D$2:$D$500,F31))</f>
        <v/>
      </c>
      <c r="H31">
        <f>IF(OR(G31="",G31="TXT",G31="HEAD"),"L_YN","L_"&amp;G31)</f>
        <v/>
      </c>
    </row>
    <row r="32">
      <c r="B32" s="19">
        <f>IF(OR(F32=0,G32="HEAD"),"",INDEX(Banco_Preguntas!$B$2:$B$500,F32))</f>
        <v/>
      </c>
      <c r="C32" s="20">
        <f>IF(F32=0,"",INDEX(Banco_Preguntas!$C$2:$C$500,F32))</f>
        <v/>
      </c>
      <c r="D32" s="21" t="n"/>
      <c r="E32" s="20" t="n"/>
      <c r="F32">
        <f>IFERROR(MATCH(9,Banco_Preguntas!$K$2:$K$500,0),0)</f>
        <v/>
      </c>
      <c r="G32">
        <f>IF(F32=0,"",INDEX(Banco_Preguntas!$D$2:$D$500,F32))</f>
        <v/>
      </c>
      <c r="H32">
        <f>IF(OR(G32="",G32="TXT",G32="HEAD"),"L_YN","L_"&amp;G32)</f>
        <v/>
      </c>
    </row>
    <row r="33">
      <c r="B33" s="19">
        <f>IF(OR(F33=0,G33="HEAD"),"",INDEX(Banco_Preguntas!$B$2:$B$500,F33))</f>
        <v/>
      </c>
      <c r="C33" s="20">
        <f>IF(F33=0,"",INDEX(Banco_Preguntas!$C$2:$C$500,F33))</f>
        <v/>
      </c>
      <c r="D33" s="21" t="n"/>
      <c r="E33" s="20" t="n"/>
      <c r="F33">
        <f>IFERROR(MATCH(10,Banco_Preguntas!$K$2:$K$500,0),0)</f>
        <v/>
      </c>
      <c r="G33">
        <f>IF(F33=0,"",INDEX(Banco_Preguntas!$D$2:$D$500,F33))</f>
        <v/>
      </c>
      <c r="H33">
        <f>IF(OR(G33="",G33="TXT",G33="HEAD"),"L_YN","L_"&amp;G33)</f>
        <v/>
      </c>
    </row>
    <row r="34">
      <c r="B34" s="19">
        <f>IF(OR(F34=0,G34="HEAD"),"",INDEX(Banco_Preguntas!$B$2:$B$500,F34))</f>
        <v/>
      </c>
      <c r="C34" s="20">
        <f>IF(F34=0,"",INDEX(Banco_Preguntas!$C$2:$C$500,F34))</f>
        <v/>
      </c>
      <c r="D34" s="21" t="n"/>
      <c r="E34" s="20" t="n"/>
      <c r="F34">
        <f>IFERROR(MATCH(11,Banco_Preguntas!$K$2:$K$500,0),0)</f>
        <v/>
      </c>
      <c r="G34">
        <f>IF(F34=0,"",INDEX(Banco_Preguntas!$D$2:$D$500,F34))</f>
        <v/>
      </c>
      <c r="H34">
        <f>IF(OR(G34="",G34="TXT",G34="HEAD"),"L_YN","L_"&amp;G34)</f>
        <v/>
      </c>
    </row>
    <row r="35">
      <c r="B35" s="19">
        <f>IF(OR(F35=0,G35="HEAD"),"",INDEX(Banco_Preguntas!$B$2:$B$500,F35))</f>
        <v/>
      </c>
      <c r="C35" s="20">
        <f>IF(F35=0,"",INDEX(Banco_Preguntas!$C$2:$C$500,F35))</f>
        <v/>
      </c>
      <c r="D35" s="21" t="n"/>
      <c r="E35" s="20" t="n"/>
      <c r="F35">
        <f>IFERROR(MATCH(12,Banco_Preguntas!$K$2:$K$500,0),0)</f>
        <v/>
      </c>
      <c r="G35">
        <f>IF(F35=0,"",INDEX(Banco_Preguntas!$D$2:$D$500,F35))</f>
        <v/>
      </c>
      <c r="H35">
        <f>IF(OR(G35="",G35="TXT",G35="HEAD"),"L_YN","L_"&amp;G35)</f>
        <v/>
      </c>
    </row>
    <row r="36">
      <c r="B36" s="19">
        <f>IF(OR(F36=0,G36="HEAD"),"",INDEX(Banco_Preguntas!$B$2:$B$500,F36))</f>
        <v/>
      </c>
      <c r="C36" s="20">
        <f>IF(F36=0,"",INDEX(Banco_Preguntas!$C$2:$C$500,F36))</f>
        <v/>
      </c>
      <c r="D36" s="21" t="n"/>
      <c r="E36" s="20" t="n"/>
      <c r="F36">
        <f>IFERROR(MATCH(13,Banco_Preguntas!$K$2:$K$500,0),0)</f>
        <v/>
      </c>
      <c r="G36">
        <f>IF(F36=0,"",INDEX(Banco_Preguntas!$D$2:$D$500,F36))</f>
        <v/>
      </c>
      <c r="H36">
        <f>IF(OR(G36="",G36="TXT",G36="HEAD"),"L_YN","L_"&amp;G36)</f>
        <v/>
      </c>
    </row>
    <row r="37">
      <c r="B37" s="19">
        <f>IF(OR(F37=0,G37="HEAD"),"",INDEX(Banco_Preguntas!$B$2:$B$500,F37))</f>
        <v/>
      </c>
      <c r="C37" s="20">
        <f>IF(F37=0,"",INDEX(Banco_Preguntas!$C$2:$C$500,F37))</f>
        <v/>
      </c>
      <c r="D37" s="21" t="n"/>
      <c r="E37" s="20" t="n"/>
      <c r="F37">
        <f>IFERROR(MATCH(14,Banco_Preguntas!$K$2:$K$500,0),0)</f>
        <v/>
      </c>
      <c r="G37">
        <f>IF(F37=0,"",INDEX(Banco_Preguntas!$D$2:$D$500,F37))</f>
        <v/>
      </c>
      <c r="H37">
        <f>IF(OR(G37="",G37="TXT",G37="HEAD"),"L_YN","L_"&amp;G37)</f>
        <v/>
      </c>
    </row>
    <row r="38">
      <c r="B38" s="19">
        <f>IF(OR(F38=0,G38="HEAD"),"",INDEX(Banco_Preguntas!$B$2:$B$500,F38))</f>
        <v/>
      </c>
      <c r="C38" s="20">
        <f>IF(F38=0,"",INDEX(Banco_Preguntas!$C$2:$C$500,F38))</f>
        <v/>
      </c>
      <c r="D38" s="21" t="n"/>
      <c r="E38" s="20" t="n"/>
      <c r="F38">
        <f>IFERROR(MATCH(15,Banco_Preguntas!$K$2:$K$500,0),0)</f>
        <v/>
      </c>
      <c r="G38">
        <f>IF(F38=0,"",INDEX(Banco_Preguntas!$D$2:$D$500,F38))</f>
        <v/>
      </c>
      <c r="H38">
        <f>IF(OR(G38="",G38="TXT",G38="HEAD"),"L_YN","L_"&amp;G38)</f>
        <v/>
      </c>
    </row>
    <row r="39">
      <c r="B39" s="19">
        <f>IF(OR(F39=0,G39="HEAD"),"",INDEX(Banco_Preguntas!$B$2:$B$500,F39))</f>
        <v/>
      </c>
      <c r="C39" s="20">
        <f>IF(F39=0,"",INDEX(Banco_Preguntas!$C$2:$C$500,F39))</f>
        <v/>
      </c>
      <c r="D39" s="21" t="n"/>
      <c r="E39" s="20" t="n"/>
      <c r="F39">
        <f>IFERROR(MATCH(16,Banco_Preguntas!$K$2:$K$500,0),0)</f>
        <v/>
      </c>
      <c r="G39">
        <f>IF(F39=0,"",INDEX(Banco_Preguntas!$D$2:$D$500,F39))</f>
        <v/>
      </c>
      <c r="H39">
        <f>IF(OR(G39="",G39="TXT",G39="HEAD"),"L_YN","L_"&amp;G39)</f>
        <v/>
      </c>
    </row>
    <row r="40">
      <c r="B40" s="19">
        <f>IF(OR(F40=0,G40="HEAD"),"",INDEX(Banco_Preguntas!$B$2:$B$500,F40))</f>
        <v/>
      </c>
      <c r="C40" s="20">
        <f>IF(F40=0,"",INDEX(Banco_Preguntas!$C$2:$C$500,F40))</f>
        <v/>
      </c>
      <c r="D40" s="21" t="n"/>
      <c r="E40" s="20" t="n"/>
      <c r="F40">
        <f>IFERROR(MATCH(17,Banco_Preguntas!$K$2:$K$500,0),0)</f>
        <v/>
      </c>
      <c r="G40">
        <f>IF(F40=0,"",INDEX(Banco_Preguntas!$D$2:$D$500,F40))</f>
        <v/>
      </c>
      <c r="H40">
        <f>IF(OR(G40="",G40="TXT",G40="HEAD"),"L_YN","L_"&amp;G40)</f>
        <v/>
      </c>
    </row>
    <row r="41">
      <c r="B41" s="19">
        <f>IF(OR(F41=0,G41="HEAD"),"",INDEX(Banco_Preguntas!$B$2:$B$500,F41))</f>
        <v/>
      </c>
      <c r="C41" s="20">
        <f>IF(F41=0,"",INDEX(Banco_Preguntas!$C$2:$C$500,F41))</f>
        <v/>
      </c>
      <c r="D41" s="21" t="n"/>
      <c r="E41" s="20" t="n"/>
      <c r="F41">
        <f>IFERROR(MATCH(18,Banco_Preguntas!$K$2:$K$500,0),0)</f>
        <v/>
      </c>
      <c r="G41">
        <f>IF(F41=0,"",INDEX(Banco_Preguntas!$D$2:$D$500,F41))</f>
        <v/>
      </c>
      <c r="H41">
        <f>IF(OR(G41="",G41="TXT",G41="HEAD"),"L_YN","L_"&amp;G41)</f>
        <v/>
      </c>
    </row>
    <row r="42">
      <c r="B42" s="19">
        <f>IF(OR(F42=0,G42="HEAD"),"",INDEX(Banco_Preguntas!$B$2:$B$500,F42))</f>
        <v/>
      </c>
      <c r="C42" s="20">
        <f>IF(F42=0,"",INDEX(Banco_Preguntas!$C$2:$C$500,F42))</f>
        <v/>
      </c>
      <c r="D42" s="21" t="n"/>
      <c r="E42" s="20" t="n"/>
      <c r="F42">
        <f>IFERROR(MATCH(19,Banco_Preguntas!$K$2:$K$500,0),0)</f>
        <v/>
      </c>
      <c r="G42">
        <f>IF(F42=0,"",INDEX(Banco_Preguntas!$D$2:$D$500,F42))</f>
        <v/>
      </c>
      <c r="H42">
        <f>IF(OR(G42="",G42="TXT",G42="HEAD"),"L_YN","L_"&amp;G42)</f>
        <v/>
      </c>
    </row>
    <row r="43">
      <c r="B43" s="19">
        <f>IF(OR(F43=0,G43="HEAD"),"",INDEX(Banco_Preguntas!$B$2:$B$500,F43))</f>
        <v/>
      </c>
      <c r="C43" s="20">
        <f>IF(F43=0,"",INDEX(Banco_Preguntas!$C$2:$C$500,F43))</f>
        <v/>
      </c>
      <c r="D43" s="21" t="n"/>
      <c r="E43" s="20" t="n"/>
      <c r="F43">
        <f>IFERROR(MATCH(20,Banco_Preguntas!$K$2:$K$500,0),0)</f>
        <v/>
      </c>
      <c r="G43">
        <f>IF(F43=0,"",INDEX(Banco_Preguntas!$D$2:$D$500,F43))</f>
        <v/>
      </c>
      <c r="H43">
        <f>IF(OR(G43="",G43="TXT",G43="HEAD"),"L_YN","L_"&amp;G43)</f>
        <v/>
      </c>
    </row>
    <row r="44">
      <c r="B44" s="19">
        <f>IF(OR(F44=0,G44="HEAD"),"",INDEX(Banco_Preguntas!$B$2:$B$500,F44))</f>
        <v/>
      </c>
      <c r="C44" s="20">
        <f>IF(F44=0,"",INDEX(Banco_Preguntas!$C$2:$C$500,F44))</f>
        <v/>
      </c>
      <c r="D44" s="21" t="n"/>
      <c r="E44" s="20" t="n"/>
      <c r="F44">
        <f>IFERROR(MATCH(21,Banco_Preguntas!$K$2:$K$500,0),0)</f>
        <v/>
      </c>
      <c r="G44">
        <f>IF(F44=0,"",INDEX(Banco_Preguntas!$D$2:$D$500,F44))</f>
        <v/>
      </c>
      <c r="H44">
        <f>IF(OR(G44="",G44="TXT",G44="HEAD"),"L_YN","L_"&amp;G44)</f>
        <v/>
      </c>
    </row>
    <row r="45">
      <c r="B45" s="19">
        <f>IF(OR(F45=0,G45="HEAD"),"",INDEX(Banco_Preguntas!$B$2:$B$500,F45))</f>
        <v/>
      </c>
      <c r="C45" s="20">
        <f>IF(F45=0,"",INDEX(Banco_Preguntas!$C$2:$C$500,F45))</f>
        <v/>
      </c>
      <c r="D45" s="21" t="n"/>
      <c r="E45" s="20" t="n"/>
      <c r="F45">
        <f>IFERROR(MATCH(22,Banco_Preguntas!$K$2:$K$500,0),0)</f>
        <v/>
      </c>
      <c r="G45">
        <f>IF(F45=0,"",INDEX(Banco_Preguntas!$D$2:$D$500,F45))</f>
        <v/>
      </c>
      <c r="H45">
        <f>IF(OR(G45="",G45="TXT",G45="HEAD"),"L_YN","L_"&amp;G45)</f>
        <v/>
      </c>
    </row>
    <row r="46">
      <c r="B46" s="19">
        <f>IF(OR(F46=0,G46="HEAD"),"",INDEX(Banco_Preguntas!$B$2:$B$500,F46))</f>
        <v/>
      </c>
      <c r="C46" s="20">
        <f>IF(F46=0,"",INDEX(Banco_Preguntas!$C$2:$C$500,F46))</f>
        <v/>
      </c>
      <c r="D46" s="21" t="n"/>
      <c r="E46" s="20" t="n"/>
      <c r="F46">
        <f>IFERROR(MATCH(23,Banco_Preguntas!$K$2:$K$500,0),0)</f>
        <v/>
      </c>
      <c r="G46">
        <f>IF(F46=0,"",INDEX(Banco_Preguntas!$D$2:$D$500,F46))</f>
        <v/>
      </c>
      <c r="H46">
        <f>IF(OR(G46="",G46="TXT",G46="HEAD"),"L_YN","L_"&amp;G46)</f>
        <v/>
      </c>
    </row>
    <row r="47">
      <c r="B47" s="19">
        <f>IF(OR(F47=0,G47="HEAD"),"",INDEX(Banco_Preguntas!$B$2:$B$500,F47))</f>
        <v/>
      </c>
      <c r="C47" s="20">
        <f>IF(F47=0,"",INDEX(Banco_Preguntas!$C$2:$C$500,F47))</f>
        <v/>
      </c>
      <c r="D47" s="21" t="n"/>
      <c r="E47" s="20" t="n"/>
      <c r="F47">
        <f>IFERROR(MATCH(24,Banco_Preguntas!$K$2:$K$500,0),0)</f>
        <v/>
      </c>
      <c r="G47">
        <f>IF(F47=0,"",INDEX(Banco_Preguntas!$D$2:$D$500,F47))</f>
        <v/>
      </c>
      <c r="H47">
        <f>IF(OR(G47="",G47="TXT",G47="HEAD"),"L_YN","L_"&amp;G47)</f>
        <v/>
      </c>
    </row>
    <row r="48">
      <c r="B48" s="19">
        <f>IF(OR(F48=0,G48="HEAD"),"",INDEX(Banco_Preguntas!$B$2:$B$500,F48))</f>
        <v/>
      </c>
      <c r="C48" s="20">
        <f>IF(F48=0,"",INDEX(Banco_Preguntas!$C$2:$C$500,F48))</f>
        <v/>
      </c>
      <c r="D48" s="21" t="n"/>
      <c r="E48" s="20" t="n"/>
      <c r="F48">
        <f>IFERROR(MATCH(25,Banco_Preguntas!$K$2:$K$500,0),0)</f>
        <v/>
      </c>
      <c r="G48">
        <f>IF(F48=0,"",INDEX(Banco_Preguntas!$D$2:$D$500,F48))</f>
        <v/>
      </c>
      <c r="H48">
        <f>IF(OR(G48="",G48="TXT",G48="HEAD"),"L_YN","L_"&amp;G48)</f>
        <v/>
      </c>
    </row>
    <row r="49">
      <c r="B49" s="19">
        <f>IF(OR(F49=0,G49="HEAD"),"",INDEX(Banco_Preguntas!$B$2:$B$500,F49))</f>
        <v/>
      </c>
      <c r="C49" s="20">
        <f>IF(F49=0,"",INDEX(Banco_Preguntas!$C$2:$C$500,F49))</f>
        <v/>
      </c>
      <c r="D49" s="21" t="n"/>
      <c r="E49" s="20" t="n"/>
      <c r="F49">
        <f>IFERROR(MATCH(26,Banco_Preguntas!$K$2:$K$500,0),0)</f>
        <v/>
      </c>
      <c r="G49">
        <f>IF(F49=0,"",INDEX(Banco_Preguntas!$D$2:$D$500,F49))</f>
        <v/>
      </c>
      <c r="H49">
        <f>IF(OR(G49="",G49="TXT",G49="HEAD"),"L_YN","L_"&amp;G49)</f>
        <v/>
      </c>
    </row>
    <row r="50">
      <c r="B50" s="19">
        <f>IF(OR(F50=0,G50="HEAD"),"",INDEX(Banco_Preguntas!$B$2:$B$500,F50))</f>
        <v/>
      </c>
      <c r="C50" s="20">
        <f>IF(F50=0,"",INDEX(Banco_Preguntas!$C$2:$C$500,F50))</f>
        <v/>
      </c>
      <c r="D50" s="21" t="n"/>
      <c r="E50" s="20" t="n"/>
      <c r="F50">
        <f>IFERROR(MATCH(27,Banco_Preguntas!$K$2:$K$500,0),0)</f>
        <v/>
      </c>
      <c r="G50">
        <f>IF(F50=0,"",INDEX(Banco_Preguntas!$D$2:$D$500,F50))</f>
        <v/>
      </c>
      <c r="H50">
        <f>IF(OR(G50="",G50="TXT",G50="HEAD"),"L_YN","L_"&amp;G50)</f>
        <v/>
      </c>
    </row>
    <row r="51">
      <c r="B51" s="19">
        <f>IF(OR(F51=0,G51="HEAD"),"",INDEX(Banco_Preguntas!$B$2:$B$500,F51))</f>
        <v/>
      </c>
      <c r="C51" s="20">
        <f>IF(F51=0,"",INDEX(Banco_Preguntas!$C$2:$C$500,F51))</f>
        <v/>
      </c>
      <c r="D51" s="21" t="n"/>
      <c r="E51" s="20" t="n"/>
      <c r="F51">
        <f>IFERROR(MATCH(28,Banco_Preguntas!$K$2:$K$500,0),0)</f>
        <v/>
      </c>
      <c r="G51">
        <f>IF(F51=0,"",INDEX(Banco_Preguntas!$D$2:$D$500,F51))</f>
        <v/>
      </c>
      <c r="H51">
        <f>IF(OR(G51="",G51="TXT",G51="HEAD"),"L_YN","L_"&amp;G51)</f>
        <v/>
      </c>
    </row>
    <row r="52">
      <c r="B52" s="19">
        <f>IF(OR(F52=0,G52="HEAD"),"",INDEX(Banco_Preguntas!$B$2:$B$500,F52))</f>
        <v/>
      </c>
      <c r="C52" s="20">
        <f>IF(F52=0,"",INDEX(Banco_Preguntas!$C$2:$C$500,F52))</f>
        <v/>
      </c>
      <c r="D52" s="21" t="n"/>
      <c r="E52" s="20" t="n"/>
      <c r="F52">
        <f>IFERROR(MATCH(29,Banco_Preguntas!$K$2:$K$500,0),0)</f>
        <v/>
      </c>
      <c r="G52">
        <f>IF(F52=0,"",INDEX(Banco_Preguntas!$D$2:$D$500,F52))</f>
        <v/>
      </c>
      <c r="H52">
        <f>IF(OR(G52="",G52="TXT",G52="HEAD"),"L_YN","L_"&amp;G52)</f>
        <v/>
      </c>
    </row>
    <row r="53">
      <c r="B53" s="19">
        <f>IF(OR(F53=0,G53="HEAD"),"",INDEX(Banco_Preguntas!$B$2:$B$500,F53))</f>
        <v/>
      </c>
      <c r="C53" s="20">
        <f>IF(F53=0,"",INDEX(Banco_Preguntas!$C$2:$C$500,F53))</f>
        <v/>
      </c>
      <c r="D53" s="21" t="n"/>
      <c r="E53" s="20" t="n"/>
      <c r="F53">
        <f>IFERROR(MATCH(30,Banco_Preguntas!$K$2:$K$500,0),0)</f>
        <v/>
      </c>
      <c r="G53">
        <f>IF(F53=0,"",INDEX(Banco_Preguntas!$D$2:$D$500,F53))</f>
        <v/>
      </c>
      <c r="H53">
        <f>IF(OR(G53="",G53="TXT",G53="HEAD"),"L_YN","L_"&amp;G53)</f>
        <v/>
      </c>
    </row>
    <row r="54">
      <c r="B54" s="19">
        <f>IF(OR(F54=0,G54="HEAD"),"",INDEX(Banco_Preguntas!$B$2:$B$500,F54))</f>
        <v/>
      </c>
      <c r="C54" s="20">
        <f>IF(F54=0,"",INDEX(Banco_Preguntas!$C$2:$C$500,F54))</f>
        <v/>
      </c>
      <c r="D54" s="21" t="n"/>
      <c r="E54" s="20" t="n"/>
      <c r="F54">
        <f>IFERROR(MATCH(31,Banco_Preguntas!$K$2:$K$500,0),0)</f>
        <v/>
      </c>
      <c r="G54">
        <f>IF(F54=0,"",INDEX(Banco_Preguntas!$D$2:$D$500,F54))</f>
        <v/>
      </c>
      <c r="H54">
        <f>IF(OR(G54="",G54="TXT",G54="HEAD"),"L_YN","L_"&amp;G54)</f>
        <v/>
      </c>
    </row>
    <row r="55">
      <c r="B55" s="19">
        <f>IF(OR(F55=0,G55="HEAD"),"",INDEX(Banco_Preguntas!$B$2:$B$500,F55))</f>
        <v/>
      </c>
      <c r="C55" s="20">
        <f>IF(F55=0,"",INDEX(Banco_Preguntas!$C$2:$C$500,F55))</f>
        <v/>
      </c>
      <c r="D55" s="21" t="n"/>
      <c r="E55" s="20" t="n"/>
      <c r="F55">
        <f>IFERROR(MATCH(32,Banco_Preguntas!$K$2:$K$500,0),0)</f>
        <v/>
      </c>
      <c r="G55">
        <f>IF(F55=0,"",INDEX(Banco_Preguntas!$D$2:$D$500,F55))</f>
        <v/>
      </c>
      <c r="H55">
        <f>IF(OR(G55="",G55="TXT",G55="HEAD"),"L_YN","L_"&amp;G55)</f>
        <v/>
      </c>
    </row>
    <row r="56">
      <c r="B56" s="19">
        <f>IF(OR(F56=0,G56="HEAD"),"",INDEX(Banco_Preguntas!$B$2:$B$500,F56))</f>
        <v/>
      </c>
      <c r="C56" s="20">
        <f>IF(F56=0,"",INDEX(Banco_Preguntas!$C$2:$C$500,F56))</f>
        <v/>
      </c>
      <c r="D56" s="21" t="n"/>
      <c r="E56" s="20" t="n"/>
      <c r="F56">
        <f>IFERROR(MATCH(33,Banco_Preguntas!$K$2:$K$500,0),0)</f>
        <v/>
      </c>
      <c r="G56">
        <f>IF(F56=0,"",INDEX(Banco_Preguntas!$D$2:$D$500,F56))</f>
        <v/>
      </c>
      <c r="H56">
        <f>IF(OR(G56="",G56="TXT",G56="HEAD"),"L_YN","L_"&amp;G56)</f>
        <v/>
      </c>
    </row>
    <row r="57">
      <c r="B57" s="19">
        <f>IF(OR(F57=0,G57="HEAD"),"",INDEX(Banco_Preguntas!$B$2:$B$500,F57))</f>
        <v/>
      </c>
      <c r="C57" s="20">
        <f>IF(F57=0,"",INDEX(Banco_Preguntas!$C$2:$C$500,F57))</f>
        <v/>
      </c>
      <c r="D57" s="21" t="n"/>
      <c r="E57" s="20" t="n"/>
      <c r="F57">
        <f>IFERROR(MATCH(34,Banco_Preguntas!$K$2:$K$500,0),0)</f>
        <v/>
      </c>
      <c r="G57">
        <f>IF(F57=0,"",INDEX(Banco_Preguntas!$D$2:$D$500,F57))</f>
        <v/>
      </c>
      <c r="H57">
        <f>IF(OR(G57="",G57="TXT",G57="HEAD"),"L_YN","L_"&amp;G57)</f>
        <v/>
      </c>
    </row>
    <row r="58">
      <c r="B58" s="19">
        <f>IF(OR(F58=0,G58="HEAD"),"",INDEX(Banco_Preguntas!$B$2:$B$500,F58))</f>
        <v/>
      </c>
      <c r="C58" s="20">
        <f>IF(F58=0,"",INDEX(Banco_Preguntas!$C$2:$C$500,F58))</f>
        <v/>
      </c>
      <c r="D58" s="21" t="n"/>
      <c r="E58" s="20" t="n"/>
      <c r="F58">
        <f>IFERROR(MATCH(35,Banco_Preguntas!$K$2:$K$500,0),0)</f>
        <v/>
      </c>
      <c r="G58">
        <f>IF(F58=0,"",INDEX(Banco_Preguntas!$D$2:$D$500,F58))</f>
        <v/>
      </c>
      <c r="H58">
        <f>IF(OR(G58="",G58="TXT",G58="HEAD"),"L_YN","L_"&amp;G58)</f>
        <v/>
      </c>
    </row>
    <row r="59">
      <c r="B59" s="19">
        <f>IF(OR(F59=0,G59="HEAD"),"",INDEX(Banco_Preguntas!$B$2:$B$500,F59))</f>
        <v/>
      </c>
      <c r="C59" s="20">
        <f>IF(F59=0,"",INDEX(Banco_Preguntas!$C$2:$C$500,F59))</f>
        <v/>
      </c>
      <c r="D59" s="21" t="n"/>
      <c r="E59" s="20" t="n"/>
      <c r="F59">
        <f>IFERROR(MATCH(36,Banco_Preguntas!$K$2:$K$500,0),0)</f>
        <v/>
      </c>
      <c r="G59">
        <f>IF(F59=0,"",INDEX(Banco_Preguntas!$D$2:$D$500,F59))</f>
        <v/>
      </c>
      <c r="H59">
        <f>IF(OR(G59="",G59="TXT",G59="HEAD"),"L_YN","L_"&amp;G59)</f>
        <v/>
      </c>
    </row>
    <row r="60">
      <c r="B60" s="19">
        <f>IF(OR(F60=0,G60="HEAD"),"",INDEX(Banco_Preguntas!$B$2:$B$500,F60))</f>
        <v/>
      </c>
      <c r="C60" s="20">
        <f>IF(F60=0,"",INDEX(Banco_Preguntas!$C$2:$C$500,F60))</f>
        <v/>
      </c>
      <c r="D60" s="21" t="n"/>
      <c r="E60" s="20" t="n"/>
      <c r="F60">
        <f>IFERROR(MATCH(37,Banco_Preguntas!$K$2:$K$500,0),0)</f>
        <v/>
      </c>
      <c r="G60">
        <f>IF(F60=0,"",INDEX(Banco_Preguntas!$D$2:$D$500,F60))</f>
        <v/>
      </c>
      <c r="H60">
        <f>IF(OR(G60="",G60="TXT",G60="HEAD"),"L_YN","L_"&amp;G60)</f>
        <v/>
      </c>
    </row>
    <row r="61">
      <c r="B61" s="19">
        <f>IF(OR(F61=0,G61="HEAD"),"",INDEX(Banco_Preguntas!$B$2:$B$500,F61))</f>
        <v/>
      </c>
      <c r="C61" s="20">
        <f>IF(F61=0,"",INDEX(Banco_Preguntas!$C$2:$C$500,F61))</f>
        <v/>
      </c>
      <c r="D61" s="21" t="n"/>
      <c r="E61" s="20" t="n"/>
      <c r="F61">
        <f>IFERROR(MATCH(38,Banco_Preguntas!$K$2:$K$500,0),0)</f>
        <v/>
      </c>
      <c r="G61">
        <f>IF(F61=0,"",INDEX(Banco_Preguntas!$D$2:$D$500,F61))</f>
        <v/>
      </c>
      <c r="H61">
        <f>IF(OR(G61="",G61="TXT",G61="HEAD"),"L_YN","L_"&amp;G61)</f>
        <v/>
      </c>
    </row>
    <row r="62">
      <c r="B62" s="19">
        <f>IF(OR(F62=0,G62="HEAD"),"",INDEX(Banco_Preguntas!$B$2:$B$500,F62))</f>
        <v/>
      </c>
      <c r="C62" s="20">
        <f>IF(F62=0,"",INDEX(Banco_Preguntas!$C$2:$C$500,F62))</f>
        <v/>
      </c>
      <c r="D62" s="21" t="n"/>
      <c r="E62" s="20" t="n"/>
      <c r="F62">
        <f>IFERROR(MATCH(39,Banco_Preguntas!$K$2:$K$500,0),0)</f>
        <v/>
      </c>
      <c r="G62">
        <f>IF(F62=0,"",INDEX(Banco_Preguntas!$D$2:$D$500,F62))</f>
        <v/>
      </c>
      <c r="H62">
        <f>IF(OR(G62="",G62="TXT",G62="HEAD"),"L_YN","L_"&amp;G62)</f>
        <v/>
      </c>
    </row>
    <row r="63">
      <c r="B63" s="19">
        <f>IF(OR(F63=0,G63="HEAD"),"",INDEX(Banco_Preguntas!$B$2:$B$500,F63))</f>
        <v/>
      </c>
      <c r="C63" s="20">
        <f>IF(F63=0,"",INDEX(Banco_Preguntas!$C$2:$C$500,F63))</f>
        <v/>
      </c>
      <c r="D63" s="21" t="n"/>
      <c r="E63" s="20" t="n"/>
      <c r="F63">
        <f>IFERROR(MATCH(40,Banco_Preguntas!$K$2:$K$500,0),0)</f>
        <v/>
      </c>
      <c r="G63">
        <f>IF(F63=0,"",INDEX(Banco_Preguntas!$D$2:$D$500,F63))</f>
        <v/>
      </c>
      <c r="H63">
        <f>IF(OR(G63="",G63="TXT",G63="HEAD"),"L_YN","L_"&amp;G63)</f>
        <v/>
      </c>
    </row>
    <row r="64">
      <c r="B64" s="19">
        <f>IF(OR(F64=0,G64="HEAD"),"",INDEX(Banco_Preguntas!$B$2:$B$500,F64))</f>
        <v/>
      </c>
      <c r="C64" s="20">
        <f>IF(F64=0,"",INDEX(Banco_Preguntas!$C$2:$C$500,F64))</f>
        <v/>
      </c>
      <c r="D64" s="21" t="n"/>
      <c r="E64" s="20" t="n"/>
      <c r="F64">
        <f>IFERROR(MATCH(41,Banco_Preguntas!$K$2:$K$500,0),0)</f>
        <v/>
      </c>
      <c r="G64">
        <f>IF(F64=0,"",INDEX(Banco_Preguntas!$D$2:$D$500,F64))</f>
        <v/>
      </c>
      <c r="H64">
        <f>IF(OR(G64="",G64="TXT",G64="HEAD"),"L_YN","L_"&amp;G64)</f>
        <v/>
      </c>
    </row>
    <row r="65">
      <c r="B65" s="19">
        <f>IF(OR(F65=0,G65="HEAD"),"",INDEX(Banco_Preguntas!$B$2:$B$500,F65))</f>
        <v/>
      </c>
      <c r="C65" s="20">
        <f>IF(F65=0,"",INDEX(Banco_Preguntas!$C$2:$C$500,F65))</f>
        <v/>
      </c>
      <c r="D65" s="21" t="n"/>
      <c r="E65" s="20" t="n"/>
      <c r="F65">
        <f>IFERROR(MATCH(42,Banco_Preguntas!$K$2:$K$500,0),0)</f>
        <v/>
      </c>
      <c r="G65">
        <f>IF(F65=0,"",INDEX(Banco_Preguntas!$D$2:$D$500,F65))</f>
        <v/>
      </c>
      <c r="H65">
        <f>IF(OR(G65="",G65="TXT",G65="HEAD"),"L_YN","L_"&amp;G65)</f>
        <v/>
      </c>
    </row>
    <row r="66">
      <c r="B66" s="19">
        <f>IF(OR(F66=0,G66="HEAD"),"",INDEX(Banco_Preguntas!$B$2:$B$500,F66))</f>
        <v/>
      </c>
      <c r="C66" s="20">
        <f>IF(F66=0,"",INDEX(Banco_Preguntas!$C$2:$C$500,F66))</f>
        <v/>
      </c>
      <c r="D66" s="21" t="n"/>
      <c r="E66" s="20" t="n"/>
      <c r="F66">
        <f>IFERROR(MATCH(43,Banco_Preguntas!$K$2:$K$500,0),0)</f>
        <v/>
      </c>
      <c r="G66">
        <f>IF(F66=0,"",INDEX(Banco_Preguntas!$D$2:$D$500,F66))</f>
        <v/>
      </c>
      <c r="H66">
        <f>IF(OR(G66="",G66="TXT",G66="HEAD"),"L_YN","L_"&amp;G66)</f>
        <v/>
      </c>
    </row>
    <row r="67">
      <c r="B67" s="19">
        <f>IF(OR(F67=0,G67="HEAD"),"",INDEX(Banco_Preguntas!$B$2:$B$500,F67))</f>
        <v/>
      </c>
      <c r="C67" s="20">
        <f>IF(F67=0,"",INDEX(Banco_Preguntas!$C$2:$C$500,F67))</f>
        <v/>
      </c>
      <c r="D67" s="21" t="n"/>
      <c r="E67" s="20" t="n"/>
      <c r="F67">
        <f>IFERROR(MATCH(44,Banco_Preguntas!$K$2:$K$500,0),0)</f>
        <v/>
      </c>
      <c r="G67">
        <f>IF(F67=0,"",INDEX(Banco_Preguntas!$D$2:$D$500,F67))</f>
        <v/>
      </c>
      <c r="H67">
        <f>IF(OR(G67="",G67="TXT",G67="HEAD"),"L_YN","L_"&amp;G67)</f>
        <v/>
      </c>
    </row>
    <row r="68">
      <c r="B68" s="19">
        <f>IF(OR(F68=0,G68="HEAD"),"",INDEX(Banco_Preguntas!$B$2:$B$500,F68))</f>
        <v/>
      </c>
      <c r="C68" s="20">
        <f>IF(F68=0,"",INDEX(Banco_Preguntas!$C$2:$C$500,F68))</f>
        <v/>
      </c>
      <c r="D68" s="21" t="n"/>
      <c r="E68" s="20" t="n"/>
      <c r="F68">
        <f>IFERROR(MATCH(45,Banco_Preguntas!$K$2:$K$500,0),0)</f>
        <v/>
      </c>
      <c r="G68">
        <f>IF(F68=0,"",INDEX(Banco_Preguntas!$D$2:$D$500,F68))</f>
        <v/>
      </c>
      <c r="H68">
        <f>IF(OR(G68="",G68="TXT",G68="HEAD"),"L_YN","L_"&amp;G68)</f>
        <v/>
      </c>
    </row>
    <row r="69">
      <c r="B69" s="19">
        <f>IF(OR(F69=0,G69="HEAD"),"",INDEX(Banco_Preguntas!$B$2:$B$500,F69))</f>
        <v/>
      </c>
      <c r="C69" s="20">
        <f>IF(F69=0,"",INDEX(Banco_Preguntas!$C$2:$C$500,F69))</f>
        <v/>
      </c>
      <c r="D69" s="21" t="n"/>
      <c r="E69" s="20" t="n"/>
      <c r="F69">
        <f>IFERROR(MATCH(46,Banco_Preguntas!$K$2:$K$500,0),0)</f>
        <v/>
      </c>
      <c r="G69">
        <f>IF(F69=0,"",INDEX(Banco_Preguntas!$D$2:$D$500,F69))</f>
        <v/>
      </c>
      <c r="H69">
        <f>IF(OR(G69="",G69="TXT",G69="HEAD"),"L_YN","L_"&amp;G69)</f>
        <v/>
      </c>
    </row>
    <row r="70">
      <c r="B70" s="19">
        <f>IF(OR(F70=0,G70="HEAD"),"",INDEX(Banco_Preguntas!$B$2:$B$500,F70))</f>
        <v/>
      </c>
      <c r="C70" s="20">
        <f>IF(F70=0,"",INDEX(Banco_Preguntas!$C$2:$C$500,F70))</f>
        <v/>
      </c>
      <c r="D70" s="21" t="n"/>
      <c r="E70" s="20" t="n"/>
      <c r="F70">
        <f>IFERROR(MATCH(47,Banco_Preguntas!$K$2:$K$500,0),0)</f>
        <v/>
      </c>
      <c r="G70">
        <f>IF(F70=0,"",INDEX(Banco_Preguntas!$D$2:$D$500,F70))</f>
        <v/>
      </c>
      <c r="H70">
        <f>IF(OR(G70="",G70="TXT",G70="HEAD"),"L_YN","L_"&amp;G70)</f>
        <v/>
      </c>
    </row>
    <row r="71">
      <c r="B71" s="19">
        <f>IF(OR(F71=0,G71="HEAD"),"",INDEX(Banco_Preguntas!$B$2:$B$500,F71))</f>
        <v/>
      </c>
      <c r="C71" s="20">
        <f>IF(F71=0,"",INDEX(Banco_Preguntas!$C$2:$C$500,F71))</f>
        <v/>
      </c>
      <c r="D71" s="21" t="n"/>
      <c r="E71" s="20" t="n"/>
      <c r="F71">
        <f>IFERROR(MATCH(48,Banco_Preguntas!$K$2:$K$500,0),0)</f>
        <v/>
      </c>
      <c r="G71">
        <f>IF(F71=0,"",INDEX(Banco_Preguntas!$D$2:$D$500,F71))</f>
        <v/>
      </c>
      <c r="H71">
        <f>IF(OR(G71="",G71="TXT",G71="HEAD"),"L_YN","L_"&amp;G71)</f>
        <v/>
      </c>
    </row>
    <row r="72">
      <c r="B72" s="19">
        <f>IF(OR(F72=0,G72="HEAD"),"",INDEX(Banco_Preguntas!$B$2:$B$500,F72))</f>
        <v/>
      </c>
      <c r="C72" s="20">
        <f>IF(F72=0,"",INDEX(Banco_Preguntas!$C$2:$C$500,F72))</f>
        <v/>
      </c>
      <c r="D72" s="21" t="n"/>
      <c r="E72" s="20" t="n"/>
      <c r="F72">
        <f>IFERROR(MATCH(49,Banco_Preguntas!$K$2:$K$500,0),0)</f>
        <v/>
      </c>
      <c r="G72">
        <f>IF(F72=0,"",INDEX(Banco_Preguntas!$D$2:$D$500,F72))</f>
        <v/>
      </c>
      <c r="H72">
        <f>IF(OR(G72="",G72="TXT",G72="HEAD"),"L_YN","L_"&amp;G72)</f>
        <v/>
      </c>
    </row>
    <row r="73">
      <c r="B73" s="19">
        <f>IF(OR(F73=0,G73="HEAD"),"",INDEX(Banco_Preguntas!$B$2:$B$500,F73))</f>
        <v/>
      </c>
      <c r="C73" s="20">
        <f>IF(F73=0,"",INDEX(Banco_Preguntas!$C$2:$C$500,F73))</f>
        <v/>
      </c>
      <c r="D73" s="21" t="n"/>
      <c r="E73" s="20" t="n"/>
      <c r="F73">
        <f>IFERROR(MATCH(50,Banco_Preguntas!$K$2:$K$500,0),0)</f>
        <v/>
      </c>
      <c r="G73">
        <f>IF(F73=0,"",INDEX(Banco_Preguntas!$D$2:$D$500,F73))</f>
        <v/>
      </c>
      <c r="H73">
        <f>IF(OR(G73="",G73="TXT",G73="HEAD"),"L_YN","L_"&amp;G73)</f>
        <v/>
      </c>
    </row>
    <row r="74">
      <c r="B74" s="19">
        <f>IF(OR(F74=0,G74="HEAD"),"",INDEX(Banco_Preguntas!$B$2:$B$500,F74))</f>
        <v/>
      </c>
      <c r="C74" s="20">
        <f>IF(F74=0,"",INDEX(Banco_Preguntas!$C$2:$C$500,F74))</f>
        <v/>
      </c>
      <c r="D74" s="21" t="n"/>
      <c r="E74" s="20" t="n"/>
      <c r="F74">
        <f>IFERROR(MATCH(51,Banco_Preguntas!$K$2:$K$500,0),0)</f>
        <v/>
      </c>
      <c r="G74">
        <f>IF(F74=0,"",INDEX(Banco_Preguntas!$D$2:$D$500,F74))</f>
        <v/>
      </c>
      <c r="H74">
        <f>IF(OR(G74="",G74="TXT",G74="HEAD"),"L_YN","L_"&amp;G74)</f>
        <v/>
      </c>
    </row>
    <row r="75">
      <c r="B75" s="19">
        <f>IF(OR(F75=0,G75="HEAD"),"",INDEX(Banco_Preguntas!$B$2:$B$500,F75))</f>
        <v/>
      </c>
      <c r="C75" s="20">
        <f>IF(F75=0,"",INDEX(Banco_Preguntas!$C$2:$C$500,F75))</f>
        <v/>
      </c>
      <c r="D75" s="21" t="n"/>
      <c r="E75" s="20" t="n"/>
      <c r="F75">
        <f>IFERROR(MATCH(52,Banco_Preguntas!$K$2:$K$500,0),0)</f>
        <v/>
      </c>
      <c r="G75">
        <f>IF(F75=0,"",INDEX(Banco_Preguntas!$D$2:$D$500,F75))</f>
        <v/>
      </c>
      <c r="H75">
        <f>IF(OR(G75="",G75="TXT",G75="HEAD"),"L_YN","L_"&amp;G75)</f>
        <v/>
      </c>
    </row>
    <row r="76">
      <c r="B76" s="19">
        <f>IF(OR(F76=0,G76="HEAD"),"",INDEX(Banco_Preguntas!$B$2:$B$500,F76))</f>
        <v/>
      </c>
      <c r="C76" s="20">
        <f>IF(F76=0,"",INDEX(Banco_Preguntas!$C$2:$C$500,F76))</f>
        <v/>
      </c>
      <c r="D76" s="21" t="n"/>
      <c r="E76" s="20" t="n"/>
      <c r="F76">
        <f>IFERROR(MATCH(53,Banco_Preguntas!$K$2:$K$500,0),0)</f>
        <v/>
      </c>
      <c r="G76">
        <f>IF(F76=0,"",INDEX(Banco_Preguntas!$D$2:$D$500,F76))</f>
        <v/>
      </c>
      <c r="H76">
        <f>IF(OR(G76="",G76="TXT",G76="HEAD"),"L_YN","L_"&amp;G76)</f>
        <v/>
      </c>
    </row>
    <row r="77">
      <c r="B77" s="19">
        <f>IF(OR(F77=0,G77="HEAD"),"",INDEX(Banco_Preguntas!$B$2:$B$500,F77))</f>
        <v/>
      </c>
      <c r="C77" s="20">
        <f>IF(F77=0,"",INDEX(Banco_Preguntas!$C$2:$C$500,F77))</f>
        <v/>
      </c>
      <c r="D77" s="21" t="n"/>
      <c r="E77" s="20" t="n"/>
      <c r="F77">
        <f>IFERROR(MATCH(54,Banco_Preguntas!$K$2:$K$500,0),0)</f>
        <v/>
      </c>
      <c r="G77">
        <f>IF(F77=0,"",INDEX(Banco_Preguntas!$D$2:$D$500,F77))</f>
        <v/>
      </c>
      <c r="H77">
        <f>IF(OR(G77="",G77="TXT",G77="HEAD"),"L_YN","L_"&amp;G77)</f>
        <v/>
      </c>
    </row>
    <row r="78">
      <c r="B78" s="19">
        <f>IF(OR(F78=0,G78="HEAD"),"",INDEX(Banco_Preguntas!$B$2:$B$500,F78))</f>
        <v/>
      </c>
      <c r="C78" s="20">
        <f>IF(F78=0,"",INDEX(Banco_Preguntas!$C$2:$C$500,F78))</f>
        <v/>
      </c>
      <c r="D78" s="21" t="n"/>
      <c r="E78" s="20" t="n"/>
      <c r="F78">
        <f>IFERROR(MATCH(55,Banco_Preguntas!$K$2:$K$500,0),0)</f>
        <v/>
      </c>
      <c r="G78">
        <f>IF(F78=0,"",INDEX(Banco_Preguntas!$D$2:$D$500,F78))</f>
        <v/>
      </c>
      <c r="H78">
        <f>IF(OR(G78="",G78="TXT",G78="HEAD"),"L_YN","L_"&amp;G78)</f>
        <v/>
      </c>
    </row>
    <row r="79">
      <c r="B79" s="19">
        <f>IF(OR(F79=0,G79="HEAD"),"",INDEX(Banco_Preguntas!$B$2:$B$500,F79))</f>
        <v/>
      </c>
      <c r="C79" s="20">
        <f>IF(F79=0,"",INDEX(Banco_Preguntas!$C$2:$C$500,F79))</f>
        <v/>
      </c>
      <c r="D79" s="21" t="n"/>
      <c r="E79" s="20" t="n"/>
      <c r="F79">
        <f>IFERROR(MATCH(56,Banco_Preguntas!$K$2:$K$500,0),0)</f>
        <v/>
      </c>
      <c r="G79">
        <f>IF(F79=0,"",INDEX(Banco_Preguntas!$D$2:$D$500,F79))</f>
        <v/>
      </c>
      <c r="H79">
        <f>IF(OR(G79="",G79="TXT",G79="HEAD"),"L_YN","L_"&amp;G79)</f>
        <v/>
      </c>
    </row>
    <row r="80">
      <c r="B80" s="19">
        <f>IF(OR(F80=0,G80="HEAD"),"",INDEX(Banco_Preguntas!$B$2:$B$500,F80))</f>
        <v/>
      </c>
      <c r="C80" s="20">
        <f>IF(F80=0,"",INDEX(Banco_Preguntas!$C$2:$C$500,F80))</f>
        <v/>
      </c>
      <c r="D80" s="21" t="n"/>
      <c r="E80" s="20" t="n"/>
      <c r="F80">
        <f>IFERROR(MATCH(57,Banco_Preguntas!$K$2:$K$500,0),0)</f>
        <v/>
      </c>
      <c r="G80">
        <f>IF(F80=0,"",INDEX(Banco_Preguntas!$D$2:$D$500,F80))</f>
        <v/>
      </c>
      <c r="H80">
        <f>IF(OR(G80="",G80="TXT",G80="HEAD"),"L_YN","L_"&amp;G80)</f>
        <v/>
      </c>
    </row>
    <row r="81">
      <c r="B81" s="19">
        <f>IF(OR(F81=0,G81="HEAD"),"",INDEX(Banco_Preguntas!$B$2:$B$500,F81))</f>
        <v/>
      </c>
      <c r="C81" s="20">
        <f>IF(F81=0,"",INDEX(Banco_Preguntas!$C$2:$C$500,F81))</f>
        <v/>
      </c>
      <c r="D81" s="21" t="n"/>
      <c r="E81" s="20" t="n"/>
      <c r="F81">
        <f>IFERROR(MATCH(58,Banco_Preguntas!$K$2:$K$500,0),0)</f>
        <v/>
      </c>
      <c r="G81">
        <f>IF(F81=0,"",INDEX(Banco_Preguntas!$D$2:$D$500,F81))</f>
        <v/>
      </c>
      <c r="H81">
        <f>IF(OR(G81="",G81="TXT",G81="HEAD"),"L_YN","L_"&amp;G81)</f>
        <v/>
      </c>
    </row>
    <row r="82">
      <c r="B82" s="19">
        <f>IF(OR(F82=0,G82="HEAD"),"",INDEX(Banco_Preguntas!$B$2:$B$500,F82))</f>
        <v/>
      </c>
      <c r="C82" s="20">
        <f>IF(F82=0,"",INDEX(Banco_Preguntas!$C$2:$C$500,F82))</f>
        <v/>
      </c>
      <c r="D82" s="21" t="n"/>
      <c r="E82" s="20" t="n"/>
      <c r="F82">
        <f>IFERROR(MATCH(59,Banco_Preguntas!$K$2:$K$500,0),0)</f>
        <v/>
      </c>
      <c r="G82">
        <f>IF(F82=0,"",INDEX(Banco_Preguntas!$D$2:$D$500,F82))</f>
        <v/>
      </c>
      <c r="H82">
        <f>IF(OR(G82="",G82="TXT",G82="HEAD"),"L_YN","L_"&amp;G82)</f>
        <v/>
      </c>
    </row>
    <row r="83">
      <c r="B83" s="19">
        <f>IF(OR(F83=0,G83="HEAD"),"",INDEX(Banco_Preguntas!$B$2:$B$500,F83))</f>
        <v/>
      </c>
      <c r="C83" s="20">
        <f>IF(F83=0,"",INDEX(Banco_Preguntas!$C$2:$C$500,F83))</f>
        <v/>
      </c>
      <c r="D83" s="21" t="n"/>
      <c r="E83" s="20" t="n"/>
      <c r="F83">
        <f>IFERROR(MATCH(60,Banco_Preguntas!$K$2:$K$500,0),0)</f>
        <v/>
      </c>
      <c r="G83">
        <f>IF(F83=0,"",INDEX(Banco_Preguntas!$D$2:$D$500,F83))</f>
        <v/>
      </c>
      <c r="H83">
        <f>IF(OR(G83="",G83="TXT",G83="HEAD"),"L_YN","L_"&amp;G83)</f>
        <v/>
      </c>
    </row>
    <row r="84">
      <c r="B84" s="19">
        <f>IF(OR(F84=0,G84="HEAD"),"",INDEX(Banco_Preguntas!$B$2:$B$500,F84))</f>
        <v/>
      </c>
      <c r="C84" s="20">
        <f>IF(F84=0,"",INDEX(Banco_Preguntas!$C$2:$C$500,F84))</f>
        <v/>
      </c>
      <c r="D84" s="21" t="n"/>
      <c r="E84" s="20" t="n"/>
      <c r="F84">
        <f>IFERROR(MATCH(61,Banco_Preguntas!$K$2:$K$500,0),0)</f>
        <v/>
      </c>
      <c r="G84">
        <f>IF(F84=0,"",INDEX(Banco_Preguntas!$D$2:$D$500,F84))</f>
        <v/>
      </c>
      <c r="H84">
        <f>IF(OR(G84="",G84="TXT",G84="HEAD"),"L_YN","L_"&amp;G84)</f>
        <v/>
      </c>
    </row>
    <row r="85">
      <c r="B85" s="19">
        <f>IF(OR(F85=0,G85="HEAD"),"",INDEX(Banco_Preguntas!$B$2:$B$500,F85))</f>
        <v/>
      </c>
      <c r="C85" s="20">
        <f>IF(F85=0,"",INDEX(Banco_Preguntas!$C$2:$C$500,F85))</f>
        <v/>
      </c>
      <c r="D85" s="21" t="n"/>
      <c r="E85" s="20" t="n"/>
      <c r="F85">
        <f>IFERROR(MATCH(62,Banco_Preguntas!$K$2:$K$500,0),0)</f>
        <v/>
      </c>
      <c r="G85">
        <f>IF(F85=0,"",INDEX(Banco_Preguntas!$D$2:$D$500,F85))</f>
        <v/>
      </c>
      <c r="H85">
        <f>IF(OR(G85="",G85="TXT",G85="HEAD"),"L_YN","L_"&amp;G85)</f>
        <v/>
      </c>
    </row>
    <row r="86">
      <c r="B86" s="19">
        <f>IF(OR(F86=0,G86="HEAD"),"",INDEX(Banco_Preguntas!$B$2:$B$500,F86))</f>
        <v/>
      </c>
      <c r="C86" s="20">
        <f>IF(F86=0,"",INDEX(Banco_Preguntas!$C$2:$C$500,F86))</f>
        <v/>
      </c>
      <c r="D86" s="21" t="n"/>
      <c r="E86" s="20" t="n"/>
      <c r="F86">
        <f>IFERROR(MATCH(63,Banco_Preguntas!$K$2:$K$500,0),0)</f>
        <v/>
      </c>
      <c r="G86">
        <f>IF(F86=0,"",INDEX(Banco_Preguntas!$D$2:$D$500,F86))</f>
        <v/>
      </c>
      <c r="H86">
        <f>IF(OR(G86="",G86="TXT",G86="HEAD"),"L_YN","L_"&amp;G86)</f>
        <v/>
      </c>
    </row>
    <row r="87">
      <c r="B87" s="19">
        <f>IF(OR(F87=0,G87="HEAD"),"",INDEX(Banco_Preguntas!$B$2:$B$500,F87))</f>
        <v/>
      </c>
      <c r="C87" s="20">
        <f>IF(F87=0,"",INDEX(Banco_Preguntas!$C$2:$C$500,F87))</f>
        <v/>
      </c>
      <c r="D87" s="21" t="n"/>
      <c r="E87" s="20" t="n"/>
      <c r="F87">
        <f>IFERROR(MATCH(64,Banco_Preguntas!$K$2:$K$500,0),0)</f>
        <v/>
      </c>
      <c r="G87">
        <f>IF(F87=0,"",INDEX(Banco_Preguntas!$D$2:$D$500,F87))</f>
        <v/>
      </c>
      <c r="H87">
        <f>IF(OR(G87="",G87="TXT",G87="HEAD"),"L_YN","L_"&amp;G87)</f>
        <v/>
      </c>
    </row>
    <row r="88">
      <c r="B88" s="19">
        <f>IF(OR(F88=0,G88="HEAD"),"",INDEX(Banco_Preguntas!$B$2:$B$500,F88))</f>
        <v/>
      </c>
      <c r="C88" s="20">
        <f>IF(F88=0,"",INDEX(Banco_Preguntas!$C$2:$C$500,F88))</f>
        <v/>
      </c>
      <c r="D88" s="21" t="n"/>
      <c r="E88" s="20" t="n"/>
      <c r="F88">
        <f>IFERROR(MATCH(65,Banco_Preguntas!$K$2:$K$500,0),0)</f>
        <v/>
      </c>
      <c r="G88">
        <f>IF(F88=0,"",INDEX(Banco_Preguntas!$D$2:$D$500,F88))</f>
        <v/>
      </c>
      <c r="H88">
        <f>IF(OR(G88="",G88="TXT",G88="HEAD"),"L_YN","L_"&amp;G88)</f>
        <v/>
      </c>
    </row>
    <row r="89">
      <c r="B89" s="19">
        <f>IF(OR(F89=0,G89="HEAD"),"",INDEX(Banco_Preguntas!$B$2:$B$500,F89))</f>
        <v/>
      </c>
      <c r="C89" s="20">
        <f>IF(F89=0,"",INDEX(Banco_Preguntas!$C$2:$C$500,F89))</f>
        <v/>
      </c>
      <c r="D89" s="21" t="n"/>
      <c r="E89" s="20" t="n"/>
      <c r="F89">
        <f>IFERROR(MATCH(66,Banco_Preguntas!$K$2:$K$500,0),0)</f>
        <v/>
      </c>
      <c r="G89">
        <f>IF(F89=0,"",INDEX(Banco_Preguntas!$D$2:$D$500,F89))</f>
        <v/>
      </c>
      <c r="H89">
        <f>IF(OR(G89="",G89="TXT",G89="HEAD"),"L_YN","L_"&amp;G89)</f>
        <v/>
      </c>
    </row>
    <row r="90">
      <c r="B90" s="19">
        <f>IF(OR(F90=0,G90="HEAD"),"",INDEX(Banco_Preguntas!$B$2:$B$500,F90))</f>
        <v/>
      </c>
      <c r="C90" s="20">
        <f>IF(F90=0,"",INDEX(Banco_Preguntas!$C$2:$C$500,F90))</f>
        <v/>
      </c>
      <c r="D90" s="21" t="n"/>
      <c r="E90" s="20" t="n"/>
      <c r="F90">
        <f>IFERROR(MATCH(67,Banco_Preguntas!$K$2:$K$500,0),0)</f>
        <v/>
      </c>
      <c r="G90">
        <f>IF(F90=0,"",INDEX(Banco_Preguntas!$D$2:$D$500,F90))</f>
        <v/>
      </c>
      <c r="H90">
        <f>IF(OR(G90="",G90="TXT",G90="HEAD"),"L_YN","L_"&amp;G90)</f>
        <v/>
      </c>
    </row>
    <row r="91">
      <c r="B91" s="19">
        <f>IF(OR(F91=0,G91="HEAD"),"",INDEX(Banco_Preguntas!$B$2:$B$500,F91))</f>
        <v/>
      </c>
      <c r="C91" s="20">
        <f>IF(F91=0,"",INDEX(Banco_Preguntas!$C$2:$C$500,F91))</f>
        <v/>
      </c>
      <c r="D91" s="21" t="n"/>
      <c r="E91" s="20" t="n"/>
      <c r="F91">
        <f>IFERROR(MATCH(68,Banco_Preguntas!$K$2:$K$500,0),0)</f>
        <v/>
      </c>
      <c r="G91">
        <f>IF(F91=0,"",INDEX(Banco_Preguntas!$D$2:$D$500,F91))</f>
        <v/>
      </c>
      <c r="H91">
        <f>IF(OR(G91="",G91="TXT",G91="HEAD"),"L_YN","L_"&amp;G91)</f>
        <v/>
      </c>
    </row>
    <row r="92">
      <c r="B92" s="19">
        <f>IF(OR(F92=0,G92="HEAD"),"",INDEX(Banco_Preguntas!$B$2:$B$500,F92))</f>
        <v/>
      </c>
      <c r="C92" s="20">
        <f>IF(F92=0,"",INDEX(Banco_Preguntas!$C$2:$C$500,F92))</f>
        <v/>
      </c>
      <c r="D92" s="21" t="n"/>
      <c r="E92" s="20" t="n"/>
      <c r="F92">
        <f>IFERROR(MATCH(69,Banco_Preguntas!$K$2:$K$500,0),0)</f>
        <v/>
      </c>
      <c r="G92">
        <f>IF(F92=0,"",INDEX(Banco_Preguntas!$D$2:$D$500,F92))</f>
        <v/>
      </c>
      <c r="H92">
        <f>IF(OR(G92="",G92="TXT",G92="HEAD"),"L_YN","L_"&amp;G92)</f>
        <v/>
      </c>
    </row>
    <row r="93">
      <c r="B93" s="19">
        <f>IF(OR(F93=0,G93="HEAD"),"",INDEX(Banco_Preguntas!$B$2:$B$500,F93))</f>
        <v/>
      </c>
      <c r="C93" s="20">
        <f>IF(F93=0,"",INDEX(Banco_Preguntas!$C$2:$C$500,F93))</f>
        <v/>
      </c>
      <c r="D93" s="21" t="n"/>
      <c r="E93" s="20" t="n"/>
      <c r="F93">
        <f>IFERROR(MATCH(70,Banco_Preguntas!$K$2:$K$500,0),0)</f>
        <v/>
      </c>
      <c r="G93">
        <f>IF(F93=0,"",INDEX(Banco_Preguntas!$D$2:$D$500,F93))</f>
        <v/>
      </c>
      <c r="H93">
        <f>IF(OR(G93="",G93="TXT",G93="HEAD"),"L_YN","L_"&amp;G93)</f>
        <v/>
      </c>
    </row>
    <row r="94">
      <c r="B94" s="19">
        <f>IF(OR(F94=0,G94="HEAD"),"",INDEX(Banco_Preguntas!$B$2:$B$500,F94))</f>
        <v/>
      </c>
      <c r="C94" s="20">
        <f>IF(F94=0,"",INDEX(Banco_Preguntas!$C$2:$C$500,F94))</f>
        <v/>
      </c>
      <c r="D94" s="21" t="n"/>
      <c r="E94" s="20" t="n"/>
      <c r="F94">
        <f>IFERROR(MATCH(71,Banco_Preguntas!$K$2:$K$500,0),0)</f>
        <v/>
      </c>
      <c r="G94">
        <f>IF(F94=0,"",INDEX(Banco_Preguntas!$D$2:$D$500,F94))</f>
        <v/>
      </c>
      <c r="H94">
        <f>IF(OR(G94="",G94="TXT",G94="HEAD"),"L_YN","L_"&amp;G94)</f>
        <v/>
      </c>
    </row>
    <row r="95">
      <c r="B95" s="19">
        <f>IF(OR(F95=0,G95="HEAD"),"",INDEX(Banco_Preguntas!$B$2:$B$500,F95))</f>
        <v/>
      </c>
      <c r="C95" s="20">
        <f>IF(F95=0,"",INDEX(Banco_Preguntas!$C$2:$C$500,F95))</f>
        <v/>
      </c>
      <c r="D95" s="21" t="n"/>
      <c r="E95" s="20" t="n"/>
      <c r="F95">
        <f>IFERROR(MATCH(72,Banco_Preguntas!$K$2:$K$500,0),0)</f>
        <v/>
      </c>
      <c r="G95">
        <f>IF(F95=0,"",INDEX(Banco_Preguntas!$D$2:$D$500,F95))</f>
        <v/>
      </c>
      <c r="H95">
        <f>IF(OR(G95="",G95="TXT",G95="HEAD"),"L_YN","L_"&amp;G95)</f>
        <v/>
      </c>
    </row>
    <row r="96">
      <c r="B96" s="19">
        <f>IF(OR(F96=0,G96="HEAD"),"",INDEX(Banco_Preguntas!$B$2:$B$500,F96))</f>
        <v/>
      </c>
      <c r="C96" s="20">
        <f>IF(F96=0,"",INDEX(Banco_Preguntas!$C$2:$C$500,F96))</f>
        <v/>
      </c>
      <c r="D96" s="21" t="n"/>
      <c r="E96" s="20" t="n"/>
      <c r="F96">
        <f>IFERROR(MATCH(73,Banco_Preguntas!$K$2:$K$500,0),0)</f>
        <v/>
      </c>
      <c r="G96">
        <f>IF(F96=0,"",INDEX(Banco_Preguntas!$D$2:$D$500,F96))</f>
        <v/>
      </c>
      <c r="H96">
        <f>IF(OR(G96="",G96="TXT",G96="HEAD"),"L_YN","L_"&amp;G96)</f>
        <v/>
      </c>
    </row>
    <row r="97">
      <c r="B97" s="19">
        <f>IF(OR(F97=0,G97="HEAD"),"",INDEX(Banco_Preguntas!$B$2:$B$500,F97))</f>
        <v/>
      </c>
      <c r="C97" s="20">
        <f>IF(F97=0,"",INDEX(Banco_Preguntas!$C$2:$C$500,F97))</f>
        <v/>
      </c>
      <c r="D97" s="21" t="n"/>
      <c r="E97" s="20" t="n"/>
      <c r="F97">
        <f>IFERROR(MATCH(74,Banco_Preguntas!$K$2:$K$500,0),0)</f>
        <v/>
      </c>
      <c r="G97">
        <f>IF(F97=0,"",INDEX(Banco_Preguntas!$D$2:$D$500,F97))</f>
        <v/>
      </c>
      <c r="H97">
        <f>IF(OR(G97="",G97="TXT",G97="HEAD"),"L_YN","L_"&amp;G97)</f>
        <v/>
      </c>
    </row>
    <row r="98">
      <c r="B98" s="19">
        <f>IF(OR(F98=0,G98="HEAD"),"",INDEX(Banco_Preguntas!$B$2:$B$500,F98))</f>
        <v/>
      </c>
      <c r="C98" s="20">
        <f>IF(F98=0,"",INDEX(Banco_Preguntas!$C$2:$C$500,F98))</f>
        <v/>
      </c>
      <c r="D98" s="21" t="n"/>
      <c r="E98" s="20" t="n"/>
      <c r="F98">
        <f>IFERROR(MATCH(75,Banco_Preguntas!$K$2:$K$500,0),0)</f>
        <v/>
      </c>
      <c r="G98">
        <f>IF(F98=0,"",INDEX(Banco_Preguntas!$D$2:$D$500,F98))</f>
        <v/>
      </c>
      <c r="H98">
        <f>IF(OR(G98="",G98="TXT",G98="HEAD"),"L_YN","L_"&amp;G98)</f>
        <v/>
      </c>
    </row>
    <row r="99">
      <c r="B99" s="19">
        <f>IF(OR(F99=0,G99="HEAD"),"",INDEX(Banco_Preguntas!$B$2:$B$500,F99))</f>
        <v/>
      </c>
      <c r="C99" s="20">
        <f>IF(F99=0,"",INDEX(Banco_Preguntas!$C$2:$C$500,F99))</f>
        <v/>
      </c>
      <c r="D99" s="21" t="n"/>
      <c r="E99" s="20" t="n"/>
      <c r="F99">
        <f>IFERROR(MATCH(76,Banco_Preguntas!$K$2:$K$500,0),0)</f>
        <v/>
      </c>
      <c r="G99">
        <f>IF(F99=0,"",INDEX(Banco_Preguntas!$D$2:$D$500,F99))</f>
        <v/>
      </c>
      <c r="H99">
        <f>IF(OR(G99="",G99="TXT",G99="HEAD"),"L_YN","L_"&amp;G99)</f>
        <v/>
      </c>
    </row>
    <row r="100">
      <c r="B100" s="19">
        <f>IF(OR(F100=0,G100="HEAD"),"",INDEX(Banco_Preguntas!$B$2:$B$500,F100))</f>
        <v/>
      </c>
      <c r="C100" s="20">
        <f>IF(F100=0,"",INDEX(Banco_Preguntas!$C$2:$C$500,F100))</f>
        <v/>
      </c>
      <c r="D100" s="21" t="n"/>
      <c r="E100" s="20" t="n"/>
      <c r="F100">
        <f>IFERROR(MATCH(77,Banco_Preguntas!$K$2:$K$500,0),0)</f>
        <v/>
      </c>
      <c r="G100">
        <f>IF(F100=0,"",INDEX(Banco_Preguntas!$D$2:$D$500,F100))</f>
        <v/>
      </c>
      <c r="H100">
        <f>IF(OR(G100="",G100="TXT",G100="HEAD"),"L_YN","L_"&amp;G100)</f>
        <v/>
      </c>
    </row>
    <row r="101">
      <c r="B101" s="19">
        <f>IF(OR(F101=0,G101="HEAD"),"",INDEX(Banco_Preguntas!$B$2:$B$500,F101))</f>
        <v/>
      </c>
      <c r="C101" s="20">
        <f>IF(F101=0,"",INDEX(Banco_Preguntas!$C$2:$C$500,F101))</f>
        <v/>
      </c>
      <c r="D101" s="21" t="n"/>
      <c r="E101" s="20" t="n"/>
      <c r="F101">
        <f>IFERROR(MATCH(78,Banco_Preguntas!$K$2:$K$500,0),0)</f>
        <v/>
      </c>
      <c r="G101">
        <f>IF(F101=0,"",INDEX(Banco_Preguntas!$D$2:$D$500,F101))</f>
        <v/>
      </c>
      <c r="H101">
        <f>IF(OR(G101="",G101="TXT",G101="HEAD"),"L_YN","L_"&amp;G101)</f>
        <v/>
      </c>
    </row>
    <row r="102">
      <c r="B102" s="19">
        <f>IF(OR(F102=0,G102="HEAD"),"",INDEX(Banco_Preguntas!$B$2:$B$500,F102))</f>
        <v/>
      </c>
      <c r="C102" s="20">
        <f>IF(F102=0,"",INDEX(Banco_Preguntas!$C$2:$C$500,F102))</f>
        <v/>
      </c>
      <c r="D102" s="21" t="n"/>
      <c r="E102" s="20" t="n"/>
      <c r="F102">
        <f>IFERROR(MATCH(79,Banco_Preguntas!$K$2:$K$500,0),0)</f>
        <v/>
      </c>
      <c r="G102">
        <f>IF(F102=0,"",INDEX(Banco_Preguntas!$D$2:$D$500,F102))</f>
        <v/>
      </c>
      <c r="H102">
        <f>IF(OR(G102="",G102="TXT",G102="HEAD"),"L_YN","L_"&amp;G102)</f>
        <v/>
      </c>
    </row>
    <row r="103">
      <c r="B103" s="19">
        <f>IF(OR(F103=0,G103="HEAD"),"",INDEX(Banco_Preguntas!$B$2:$B$500,F103))</f>
        <v/>
      </c>
      <c r="C103" s="20">
        <f>IF(F103=0,"",INDEX(Banco_Preguntas!$C$2:$C$500,F103))</f>
        <v/>
      </c>
      <c r="D103" s="21" t="n"/>
      <c r="E103" s="20" t="n"/>
      <c r="F103">
        <f>IFERROR(MATCH(80,Banco_Preguntas!$K$2:$K$500,0),0)</f>
        <v/>
      </c>
      <c r="G103">
        <f>IF(F103=0,"",INDEX(Banco_Preguntas!$D$2:$D$500,F103))</f>
        <v/>
      </c>
      <c r="H103">
        <f>IF(OR(G103="",G103="TXT",G103="HEAD"),"L_YN","L_"&amp;G103)</f>
        <v/>
      </c>
    </row>
    <row r="104">
      <c r="B104" s="19">
        <f>IF(OR(F104=0,G104="HEAD"),"",INDEX(Banco_Preguntas!$B$2:$B$500,F104))</f>
        <v/>
      </c>
      <c r="C104" s="20">
        <f>IF(F104=0,"",INDEX(Banco_Preguntas!$C$2:$C$500,F104))</f>
        <v/>
      </c>
      <c r="D104" s="21" t="n"/>
      <c r="E104" s="20" t="n"/>
      <c r="F104">
        <f>IFERROR(MATCH(81,Banco_Preguntas!$K$2:$K$500,0),0)</f>
        <v/>
      </c>
      <c r="G104">
        <f>IF(F104=0,"",INDEX(Banco_Preguntas!$D$2:$D$500,F104))</f>
        <v/>
      </c>
      <c r="H104">
        <f>IF(OR(G104="",G104="TXT",G104="HEAD"),"L_YN","L_"&amp;G104)</f>
        <v/>
      </c>
    </row>
    <row r="105">
      <c r="B105" s="19">
        <f>IF(OR(F105=0,G105="HEAD"),"",INDEX(Banco_Preguntas!$B$2:$B$500,F105))</f>
        <v/>
      </c>
      <c r="C105" s="20">
        <f>IF(F105=0,"",INDEX(Banco_Preguntas!$C$2:$C$500,F105))</f>
        <v/>
      </c>
      <c r="D105" s="21" t="n"/>
      <c r="E105" s="20" t="n"/>
      <c r="F105">
        <f>IFERROR(MATCH(82,Banco_Preguntas!$K$2:$K$500,0),0)</f>
        <v/>
      </c>
      <c r="G105">
        <f>IF(F105=0,"",INDEX(Banco_Preguntas!$D$2:$D$500,F105))</f>
        <v/>
      </c>
      <c r="H105">
        <f>IF(OR(G105="",G105="TXT",G105="HEAD"),"L_YN","L_"&amp;G105)</f>
        <v/>
      </c>
    </row>
    <row r="106">
      <c r="B106" s="19">
        <f>IF(OR(F106=0,G106="HEAD"),"",INDEX(Banco_Preguntas!$B$2:$B$500,F106))</f>
        <v/>
      </c>
      <c r="C106" s="20">
        <f>IF(F106=0,"",INDEX(Banco_Preguntas!$C$2:$C$500,F106))</f>
        <v/>
      </c>
      <c r="D106" s="21" t="n"/>
      <c r="E106" s="20" t="n"/>
      <c r="F106">
        <f>IFERROR(MATCH(83,Banco_Preguntas!$K$2:$K$500,0),0)</f>
        <v/>
      </c>
      <c r="G106">
        <f>IF(F106=0,"",INDEX(Banco_Preguntas!$D$2:$D$500,F106))</f>
        <v/>
      </c>
      <c r="H106">
        <f>IF(OR(G106="",G106="TXT",G106="HEAD"),"L_YN","L_"&amp;G106)</f>
        <v/>
      </c>
    </row>
    <row r="107">
      <c r="B107" s="19">
        <f>IF(OR(F107=0,G107="HEAD"),"",INDEX(Banco_Preguntas!$B$2:$B$500,F107))</f>
        <v/>
      </c>
      <c r="C107" s="20">
        <f>IF(F107=0,"",INDEX(Banco_Preguntas!$C$2:$C$500,F107))</f>
        <v/>
      </c>
      <c r="D107" s="21" t="n"/>
      <c r="E107" s="20" t="n"/>
      <c r="F107">
        <f>IFERROR(MATCH(84,Banco_Preguntas!$K$2:$K$500,0),0)</f>
        <v/>
      </c>
      <c r="G107">
        <f>IF(F107=0,"",INDEX(Banco_Preguntas!$D$2:$D$500,F107))</f>
        <v/>
      </c>
      <c r="H107">
        <f>IF(OR(G107="",G107="TXT",G107="HEAD"),"L_YN","L_"&amp;G107)</f>
        <v/>
      </c>
    </row>
    <row r="108">
      <c r="B108" s="19">
        <f>IF(OR(F108=0,G108="HEAD"),"",INDEX(Banco_Preguntas!$B$2:$B$500,F108))</f>
        <v/>
      </c>
      <c r="C108" s="20">
        <f>IF(F108=0,"",INDEX(Banco_Preguntas!$C$2:$C$500,F108))</f>
        <v/>
      </c>
      <c r="D108" s="21" t="n"/>
      <c r="E108" s="20" t="n"/>
      <c r="F108">
        <f>IFERROR(MATCH(85,Banco_Preguntas!$K$2:$K$500,0),0)</f>
        <v/>
      </c>
      <c r="G108">
        <f>IF(F108=0,"",INDEX(Banco_Preguntas!$D$2:$D$500,F108))</f>
        <v/>
      </c>
      <c r="H108">
        <f>IF(OR(G108="",G108="TXT",G108="HEAD"),"L_YN","L_"&amp;G108)</f>
        <v/>
      </c>
    </row>
    <row r="109">
      <c r="B109" s="19">
        <f>IF(OR(F109=0,G109="HEAD"),"",INDEX(Banco_Preguntas!$B$2:$B$500,F109))</f>
        <v/>
      </c>
      <c r="C109" s="20">
        <f>IF(F109=0,"",INDEX(Banco_Preguntas!$C$2:$C$500,F109))</f>
        <v/>
      </c>
      <c r="D109" s="21" t="n"/>
      <c r="E109" s="20" t="n"/>
      <c r="F109">
        <f>IFERROR(MATCH(86,Banco_Preguntas!$K$2:$K$500,0),0)</f>
        <v/>
      </c>
      <c r="G109">
        <f>IF(F109=0,"",INDEX(Banco_Preguntas!$D$2:$D$500,F109))</f>
        <v/>
      </c>
      <c r="H109">
        <f>IF(OR(G109="",G109="TXT",G109="HEAD"),"L_YN","L_"&amp;G109)</f>
        <v/>
      </c>
    </row>
    <row r="110">
      <c r="B110" s="19">
        <f>IF(OR(F110=0,G110="HEAD"),"",INDEX(Banco_Preguntas!$B$2:$B$500,F110))</f>
        <v/>
      </c>
      <c r="C110" s="20">
        <f>IF(F110=0,"",INDEX(Banco_Preguntas!$C$2:$C$500,F110))</f>
        <v/>
      </c>
      <c r="D110" s="21" t="n"/>
      <c r="E110" s="20" t="n"/>
      <c r="F110">
        <f>IFERROR(MATCH(87,Banco_Preguntas!$K$2:$K$500,0),0)</f>
        <v/>
      </c>
      <c r="G110">
        <f>IF(F110=0,"",INDEX(Banco_Preguntas!$D$2:$D$500,F110))</f>
        <v/>
      </c>
      <c r="H110">
        <f>IF(OR(G110="",G110="TXT",G110="HEAD"),"L_YN","L_"&amp;G110)</f>
        <v/>
      </c>
    </row>
    <row r="111">
      <c r="B111" s="19">
        <f>IF(OR(F111=0,G111="HEAD"),"",INDEX(Banco_Preguntas!$B$2:$B$500,F111))</f>
        <v/>
      </c>
      <c r="C111" s="20">
        <f>IF(F111=0,"",INDEX(Banco_Preguntas!$C$2:$C$500,F111))</f>
        <v/>
      </c>
      <c r="D111" s="21" t="n"/>
      <c r="E111" s="20" t="n"/>
      <c r="F111">
        <f>IFERROR(MATCH(88,Banco_Preguntas!$K$2:$K$500,0),0)</f>
        <v/>
      </c>
      <c r="G111">
        <f>IF(F111=0,"",INDEX(Banco_Preguntas!$D$2:$D$500,F111))</f>
        <v/>
      </c>
      <c r="H111">
        <f>IF(OR(G111="",G111="TXT",G111="HEAD"),"L_YN","L_"&amp;G111)</f>
        <v/>
      </c>
    </row>
    <row r="112">
      <c r="B112" s="19">
        <f>IF(OR(F112=0,G112="HEAD"),"",INDEX(Banco_Preguntas!$B$2:$B$500,F112))</f>
        <v/>
      </c>
      <c r="C112" s="20">
        <f>IF(F112=0,"",INDEX(Banco_Preguntas!$C$2:$C$500,F112))</f>
        <v/>
      </c>
      <c r="D112" s="21" t="n"/>
      <c r="E112" s="20" t="n"/>
      <c r="F112">
        <f>IFERROR(MATCH(89,Banco_Preguntas!$K$2:$K$500,0),0)</f>
        <v/>
      </c>
      <c r="G112">
        <f>IF(F112=0,"",INDEX(Banco_Preguntas!$D$2:$D$500,F112))</f>
        <v/>
      </c>
      <c r="H112">
        <f>IF(OR(G112="",G112="TXT",G112="HEAD"),"L_YN","L_"&amp;G112)</f>
        <v/>
      </c>
    </row>
    <row r="113">
      <c r="B113" s="19">
        <f>IF(OR(F113=0,G113="HEAD"),"",INDEX(Banco_Preguntas!$B$2:$B$500,F113))</f>
        <v/>
      </c>
      <c r="C113" s="20">
        <f>IF(F113=0,"",INDEX(Banco_Preguntas!$C$2:$C$500,F113))</f>
        <v/>
      </c>
      <c r="D113" s="21" t="n"/>
      <c r="E113" s="20" t="n"/>
      <c r="F113">
        <f>IFERROR(MATCH(90,Banco_Preguntas!$K$2:$K$500,0),0)</f>
        <v/>
      </c>
      <c r="G113">
        <f>IF(F113=0,"",INDEX(Banco_Preguntas!$D$2:$D$500,F113))</f>
        <v/>
      </c>
      <c r="H113">
        <f>IF(OR(G113="",G113="TXT",G113="HEAD"),"L_YN","L_"&amp;G113)</f>
        <v/>
      </c>
    </row>
    <row r="114">
      <c r="B114" s="19">
        <f>IF(OR(F114=0,G114="HEAD"),"",INDEX(Banco_Preguntas!$B$2:$B$500,F114))</f>
        <v/>
      </c>
      <c r="C114" s="20">
        <f>IF(F114=0,"",INDEX(Banco_Preguntas!$C$2:$C$500,F114))</f>
        <v/>
      </c>
      <c r="D114" s="21" t="n"/>
      <c r="E114" s="20" t="n"/>
      <c r="F114">
        <f>IFERROR(MATCH(91,Banco_Preguntas!$K$2:$K$500,0),0)</f>
        <v/>
      </c>
      <c r="G114">
        <f>IF(F114=0,"",INDEX(Banco_Preguntas!$D$2:$D$500,F114))</f>
        <v/>
      </c>
      <c r="H114">
        <f>IF(OR(G114="",G114="TXT",G114="HEAD"),"L_YN","L_"&amp;G114)</f>
        <v/>
      </c>
    </row>
    <row r="115">
      <c r="B115" s="19">
        <f>IF(OR(F115=0,G115="HEAD"),"",INDEX(Banco_Preguntas!$B$2:$B$500,F115))</f>
        <v/>
      </c>
      <c r="C115" s="20">
        <f>IF(F115=0,"",INDEX(Banco_Preguntas!$C$2:$C$500,F115))</f>
        <v/>
      </c>
      <c r="D115" s="21" t="n"/>
      <c r="E115" s="20" t="n"/>
      <c r="F115">
        <f>IFERROR(MATCH(92,Banco_Preguntas!$K$2:$K$500,0),0)</f>
        <v/>
      </c>
      <c r="G115">
        <f>IF(F115=0,"",INDEX(Banco_Preguntas!$D$2:$D$500,F115))</f>
        <v/>
      </c>
      <c r="H115">
        <f>IF(OR(G115="",G115="TXT",G115="HEAD"),"L_YN","L_"&amp;G115)</f>
        <v/>
      </c>
    </row>
    <row r="116">
      <c r="B116" s="19">
        <f>IF(OR(F116=0,G116="HEAD"),"",INDEX(Banco_Preguntas!$B$2:$B$500,F116))</f>
        <v/>
      </c>
      <c r="C116" s="20">
        <f>IF(F116=0,"",INDEX(Banco_Preguntas!$C$2:$C$500,F116))</f>
        <v/>
      </c>
      <c r="D116" s="21" t="n"/>
      <c r="E116" s="20" t="n"/>
      <c r="F116">
        <f>IFERROR(MATCH(93,Banco_Preguntas!$K$2:$K$500,0),0)</f>
        <v/>
      </c>
      <c r="G116">
        <f>IF(F116=0,"",INDEX(Banco_Preguntas!$D$2:$D$500,F116))</f>
        <v/>
      </c>
      <c r="H116">
        <f>IF(OR(G116="",G116="TXT",G116="HEAD"),"L_YN","L_"&amp;G116)</f>
        <v/>
      </c>
    </row>
    <row r="117">
      <c r="B117" s="19">
        <f>IF(OR(F117=0,G117="HEAD"),"",INDEX(Banco_Preguntas!$B$2:$B$500,F117))</f>
        <v/>
      </c>
      <c r="C117" s="20">
        <f>IF(F117=0,"",INDEX(Banco_Preguntas!$C$2:$C$500,F117))</f>
        <v/>
      </c>
      <c r="D117" s="21" t="n"/>
      <c r="E117" s="20" t="n"/>
      <c r="F117">
        <f>IFERROR(MATCH(94,Banco_Preguntas!$K$2:$K$500,0),0)</f>
        <v/>
      </c>
      <c r="G117">
        <f>IF(F117=0,"",INDEX(Banco_Preguntas!$D$2:$D$500,F117))</f>
        <v/>
      </c>
      <c r="H117">
        <f>IF(OR(G117="",G117="TXT",G117="HEAD"),"L_YN","L_"&amp;G117)</f>
        <v/>
      </c>
    </row>
    <row r="118">
      <c r="B118" s="19">
        <f>IF(OR(F118=0,G118="HEAD"),"",INDEX(Banco_Preguntas!$B$2:$B$500,F118))</f>
        <v/>
      </c>
      <c r="C118" s="20">
        <f>IF(F118=0,"",INDEX(Banco_Preguntas!$C$2:$C$500,F118))</f>
        <v/>
      </c>
      <c r="D118" s="21" t="n"/>
      <c r="E118" s="20" t="n"/>
      <c r="F118">
        <f>IFERROR(MATCH(95,Banco_Preguntas!$K$2:$K$500,0),0)</f>
        <v/>
      </c>
      <c r="G118">
        <f>IF(F118=0,"",INDEX(Banco_Preguntas!$D$2:$D$500,F118))</f>
        <v/>
      </c>
      <c r="H118">
        <f>IF(OR(G118="",G118="TXT",G118="HEAD"),"L_YN","L_"&amp;G118)</f>
        <v/>
      </c>
    </row>
    <row r="119">
      <c r="B119" s="19">
        <f>IF(OR(F119=0,G119="HEAD"),"",INDEX(Banco_Preguntas!$B$2:$B$500,F119))</f>
        <v/>
      </c>
      <c r="C119" s="20">
        <f>IF(F119=0,"",INDEX(Banco_Preguntas!$C$2:$C$500,F119))</f>
        <v/>
      </c>
      <c r="D119" s="21" t="n"/>
      <c r="E119" s="20" t="n"/>
      <c r="F119">
        <f>IFERROR(MATCH(96,Banco_Preguntas!$K$2:$K$500,0),0)</f>
        <v/>
      </c>
      <c r="G119">
        <f>IF(F119=0,"",INDEX(Banco_Preguntas!$D$2:$D$500,F119))</f>
        <v/>
      </c>
      <c r="H119">
        <f>IF(OR(G119="",G119="TXT",G119="HEAD"),"L_YN","L_"&amp;G119)</f>
        <v/>
      </c>
    </row>
    <row r="120">
      <c r="B120" s="19">
        <f>IF(OR(F120=0,G120="HEAD"),"",INDEX(Banco_Preguntas!$B$2:$B$500,F120))</f>
        <v/>
      </c>
      <c r="C120" s="20">
        <f>IF(F120=0,"",INDEX(Banco_Preguntas!$C$2:$C$500,F120))</f>
        <v/>
      </c>
      <c r="D120" s="21" t="n"/>
      <c r="E120" s="20" t="n"/>
      <c r="F120">
        <f>IFERROR(MATCH(97,Banco_Preguntas!$K$2:$K$500,0),0)</f>
        <v/>
      </c>
      <c r="G120">
        <f>IF(F120=0,"",INDEX(Banco_Preguntas!$D$2:$D$500,F120))</f>
        <v/>
      </c>
      <c r="H120">
        <f>IF(OR(G120="",G120="TXT",G120="HEAD"),"L_YN","L_"&amp;G120)</f>
        <v/>
      </c>
    </row>
    <row r="121">
      <c r="B121" s="19">
        <f>IF(OR(F121=0,G121="HEAD"),"",INDEX(Banco_Preguntas!$B$2:$B$500,F121))</f>
        <v/>
      </c>
      <c r="C121" s="20">
        <f>IF(F121=0,"",INDEX(Banco_Preguntas!$C$2:$C$500,F121))</f>
        <v/>
      </c>
      <c r="D121" s="21" t="n"/>
      <c r="E121" s="20" t="n"/>
      <c r="F121">
        <f>IFERROR(MATCH(98,Banco_Preguntas!$K$2:$K$500,0),0)</f>
        <v/>
      </c>
      <c r="G121">
        <f>IF(F121=0,"",INDEX(Banco_Preguntas!$D$2:$D$500,F121))</f>
        <v/>
      </c>
      <c r="H121">
        <f>IF(OR(G121="",G121="TXT",G121="HEAD"),"L_YN","L_"&amp;G121)</f>
        <v/>
      </c>
    </row>
    <row r="122">
      <c r="B122" s="19">
        <f>IF(OR(F122=0,G122="HEAD"),"",INDEX(Banco_Preguntas!$B$2:$B$500,F122))</f>
        <v/>
      </c>
      <c r="C122" s="20">
        <f>IF(F122=0,"",INDEX(Banco_Preguntas!$C$2:$C$500,F122))</f>
        <v/>
      </c>
      <c r="D122" s="21" t="n"/>
      <c r="E122" s="20" t="n"/>
      <c r="F122">
        <f>IFERROR(MATCH(99,Banco_Preguntas!$K$2:$K$500,0),0)</f>
        <v/>
      </c>
      <c r="G122">
        <f>IF(F122=0,"",INDEX(Banco_Preguntas!$D$2:$D$500,F122))</f>
        <v/>
      </c>
      <c r="H122">
        <f>IF(OR(G122="",G122="TXT",G122="HEAD"),"L_YN","L_"&amp;G122)</f>
        <v/>
      </c>
    </row>
    <row r="123">
      <c r="B123" s="19">
        <f>IF(OR(F123=0,G123="HEAD"),"",INDEX(Banco_Preguntas!$B$2:$B$500,F123))</f>
        <v/>
      </c>
      <c r="C123" s="20">
        <f>IF(F123=0,"",INDEX(Banco_Preguntas!$C$2:$C$500,F123))</f>
        <v/>
      </c>
      <c r="D123" s="21" t="n"/>
      <c r="E123" s="20" t="n"/>
      <c r="F123">
        <f>IFERROR(MATCH(100,Banco_Preguntas!$K$2:$K$500,0),0)</f>
        <v/>
      </c>
      <c r="G123">
        <f>IF(F123=0,"",INDEX(Banco_Preguntas!$D$2:$D$500,F123))</f>
        <v/>
      </c>
      <c r="H123">
        <f>IF(OR(G123="",G123="TXT",G123="HEAD"),"L_YN","L_"&amp;G123)</f>
        <v/>
      </c>
    </row>
    <row r="124">
      <c r="B124" s="19">
        <f>IF(OR(F124=0,G124="HEAD"),"",INDEX(Banco_Preguntas!$B$2:$B$500,F124))</f>
        <v/>
      </c>
      <c r="C124" s="20">
        <f>IF(F124=0,"",INDEX(Banco_Preguntas!$C$2:$C$500,F124))</f>
        <v/>
      </c>
      <c r="D124" s="21" t="n"/>
      <c r="E124" s="20" t="n"/>
      <c r="F124">
        <f>IFERROR(MATCH(101,Banco_Preguntas!$K$2:$K$500,0),0)</f>
        <v/>
      </c>
      <c r="G124">
        <f>IF(F124=0,"",INDEX(Banco_Preguntas!$D$2:$D$500,F124))</f>
        <v/>
      </c>
      <c r="H124">
        <f>IF(OR(G124="",G124="TXT",G124="HEAD"),"L_YN","L_"&amp;G124)</f>
        <v/>
      </c>
    </row>
    <row r="125">
      <c r="B125" s="19">
        <f>IF(OR(F125=0,G125="HEAD"),"",INDEX(Banco_Preguntas!$B$2:$B$500,F125))</f>
        <v/>
      </c>
      <c r="C125" s="20">
        <f>IF(F125=0,"",INDEX(Banco_Preguntas!$C$2:$C$500,F125))</f>
        <v/>
      </c>
      <c r="D125" s="21" t="n"/>
      <c r="E125" s="20" t="n"/>
      <c r="F125">
        <f>IFERROR(MATCH(102,Banco_Preguntas!$K$2:$K$500,0),0)</f>
        <v/>
      </c>
      <c r="G125">
        <f>IF(F125=0,"",INDEX(Banco_Preguntas!$D$2:$D$500,F125))</f>
        <v/>
      </c>
      <c r="H125">
        <f>IF(OR(G125="",G125="TXT",G125="HEAD"),"L_YN","L_"&amp;G125)</f>
        <v/>
      </c>
    </row>
    <row r="126">
      <c r="B126" s="19">
        <f>IF(OR(F126=0,G126="HEAD"),"",INDEX(Banco_Preguntas!$B$2:$B$500,F126))</f>
        <v/>
      </c>
      <c r="C126" s="20">
        <f>IF(F126=0,"",INDEX(Banco_Preguntas!$C$2:$C$500,F126))</f>
        <v/>
      </c>
      <c r="D126" s="21" t="n"/>
      <c r="E126" s="20" t="n"/>
      <c r="F126">
        <f>IFERROR(MATCH(103,Banco_Preguntas!$K$2:$K$500,0),0)</f>
        <v/>
      </c>
      <c r="G126">
        <f>IF(F126=0,"",INDEX(Banco_Preguntas!$D$2:$D$500,F126))</f>
        <v/>
      </c>
      <c r="H126">
        <f>IF(OR(G126="",G126="TXT",G126="HEAD"),"L_YN","L_"&amp;G126)</f>
        <v/>
      </c>
    </row>
    <row r="127">
      <c r="B127" s="19">
        <f>IF(OR(F127=0,G127="HEAD"),"",INDEX(Banco_Preguntas!$B$2:$B$500,F127))</f>
        <v/>
      </c>
      <c r="C127" s="20">
        <f>IF(F127=0,"",INDEX(Banco_Preguntas!$C$2:$C$500,F127))</f>
        <v/>
      </c>
      <c r="D127" s="21" t="n"/>
      <c r="E127" s="20" t="n"/>
      <c r="F127">
        <f>IFERROR(MATCH(104,Banco_Preguntas!$K$2:$K$500,0),0)</f>
        <v/>
      </c>
      <c r="G127">
        <f>IF(F127=0,"",INDEX(Banco_Preguntas!$D$2:$D$500,F127))</f>
        <v/>
      </c>
      <c r="H127">
        <f>IF(OR(G127="",G127="TXT",G127="HEAD"),"L_YN","L_"&amp;G127)</f>
        <v/>
      </c>
    </row>
    <row r="128">
      <c r="B128" s="19">
        <f>IF(OR(F128=0,G128="HEAD"),"",INDEX(Banco_Preguntas!$B$2:$B$500,F128))</f>
        <v/>
      </c>
      <c r="C128" s="20">
        <f>IF(F128=0,"",INDEX(Banco_Preguntas!$C$2:$C$500,F128))</f>
        <v/>
      </c>
      <c r="D128" s="21" t="n"/>
      <c r="E128" s="20" t="n"/>
      <c r="F128">
        <f>IFERROR(MATCH(105,Banco_Preguntas!$K$2:$K$500,0),0)</f>
        <v/>
      </c>
      <c r="G128">
        <f>IF(F128=0,"",INDEX(Banco_Preguntas!$D$2:$D$500,F128))</f>
        <v/>
      </c>
      <c r="H128">
        <f>IF(OR(G128="",G128="TXT",G128="HEAD"),"L_YN","L_"&amp;G128)</f>
        <v/>
      </c>
    </row>
    <row r="129">
      <c r="B129" s="19">
        <f>IF(OR(F129=0,G129="HEAD"),"",INDEX(Banco_Preguntas!$B$2:$B$500,F129))</f>
        <v/>
      </c>
      <c r="C129" s="20">
        <f>IF(F129=0,"",INDEX(Banco_Preguntas!$C$2:$C$500,F129))</f>
        <v/>
      </c>
      <c r="D129" s="21" t="n"/>
      <c r="E129" s="20" t="n"/>
      <c r="F129">
        <f>IFERROR(MATCH(106,Banco_Preguntas!$K$2:$K$500,0),0)</f>
        <v/>
      </c>
      <c r="G129">
        <f>IF(F129=0,"",INDEX(Banco_Preguntas!$D$2:$D$500,F129))</f>
        <v/>
      </c>
      <c r="H129">
        <f>IF(OR(G129="",G129="TXT",G129="HEAD"),"L_YN","L_"&amp;G129)</f>
        <v/>
      </c>
    </row>
    <row r="130">
      <c r="B130" s="19">
        <f>IF(OR(F130=0,G130="HEAD"),"",INDEX(Banco_Preguntas!$B$2:$B$500,F130))</f>
        <v/>
      </c>
      <c r="C130" s="20">
        <f>IF(F130=0,"",INDEX(Banco_Preguntas!$C$2:$C$500,F130))</f>
        <v/>
      </c>
      <c r="D130" s="21" t="n"/>
      <c r="E130" s="20" t="n"/>
      <c r="F130">
        <f>IFERROR(MATCH(107,Banco_Preguntas!$K$2:$K$500,0),0)</f>
        <v/>
      </c>
      <c r="G130">
        <f>IF(F130=0,"",INDEX(Banco_Preguntas!$D$2:$D$500,F130))</f>
        <v/>
      </c>
      <c r="H130">
        <f>IF(OR(G130="",G130="TXT",G130="HEAD"),"L_YN","L_"&amp;G130)</f>
        <v/>
      </c>
    </row>
    <row r="131">
      <c r="B131" s="19">
        <f>IF(OR(F131=0,G131="HEAD"),"",INDEX(Banco_Preguntas!$B$2:$B$500,F131))</f>
        <v/>
      </c>
      <c r="C131" s="20">
        <f>IF(F131=0,"",INDEX(Banco_Preguntas!$C$2:$C$500,F131))</f>
        <v/>
      </c>
      <c r="D131" s="21" t="n"/>
      <c r="E131" s="20" t="n"/>
      <c r="F131">
        <f>IFERROR(MATCH(108,Banco_Preguntas!$K$2:$K$500,0),0)</f>
        <v/>
      </c>
      <c r="G131">
        <f>IF(F131=0,"",INDEX(Banco_Preguntas!$D$2:$D$500,F131))</f>
        <v/>
      </c>
      <c r="H131">
        <f>IF(OR(G131="",G131="TXT",G131="HEAD"),"L_YN","L_"&amp;G131)</f>
        <v/>
      </c>
    </row>
    <row r="132">
      <c r="B132" s="19">
        <f>IF(OR(F132=0,G132="HEAD"),"",INDEX(Banco_Preguntas!$B$2:$B$500,F132))</f>
        <v/>
      </c>
      <c r="C132" s="20">
        <f>IF(F132=0,"",INDEX(Banco_Preguntas!$C$2:$C$500,F132))</f>
        <v/>
      </c>
      <c r="D132" s="21" t="n"/>
      <c r="E132" s="20" t="n"/>
      <c r="F132">
        <f>IFERROR(MATCH(109,Banco_Preguntas!$K$2:$K$500,0),0)</f>
        <v/>
      </c>
      <c r="G132">
        <f>IF(F132=0,"",INDEX(Banco_Preguntas!$D$2:$D$500,F132))</f>
        <v/>
      </c>
      <c r="H132">
        <f>IF(OR(G132="",G132="TXT",G132="HEAD"),"L_YN","L_"&amp;G132)</f>
        <v/>
      </c>
    </row>
    <row r="133">
      <c r="B133" s="19">
        <f>IF(OR(F133=0,G133="HEAD"),"",INDEX(Banco_Preguntas!$B$2:$B$500,F133))</f>
        <v/>
      </c>
      <c r="C133" s="20">
        <f>IF(F133=0,"",INDEX(Banco_Preguntas!$C$2:$C$500,F133))</f>
        <v/>
      </c>
      <c r="D133" s="21" t="n"/>
      <c r="E133" s="20" t="n"/>
      <c r="F133">
        <f>IFERROR(MATCH(110,Banco_Preguntas!$K$2:$K$500,0),0)</f>
        <v/>
      </c>
      <c r="G133">
        <f>IF(F133=0,"",INDEX(Banco_Preguntas!$D$2:$D$500,F133))</f>
        <v/>
      </c>
      <c r="H133">
        <f>IF(OR(G133="",G133="TXT",G133="HEAD"),"L_YN","L_"&amp;G133)</f>
        <v/>
      </c>
    </row>
    <row r="134">
      <c r="B134" s="19">
        <f>IF(OR(F134=0,G134="HEAD"),"",INDEX(Banco_Preguntas!$B$2:$B$500,F134))</f>
        <v/>
      </c>
      <c r="C134" s="20">
        <f>IF(F134=0,"",INDEX(Banco_Preguntas!$C$2:$C$500,F134))</f>
        <v/>
      </c>
      <c r="D134" s="21" t="n"/>
      <c r="E134" s="20" t="n"/>
      <c r="F134">
        <f>IFERROR(MATCH(111,Banco_Preguntas!$K$2:$K$500,0),0)</f>
        <v/>
      </c>
      <c r="G134">
        <f>IF(F134=0,"",INDEX(Banco_Preguntas!$D$2:$D$500,F134))</f>
        <v/>
      </c>
      <c r="H134">
        <f>IF(OR(G134="",G134="TXT",G134="HEAD"),"L_YN","L_"&amp;G134)</f>
        <v/>
      </c>
    </row>
    <row r="135">
      <c r="B135" s="19">
        <f>IF(OR(F135=0,G135="HEAD"),"",INDEX(Banco_Preguntas!$B$2:$B$500,F135))</f>
        <v/>
      </c>
      <c r="C135" s="20">
        <f>IF(F135=0,"",INDEX(Banco_Preguntas!$C$2:$C$500,F135))</f>
        <v/>
      </c>
      <c r="D135" s="21" t="n"/>
      <c r="E135" s="20" t="n"/>
      <c r="F135">
        <f>IFERROR(MATCH(112,Banco_Preguntas!$K$2:$K$500,0),0)</f>
        <v/>
      </c>
      <c r="G135">
        <f>IF(F135=0,"",INDEX(Banco_Preguntas!$D$2:$D$500,F135))</f>
        <v/>
      </c>
      <c r="H135">
        <f>IF(OR(G135="",G135="TXT",G135="HEAD"),"L_YN","L_"&amp;G135)</f>
        <v/>
      </c>
    </row>
    <row r="136">
      <c r="B136" s="19">
        <f>IF(OR(F136=0,G136="HEAD"),"",INDEX(Banco_Preguntas!$B$2:$B$500,F136))</f>
        <v/>
      </c>
      <c r="C136" s="20">
        <f>IF(F136=0,"",INDEX(Banco_Preguntas!$C$2:$C$500,F136))</f>
        <v/>
      </c>
      <c r="D136" s="21" t="n"/>
      <c r="E136" s="20" t="n"/>
      <c r="F136">
        <f>IFERROR(MATCH(113,Banco_Preguntas!$K$2:$K$500,0),0)</f>
        <v/>
      </c>
      <c r="G136">
        <f>IF(F136=0,"",INDEX(Banco_Preguntas!$D$2:$D$500,F136))</f>
        <v/>
      </c>
      <c r="H136">
        <f>IF(OR(G136="",G136="TXT",G136="HEAD"),"L_YN","L_"&amp;G136)</f>
        <v/>
      </c>
    </row>
    <row r="137">
      <c r="B137" s="19">
        <f>IF(OR(F137=0,G137="HEAD"),"",INDEX(Banco_Preguntas!$B$2:$B$500,F137))</f>
        <v/>
      </c>
      <c r="C137" s="20">
        <f>IF(F137=0,"",INDEX(Banco_Preguntas!$C$2:$C$500,F137))</f>
        <v/>
      </c>
      <c r="D137" s="21" t="n"/>
      <c r="E137" s="20" t="n"/>
      <c r="F137">
        <f>IFERROR(MATCH(114,Banco_Preguntas!$K$2:$K$500,0),0)</f>
        <v/>
      </c>
      <c r="G137">
        <f>IF(F137=0,"",INDEX(Banco_Preguntas!$D$2:$D$500,F137))</f>
        <v/>
      </c>
      <c r="H137">
        <f>IF(OR(G137="",G137="TXT",G137="HEAD"),"L_YN","L_"&amp;G137)</f>
        <v/>
      </c>
    </row>
    <row r="138">
      <c r="B138" s="19">
        <f>IF(OR(F138=0,G138="HEAD"),"",INDEX(Banco_Preguntas!$B$2:$B$500,F138))</f>
        <v/>
      </c>
      <c r="C138" s="20">
        <f>IF(F138=0,"",INDEX(Banco_Preguntas!$C$2:$C$500,F138))</f>
        <v/>
      </c>
      <c r="D138" s="21" t="n"/>
      <c r="E138" s="20" t="n"/>
      <c r="F138">
        <f>IFERROR(MATCH(115,Banco_Preguntas!$K$2:$K$500,0),0)</f>
        <v/>
      </c>
      <c r="G138">
        <f>IF(F138=0,"",INDEX(Banco_Preguntas!$D$2:$D$500,F138))</f>
        <v/>
      </c>
      <c r="H138">
        <f>IF(OR(G138="",G138="TXT",G138="HEAD"),"L_YN","L_"&amp;G138)</f>
        <v/>
      </c>
    </row>
    <row r="139">
      <c r="B139" s="19">
        <f>IF(OR(F139=0,G139="HEAD"),"",INDEX(Banco_Preguntas!$B$2:$B$500,F139))</f>
        <v/>
      </c>
      <c r="C139" s="20">
        <f>IF(F139=0,"",INDEX(Banco_Preguntas!$C$2:$C$500,F139))</f>
        <v/>
      </c>
      <c r="D139" s="21" t="n"/>
      <c r="E139" s="20" t="n"/>
      <c r="F139">
        <f>IFERROR(MATCH(116,Banco_Preguntas!$K$2:$K$500,0),0)</f>
        <v/>
      </c>
      <c r="G139">
        <f>IF(F139=0,"",INDEX(Banco_Preguntas!$D$2:$D$500,F139))</f>
        <v/>
      </c>
      <c r="H139">
        <f>IF(OR(G139="",G139="TXT",G139="HEAD"),"L_YN","L_"&amp;G139)</f>
        <v/>
      </c>
    </row>
    <row r="140">
      <c r="B140" s="19">
        <f>IF(OR(F140=0,G140="HEAD"),"",INDEX(Banco_Preguntas!$B$2:$B$500,F140))</f>
        <v/>
      </c>
      <c r="C140" s="20">
        <f>IF(F140=0,"",INDEX(Banco_Preguntas!$C$2:$C$500,F140))</f>
        <v/>
      </c>
      <c r="D140" s="21" t="n"/>
      <c r="E140" s="20" t="n"/>
      <c r="F140">
        <f>IFERROR(MATCH(117,Banco_Preguntas!$K$2:$K$500,0),0)</f>
        <v/>
      </c>
      <c r="G140">
        <f>IF(F140=0,"",INDEX(Banco_Preguntas!$D$2:$D$500,F140))</f>
        <v/>
      </c>
      <c r="H140">
        <f>IF(OR(G140="",G140="TXT",G140="HEAD"),"L_YN","L_"&amp;G140)</f>
        <v/>
      </c>
    </row>
    <row r="141">
      <c r="B141" s="19">
        <f>IF(OR(F141=0,G141="HEAD"),"",INDEX(Banco_Preguntas!$B$2:$B$500,F141))</f>
        <v/>
      </c>
      <c r="C141" s="20">
        <f>IF(F141=0,"",INDEX(Banco_Preguntas!$C$2:$C$500,F141))</f>
        <v/>
      </c>
      <c r="D141" s="21" t="n"/>
      <c r="E141" s="20" t="n"/>
      <c r="F141">
        <f>IFERROR(MATCH(118,Banco_Preguntas!$K$2:$K$500,0),0)</f>
        <v/>
      </c>
      <c r="G141">
        <f>IF(F141=0,"",INDEX(Banco_Preguntas!$D$2:$D$500,F141))</f>
        <v/>
      </c>
      <c r="H141">
        <f>IF(OR(G141="",G141="TXT",G141="HEAD"),"L_YN","L_"&amp;G141)</f>
        <v/>
      </c>
    </row>
    <row r="142">
      <c r="B142" s="19">
        <f>IF(OR(F142=0,G142="HEAD"),"",INDEX(Banco_Preguntas!$B$2:$B$500,F142))</f>
        <v/>
      </c>
      <c r="C142" s="20">
        <f>IF(F142=0,"",INDEX(Banco_Preguntas!$C$2:$C$500,F142))</f>
        <v/>
      </c>
      <c r="D142" s="21" t="n"/>
      <c r="E142" s="20" t="n"/>
      <c r="F142">
        <f>IFERROR(MATCH(119,Banco_Preguntas!$K$2:$K$500,0),0)</f>
        <v/>
      </c>
      <c r="G142">
        <f>IF(F142=0,"",INDEX(Banco_Preguntas!$D$2:$D$500,F142))</f>
        <v/>
      </c>
      <c r="H142">
        <f>IF(OR(G142="",G142="TXT",G142="HEAD"),"L_YN","L_"&amp;G142)</f>
        <v/>
      </c>
    </row>
    <row r="143">
      <c r="B143" s="19">
        <f>IF(OR(F143=0,G143="HEAD"),"",INDEX(Banco_Preguntas!$B$2:$B$500,F143))</f>
        <v/>
      </c>
      <c r="C143" s="20">
        <f>IF(F143=0,"",INDEX(Banco_Preguntas!$C$2:$C$500,F143))</f>
        <v/>
      </c>
      <c r="D143" s="21" t="n"/>
      <c r="E143" s="20" t="n"/>
      <c r="F143">
        <f>IFERROR(MATCH(120,Banco_Preguntas!$K$2:$K$500,0),0)</f>
        <v/>
      </c>
      <c r="G143">
        <f>IF(F143=0,"",INDEX(Banco_Preguntas!$D$2:$D$500,F143))</f>
        <v/>
      </c>
      <c r="H143">
        <f>IF(OR(G143="",G143="TXT",G143="HEAD"),"L_YN","L_"&amp;G143)</f>
        <v/>
      </c>
    </row>
    <row r="144">
      <c r="B144" s="19">
        <f>IF(OR(F144=0,G144="HEAD"),"",INDEX(Banco_Preguntas!$B$2:$B$500,F144))</f>
        <v/>
      </c>
      <c r="C144" s="20">
        <f>IF(F144=0,"",INDEX(Banco_Preguntas!$C$2:$C$500,F144))</f>
        <v/>
      </c>
      <c r="D144" s="21" t="n"/>
      <c r="E144" s="20" t="n"/>
      <c r="F144">
        <f>IFERROR(MATCH(121,Banco_Preguntas!$K$2:$K$500,0),0)</f>
        <v/>
      </c>
      <c r="G144">
        <f>IF(F144=0,"",INDEX(Banco_Preguntas!$D$2:$D$500,F144))</f>
        <v/>
      </c>
      <c r="H144">
        <f>IF(OR(G144="",G144="TXT",G144="HEAD"),"L_YN","L_"&amp;G144)</f>
        <v/>
      </c>
    </row>
    <row r="145">
      <c r="B145" s="19">
        <f>IF(OR(F145=0,G145="HEAD"),"",INDEX(Banco_Preguntas!$B$2:$B$500,F145))</f>
        <v/>
      </c>
      <c r="C145" s="20">
        <f>IF(F145=0,"",INDEX(Banco_Preguntas!$C$2:$C$500,F145))</f>
        <v/>
      </c>
      <c r="D145" s="21" t="n"/>
      <c r="E145" s="20" t="n"/>
      <c r="F145">
        <f>IFERROR(MATCH(122,Banco_Preguntas!$K$2:$K$500,0),0)</f>
        <v/>
      </c>
      <c r="G145">
        <f>IF(F145=0,"",INDEX(Banco_Preguntas!$D$2:$D$500,F145))</f>
        <v/>
      </c>
      <c r="H145">
        <f>IF(OR(G145="",G145="TXT",G145="HEAD"),"L_YN","L_"&amp;G145)</f>
        <v/>
      </c>
    </row>
    <row r="146">
      <c r="B146" s="19">
        <f>IF(OR(F146=0,G146="HEAD"),"",INDEX(Banco_Preguntas!$B$2:$B$500,F146))</f>
        <v/>
      </c>
      <c r="C146" s="20">
        <f>IF(F146=0,"",INDEX(Banco_Preguntas!$C$2:$C$500,F146))</f>
        <v/>
      </c>
      <c r="D146" s="21" t="n"/>
      <c r="E146" s="20" t="n"/>
      <c r="F146">
        <f>IFERROR(MATCH(123,Banco_Preguntas!$K$2:$K$500,0),0)</f>
        <v/>
      </c>
      <c r="G146">
        <f>IF(F146=0,"",INDEX(Banco_Preguntas!$D$2:$D$500,F146))</f>
        <v/>
      </c>
      <c r="H146">
        <f>IF(OR(G146="",G146="TXT",G146="HEAD"),"L_YN","L_"&amp;G146)</f>
        <v/>
      </c>
    </row>
    <row r="147">
      <c r="B147" s="19">
        <f>IF(OR(F147=0,G147="HEAD"),"",INDEX(Banco_Preguntas!$B$2:$B$500,F147))</f>
        <v/>
      </c>
      <c r="C147" s="20">
        <f>IF(F147=0,"",INDEX(Banco_Preguntas!$C$2:$C$500,F147))</f>
        <v/>
      </c>
      <c r="D147" s="21" t="n"/>
      <c r="E147" s="20" t="n"/>
      <c r="F147">
        <f>IFERROR(MATCH(124,Banco_Preguntas!$K$2:$K$500,0),0)</f>
        <v/>
      </c>
      <c r="G147">
        <f>IF(F147=0,"",INDEX(Banco_Preguntas!$D$2:$D$500,F147))</f>
        <v/>
      </c>
      <c r="H147">
        <f>IF(OR(G147="",G147="TXT",G147="HEAD"),"L_YN","L_"&amp;G147)</f>
        <v/>
      </c>
    </row>
    <row r="148">
      <c r="B148" s="19">
        <f>IF(OR(F148=0,G148="HEAD"),"",INDEX(Banco_Preguntas!$B$2:$B$500,F148))</f>
        <v/>
      </c>
      <c r="C148" s="20">
        <f>IF(F148=0,"",INDEX(Banco_Preguntas!$C$2:$C$500,F148))</f>
        <v/>
      </c>
      <c r="D148" s="21" t="n"/>
      <c r="E148" s="20" t="n"/>
      <c r="F148">
        <f>IFERROR(MATCH(125,Banco_Preguntas!$K$2:$K$500,0),0)</f>
        <v/>
      </c>
      <c r="G148">
        <f>IF(F148=0,"",INDEX(Banco_Preguntas!$D$2:$D$500,F148))</f>
        <v/>
      </c>
      <c r="H148">
        <f>IF(OR(G148="",G148="TXT",G148="HEAD"),"L_YN","L_"&amp;G148)</f>
        <v/>
      </c>
    </row>
    <row r="149">
      <c r="B149" s="19">
        <f>IF(OR(F149=0,G149="HEAD"),"",INDEX(Banco_Preguntas!$B$2:$B$500,F149))</f>
        <v/>
      </c>
      <c r="C149" s="20">
        <f>IF(F149=0,"",INDEX(Banco_Preguntas!$C$2:$C$500,F149))</f>
        <v/>
      </c>
      <c r="D149" s="21" t="n"/>
      <c r="E149" s="20" t="n"/>
      <c r="F149">
        <f>IFERROR(MATCH(126,Banco_Preguntas!$K$2:$K$500,0),0)</f>
        <v/>
      </c>
      <c r="G149">
        <f>IF(F149=0,"",INDEX(Banco_Preguntas!$D$2:$D$500,F149))</f>
        <v/>
      </c>
      <c r="H149">
        <f>IF(OR(G149="",G149="TXT",G149="HEAD"),"L_YN","L_"&amp;G149)</f>
        <v/>
      </c>
    </row>
    <row r="150">
      <c r="B150" s="19">
        <f>IF(OR(F150=0,G150="HEAD"),"",INDEX(Banco_Preguntas!$B$2:$B$500,F150))</f>
        <v/>
      </c>
      <c r="C150" s="20">
        <f>IF(F150=0,"",INDEX(Banco_Preguntas!$C$2:$C$500,F150))</f>
        <v/>
      </c>
      <c r="D150" s="21" t="n"/>
      <c r="E150" s="20" t="n"/>
      <c r="F150">
        <f>IFERROR(MATCH(127,Banco_Preguntas!$K$2:$K$500,0),0)</f>
        <v/>
      </c>
      <c r="G150">
        <f>IF(F150=0,"",INDEX(Banco_Preguntas!$D$2:$D$500,F150))</f>
        <v/>
      </c>
      <c r="H150">
        <f>IF(OR(G150="",G150="TXT",G150="HEAD"),"L_YN","L_"&amp;G150)</f>
        <v/>
      </c>
    </row>
    <row r="151">
      <c r="B151" s="19">
        <f>IF(OR(F151=0,G151="HEAD"),"",INDEX(Banco_Preguntas!$B$2:$B$500,F151))</f>
        <v/>
      </c>
      <c r="C151" s="20">
        <f>IF(F151=0,"",INDEX(Banco_Preguntas!$C$2:$C$500,F151))</f>
        <v/>
      </c>
      <c r="D151" s="21" t="n"/>
      <c r="E151" s="20" t="n"/>
      <c r="F151">
        <f>IFERROR(MATCH(128,Banco_Preguntas!$K$2:$K$500,0),0)</f>
        <v/>
      </c>
      <c r="G151">
        <f>IF(F151=0,"",INDEX(Banco_Preguntas!$D$2:$D$500,F151))</f>
        <v/>
      </c>
      <c r="H151">
        <f>IF(OR(G151="",G151="TXT",G151="HEAD"),"L_YN","L_"&amp;G151)</f>
        <v/>
      </c>
    </row>
    <row r="152">
      <c r="B152" s="19">
        <f>IF(OR(F152=0,G152="HEAD"),"",INDEX(Banco_Preguntas!$B$2:$B$500,F152))</f>
        <v/>
      </c>
      <c r="C152" s="20">
        <f>IF(F152=0,"",INDEX(Banco_Preguntas!$C$2:$C$500,F152))</f>
        <v/>
      </c>
      <c r="D152" s="21" t="n"/>
      <c r="E152" s="20" t="n"/>
      <c r="F152">
        <f>IFERROR(MATCH(129,Banco_Preguntas!$K$2:$K$500,0),0)</f>
        <v/>
      </c>
      <c r="G152">
        <f>IF(F152=0,"",INDEX(Banco_Preguntas!$D$2:$D$500,F152))</f>
        <v/>
      </c>
      <c r="H152">
        <f>IF(OR(G152="",G152="TXT",G152="HEAD"),"L_YN","L_"&amp;G152)</f>
        <v/>
      </c>
    </row>
    <row r="153">
      <c r="B153" s="19">
        <f>IF(OR(F153=0,G153="HEAD"),"",INDEX(Banco_Preguntas!$B$2:$B$500,F153))</f>
        <v/>
      </c>
      <c r="C153" s="20">
        <f>IF(F153=0,"",INDEX(Banco_Preguntas!$C$2:$C$500,F153))</f>
        <v/>
      </c>
      <c r="D153" s="21" t="n"/>
      <c r="E153" s="20" t="n"/>
      <c r="F153">
        <f>IFERROR(MATCH(130,Banco_Preguntas!$K$2:$K$500,0),0)</f>
        <v/>
      </c>
      <c r="G153">
        <f>IF(F153=0,"",INDEX(Banco_Preguntas!$D$2:$D$500,F153))</f>
        <v/>
      </c>
      <c r="H153">
        <f>IF(OR(G153="",G153="TXT",G153="HEAD"),"L_YN","L_"&amp;G153)</f>
        <v/>
      </c>
    </row>
    <row r="154">
      <c r="B154" s="19">
        <f>IF(OR(F154=0,G154="HEAD"),"",INDEX(Banco_Preguntas!$B$2:$B$500,F154))</f>
        <v/>
      </c>
      <c r="C154" s="20">
        <f>IF(F154=0,"",INDEX(Banco_Preguntas!$C$2:$C$500,F154))</f>
        <v/>
      </c>
      <c r="D154" s="21" t="n"/>
      <c r="E154" s="20" t="n"/>
      <c r="F154">
        <f>IFERROR(MATCH(131,Banco_Preguntas!$K$2:$K$500,0),0)</f>
        <v/>
      </c>
      <c r="G154">
        <f>IF(F154=0,"",INDEX(Banco_Preguntas!$D$2:$D$500,F154))</f>
        <v/>
      </c>
      <c r="H154">
        <f>IF(OR(G154="",G154="TXT",G154="HEAD"),"L_YN","L_"&amp;G154)</f>
        <v/>
      </c>
    </row>
    <row r="155">
      <c r="B155" s="19">
        <f>IF(OR(F155=0,G155="HEAD"),"",INDEX(Banco_Preguntas!$B$2:$B$500,F155))</f>
        <v/>
      </c>
      <c r="C155" s="20">
        <f>IF(F155=0,"",INDEX(Banco_Preguntas!$C$2:$C$500,F155))</f>
        <v/>
      </c>
      <c r="D155" s="21" t="n"/>
      <c r="E155" s="20" t="n"/>
      <c r="F155">
        <f>IFERROR(MATCH(132,Banco_Preguntas!$K$2:$K$500,0),0)</f>
        <v/>
      </c>
      <c r="G155">
        <f>IF(F155=0,"",INDEX(Banco_Preguntas!$D$2:$D$500,F155))</f>
        <v/>
      </c>
      <c r="H155">
        <f>IF(OR(G155="",G155="TXT",G155="HEAD"),"L_YN","L_"&amp;G155)</f>
        <v/>
      </c>
    </row>
    <row r="156">
      <c r="B156" s="19">
        <f>IF(OR(F156=0,G156="HEAD"),"",INDEX(Banco_Preguntas!$B$2:$B$500,F156))</f>
        <v/>
      </c>
      <c r="C156" s="20">
        <f>IF(F156=0,"",INDEX(Banco_Preguntas!$C$2:$C$500,F156))</f>
        <v/>
      </c>
      <c r="D156" s="21" t="n"/>
      <c r="E156" s="20" t="n"/>
      <c r="F156">
        <f>IFERROR(MATCH(133,Banco_Preguntas!$K$2:$K$500,0),0)</f>
        <v/>
      </c>
      <c r="G156">
        <f>IF(F156=0,"",INDEX(Banco_Preguntas!$D$2:$D$500,F156))</f>
        <v/>
      </c>
      <c r="H156">
        <f>IF(OR(G156="",G156="TXT",G156="HEAD"),"L_YN","L_"&amp;G156)</f>
        <v/>
      </c>
    </row>
    <row r="157">
      <c r="B157" s="19">
        <f>IF(OR(F157=0,G157="HEAD"),"",INDEX(Banco_Preguntas!$B$2:$B$500,F157))</f>
        <v/>
      </c>
      <c r="C157" s="20">
        <f>IF(F157=0,"",INDEX(Banco_Preguntas!$C$2:$C$500,F157))</f>
        <v/>
      </c>
      <c r="D157" s="21" t="n"/>
      <c r="E157" s="20" t="n"/>
      <c r="F157">
        <f>IFERROR(MATCH(134,Banco_Preguntas!$K$2:$K$500,0),0)</f>
        <v/>
      </c>
      <c r="G157">
        <f>IF(F157=0,"",INDEX(Banco_Preguntas!$D$2:$D$500,F157))</f>
        <v/>
      </c>
      <c r="H157">
        <f>IF(OR(G157="",G157="TXT",G157="HEAD"),"L_YN","L_"&amp;G157)</f>
        <v/>
      </c>
    </row>
    <row r="158">
      <c r="B158" s="19">
        <f>IF(OR(F158=0,G158="HEAD"),"",INDEX(Banco_Preguntas!$B$2:$B$500,F158))</f>
        <v/>
      </c>
      <c r="C158" s="20">
        <f>IF(F158=0,"",INDEX(Banco_Preguntas!$C$2:$C$500,F158))</f>
        <v/>
      </c>
      <c r="D158" s="21" t="n"/>
      <c r="E158" s="20" t="n"/>
      <c r="F158">
        <f>IFERROR(MATCH(135,Banco_Preguntas!$K$2:$K$500,0),0)</f>
        <v/>
      </c>
      <c r="G158">
        <f>IF(F158=0,"",INDEX(Banco_Preguntas!$D$2:$D$500,F158))</f>
        <v/>
      </c>
      <c r="H158">
        <f>IF(OR(G158="",G158="TXT",G158="HEAD"),"L_YN","L_"&amp;G158)</f>
        <v/>
      </c>
    </row>
    <row r="159">
      <c r="B159" s="19">
        <f>IF(OR(F159=0,G159="HEAD"),"",INDEX(Banco_Preguntas!$B$2:$B$500,F159))</f>
        <v/>
      </c>
      <c r="C159" s="20">
        <f>IF(F159=0,"",INDEX(Banco_Preguntas!$C$2:$C$500,F159))</f>
        <v/>
      </c>
      <c r="D159" s="21" t="n"/>
      <c r="E159" s="20" t="n"/>
      <c r="F159">
        <f>IFERROR(MATCH(136,Banco_Preguntas!$K$2:$K$500,0),0)</f>
        <v/>
      </c>
      <c r="G159">
        <f>IF(F159=0,"",INDEX(Banco_Preguntas!$D$2:$D$500,F159))</f>
        <v/>
      </c>
      <c r="H159">
        <f>IF(OR(G159="",G159="TXT",G159="HEAD"),"L_YN","L_"&amp;G159)</f>
        <v/>
      </c>
    </row>
    <row r="160">
      <c r="B160" s="19">
        <f>IF(OR(F160=0,G160="HEAD"),"",INDEX(Banco_Preguntas!$B$2:$B$500,F160))</f>
        <v/>
      </c>
      <c r="C160" s="20">
        <f>IF(F160=0,"",INDEX(Banco_Preguntas!$C$2:$C$500,F160))</f>
        <v/>
      </c>
      <c r="D160" s="21" t="n"/>
      <c r="E160" s="20" t="n"/>
      <c r="F160">
        <f>IFERROR(MATCH(137,Banco_Preguntas!$K$2:$K$500,0),0)</f>
        <v/>
      </c>
      <c r="G160">
        <f>IF(F160=0,"",INDEX(Banco_Preguntas!$D$2:$D$500,F160))</f>
        <v/>
      </c>
      <c r="H160">
        <f>IF(OR(G160="",G160="TXT",G160="HEAD"),"L_YN","L_"&amp;G160)</f>
        <v/>
      </c>
    </row>
    <row r="161">
      <c r="B161" s="19">
        <f>IF(OR(F161=0,G161="HEAD"),"",INDEX(Banco_Preguntas!$B$2:$B$500,F161))</f>
        <v/>
      </c>
      <c r="C161" s="20">
        <f>IF(F161=0,"",INDEX(Banco_Preguntas!$C$2:$C$500,F161))</f>
        <v/>
      </c>
      <c r="D161" s="21" t="n"/>
      <c r="E161" s="20" t="n"/>
      <c r="F161">
        <f>IFERROR(MATCH(138,Banco_Preguntas!$K$2:$K$500,0),0)</f>
        <v/>
      </c>
      <c r="G161">
        <f>IF(F161=0,"",INDEX(Banco_Preguntas!$D$2:$D$500,F161))</f>
        <v/>
      </c>
      <c r="H161">
        <f>IF(OR(G161="",G161="TXT",G161="HEAD"),"L_YN","L_"&amp;G161)</f>
        <v/>
      </c>
    </row>
    <row r="162">
      <c r="B162" s="19">
        <f>IF(OR(F162=0,G162="HEAD"),"",INDEX(Banco_Preguntas!$B$2:$B$500,F162))</f>
        <v/>
      </c>
      <c r="C162" s="20">
        <f>IF(F162=0,"",INDEX(Banco_Preguntas!$C$2:$C$500,F162))</f>
        <v/>
      </c>
      <c r="D162" s="21" t="n"/>
      <c r="E162" s="20" t="n"/>
      <c r="F162">
        <f>IFERROR(MATCH(139,Banco_Preguntas!$K$2:$K$500,0),0)</f>
        <v/>
      </c>
      <c r="G162">
        <f>IF(F162=0,"",INDEX(Banco_Preguntas!$D$2:$D$500,F162))</f>
        <v/>
      </c>
      <c r="H162">
        <f>IF(OR(G162="",G162="TXT",G162="HEAD"),"L_YN","L_"&amp;G162)</f>
        <v/>
      </c>
    </row>
    <row r="163">
      <c r="B163" s="19">
        <f>IF(OR(F163=0,G163="HEAD"),"",INDEX(Banco_Preguntas!$B$2:$B$500,F163))</f>
        <v/>
      </c>
      <c r="C163" s="20">
        <f>IF(F163=0,"",INDEX(Banco_Preguntas!$C$2:$C$500,F163))</f>
        <v/>
      </c>
      <c r="D163" s="21" t="n"/>
      <c r="E163" s="20" t="n"/>
      <c r="F163">
        <f>IFERROR(MATCH(140,Banco_Preguntas!$K$2:$K$500,0),0)</f>
        <v/>
      </c>
      <c r="G163">
        <f>IF(F163=0,"",INDEX(Banco_Preguntas!$D$2:$D$500,F163))</f>
        <v/>
      </c>
      <c r="H163">
        <f>IF(OR(G163="",G163="TXT",G163="HEAD"),"L_YN","L_"&amp;G163)</f>
        <v/>
      </c>
    </row>
    <row r="164">
      <c r="B164" s="19">
        <f>IF(OR(F164=0,G164="HEAD"),"",INDEX(Banco_Preguntas!$B$2:$B$500,F164))</f>
        <v/>
      </c>
      <c r="C164" s="20">
        <f>IF(F164=0,"",INDEX(Banco_Preguntas!$C$2:$C$500,F164))</f>
        <v/>
      </c>
      <c r="D164" s="21" t="n"/>
      <c r="E164" s="20" t="n"/>
      <c r="F164">
        <f>IFERROR(MATCH(141,Banco_Preguntas!$K$2:$K$500,0),0)</f>
        <v/>
      </c>
      <c r="G164">
        <f>IF(F164=0,"",INDEX(Banco_Preguntas!$D$2:$D$500,F164))</f>
        <v/>
      </c>
      <c r="H164">
        <f>IF(OR(G164="",G164="TXT",G164="HEAD"),"L_YN","L_"&amp;G164)</f>
        <v/>
      </c>
    </row>
    <row r="165">
      <c r="B165" s="19">
        <f>IF(OR(F165=0,G165="HEAD"),"",INDEX(Banco_Preguntas!$B$2:$B$500,F165))</f>
        <v/>
      </c>
      <c r="C165" s="20">
        <f>IF(F165=0,"",INDEX(Banco_Preguntas!$C$2:$C$500,F165))</f>
        <v/>
      </c>
      <c r="D165" s="21" t="n"/>
      <c r="E165" s="20" t="n"/>
      <c r="F165">
        <f>IFERROR(MATCH(142,Banco_Preguntas!$K$2:$K$500,0),0)</f>
        <v/>
      </c>
      <c r="G165">
        <f>IF(F165=0,"",INDEX(Banco_Preguntas!$D$2:$D$500,F165))</f>
        <v/>
      </c>
      <c r="H165">
        <f>IF(OR(G165="",G165="TXT",G165="HEAD"),"L_YN","L_"&amp;G165)</f>
        <v/>
      </c>
    </row>
    <row r="166">
      <c r="B166" s="19">
        <f>IF(OR(F166=0,G166="HEAD"),"",INDEX(Banco_Preguntas!$B$2:$B$500,F166))</f>
        <v/>
      </c>
      <c r="C166" s="20">
        <f>IF(F166=0,"",INDEX(Banco_Preguntas!$C$2:$C$500,F166))</f>
        <v/>
      </c>
      <c r="D166" s="21" t="n"/>
      <c r="E166" s="20" t="n"/>
      <c r="F166">
        <f>IFERROR(MATCH(143,Banco_Preguntas!$K$2:$K$500,0),0)</f>
        <v/>
      </c>
      <c r="G166">
        <f>IF(F166=0,"",INDEX(Banco_Preguntas!$D$2:$D$500,F166))</f>
        <v/>
      </c>
      <c r="H166">
        <f>IF(OR(G166="",G166="TXT",G166="HEAD"),"L_YN","L_"&amp;G166)</f>
        <v/>
      </c>
    </row>
    <row r="167">
      <c r="B167" s="19">
        <f>IF(OR(F167=0,G167="HEAD"),"",INDEX(Banco_Preguntas!$B$2:$B$500,F167))</f>
        <v/>
      </c>
      <c r="C167" s="20">
        <f>IF(F167=0,"",INDEX(Banco_Preguntas!$C$2:$C$500,F167))</f>
        <v/>
      </c>
      <c r="D167" s="21" t="n"/>
      <c r="E167" s="20" t="n"/>
      <c r="F167">
        <f>IFERROR(MATCH(144,Banco_Preguntas!$K$2:$K$500,0),0)</f>
        <v/>
      </c>
      <c r="G167">
        <f>IF(F167=0,"",INDEX(Banco_Preguntas!$D$2:$D$500,F167))</f>
        <v/>
      </c>
      <c r="H167">
        <f>IF(OR(G167="",G167="TXT",G167="HEAD"),"L_YN","L_"&amp;G167)</f>
        <v/>
      </c>
    </row>
    <row r="168">
      <c r="B168" s="19">
        <f>IF(OR(F168=0,G168="HEAD"),"",INDEX(Banco_Preguntas!$B$2:$B$500,F168))</f>
        <v/>
      </c>
      <c r="C168" s="20">
        <f>IF(F168=0,"",INDEX(Banco_Preguntas!$C$2:$C$500,F168))</f>
        <v/>
      </c>
      <c r="D168" s="21" t="n"/>
      <c r="E168" s="20" t="n"/>
      <c r="F168">
        <f>IFERROR(MATCH(145,Banco_Preguntas!$K$2:$K$500,0),0)</f>
        <v/>
      </c>
      <c r="G168">
        <f>IF(F168=0,"",INDEX(Banco_Preguntas!$D$2:$D$500,F168))</f>
        <v/>
      </c>
      <c r="H168">
        <f>IF(OR(G168="",G168="TXT",G168="HEAD"),"L_YN","L_"&amp;G168)</f>
        <v/>
      </c>
    </row>
    <row r="169">
      <c r="B169" s="19">
        <f>IF(OR(F169=0,G169="HEAD"),"",INDEX(Banco_Preguntas!$B$2:$B$500,F169))</f>
        <v/>
      </c>
      <c r="C169" s="20">
        <f>IF(F169=0,"",INDEX(Banco_Preguntas!$C$2:$C$500,F169))</f>
        <v/>
      </c>
      <c r="D169" s="21" t="n"/>
      <c r="E169" s="20" t="n"/>
      <c r="F169">
        <f>IFERROR(MATCH(146,Banco_Preguntas!$K$2:$K$500,0),0)</f>
        <v/>
      </c>
      <c r="G169">
        <f>IF(F169=0,"",INDEX(Banco_Preguntas!$D$2:$D$500,F169))</f>
        <v/>
      </c>
      <c r="H169">
        <f>IF(OR(G169="",G169="TXT",G169="HEAD"),"L_YN","L_"&amp;G169)</f>
        <v/>
      </c>
    </row>
    <row r="170">
      <c r="B170" s="19">
        <f>IF(OR(F170=0,G170="HEAD"),"",INDEX(Banco_Preguntas!$B$2:$B$500,F170))</f>
        <v/>
      </c>
      <c r="C170" s="20">
        <f>IF(F170=0,"",INDEX(Banco_Preguntas!$C$2:$C$500,F170))</f>
        <v/>
      </c>
      <c r="D170" s="21" t="n"/>
      <c r="E170" s="20" t="n"/>
      <c r="F170">
        <f>IFERROR(MATCH(147,Banco_Preguntas!$K$2:$K$500,0),0)</f>
        <v/>
      </c>
      <c r="G170">
        <f>IF(F170=0,"",INDEX(Banco_Preguntas!$D$2:$D$500,F170))</f>
        <v/>
      </c>
      <c r="H170">
        <f>IF(OR(G170="",G170="TXT",G170="HEAD"),"L_YN","L_"&amp;G170)</f>
        <v/>
      </c>
    </row>
    <row r="171">
      <c r="B171" s="19">
        <f>IF(OR(F171=0,G171="HEAD"),"",INDEX(Banco_Preguntas!$B$2:$B$500,F171))</f>
        <v/>
      </c>
      <c r="C171" s="20">
        <f>IF(F171=0,"",INDEX(Banco_Preguntas!$C$2:$C$500,F171))</f>
        <v/>
      </c>
      <c r="D171" s="21" t="n"/>
      <c r="E171" s="20" t="n"/>
      <c r="F171">
        <f>IFERROR(MATCH(148,Banco_Preguntas!$K$2:$K$500,0),0)</f>
        <v/>
      </c>
      <c r="G171">
        <f>IF(F171=0,"",INDEX(Banco_Preguntas!$D$2:$D$500,F171))</f>
        <v/>
      </c>
      <c r="H171">
        <f>IF(OR(G171="",G171="TXT",G171="HEAD"),"L_YN","L_"&amp;G171)</f>
        <v/>
      </c>
    </row>
    <row r="172">
      <c r="B172" s="19">
        <f>IF(OR(F172=0,G172="HEAD"),"",INDEX(Banco_Preguntas!$B$2:$B$500,F172))</f>
        <v/>
      </c>
      <c r="C172" s="20">
        <f>IF(F172=0,"",INDEX(Banco_Preguntas!$C$2:$C$500,F172))</f>
        <v/>
      </c>
      <c r="D172" s="21" t="n"/>
      <c r="E172" s="20" t="n"/>
      <c r="F172">
        <f>IFERROR(MATCH(149,Banco_Preguntas!$K$2:$K$500,0),0)</f>
        <v/>
      </c>
      <c r="G172">
        <f>IF(F172=0,"",INDEX(Banco_Preguntas!$D$2:$D$500,F172))</f>
        <v/>
      </c>
      <c r="H172">
        <f>IF(OR(G172="",G172="TXT",G172="HEAD"),"L_YN","L_"&amp;G172)</f>
        <v/>
      </c>
    </row>
    <row r="173">
      <c r="B173" s="19">
        <f>IF(OR(F173=0,G173="HEAD"),"",INDEX(Banco_Preguntas!$B$2:$B$500,F173))</f>
        <v/>
      </c>
      <c r="C173" s="20">
        <f>IF(F173=0,"",INDEX(Banco_Preguntas!$C$2:$C$500,F173))</f>
        <v/>
      </c>
      <c r="D173" s="21" t="n"/>
      <c r="E173" s="20" t="n"/>
      <c r="F173">
        <f>IFERROR(MATCH(150,Banco_Preguntas!$K$2:$K$500,0),0)</f>
        <v/>
      </c>
      <c r="G173">
        <f>IF(F173=0,"",INDEX(Banco_Preguntas!$D$2:$D$500,F173))</f>
        <v/>
      </c>
      <c r="H173">
        <f>IF(OR(G173="",G173="TXT",G173="HEAD"),"L_YN","L_"&amp;G173)</f>
        <v/>
      </c>
    </row>
    <row r="174">
      <c r="B174" s="19">
        <f>IF(OR(F174=0,G174="HEAD"),"",INDEX(Banco_Preguntas!$B$2:$B$500,F174))</f>
        <v/>
      </c>
      <c r="C174" s="20">
        <f>IF(F174=0,"",INDEX(Banco_Preguntas!$C$2:$C$500,F174))</f>
        <v/>
      </c>
      <c r="D174" s="21" t="n"/>
      <c r="E174" s="20" t="n"/>
      <c r="F174">
        <f>IFERROR(MATCH(151,Banco_Preguntas!$K$2:$K$500,0),0)</f>
        <v/>
      </c>
      <c r="G174">
        <f>IF(F174=0,"",INDEX(Banco_Preguntas!$D$2:$D$500,F174))</f>
        <v/>
      </c>
      <c r="H174">
        <f>IF(OR(G174="",G174="TXT",G174="HEAD"),"L_YN","L_"&amp;G174)</f>
        <v/>
      </c>
    </row>
    <row r="175">
      <c r="B175" s="19">
        <f>IF(OR(F175=0,G175="HEAD"),"",INDEX(Banco_Preguntas!$B$2:$B$500,F175))</f>
        <v/>
      </c>
      <c r="C175" s="20">
        <f>IF(F175=0,"",INDEX(Banco_Preguntas!$C$2:$C$500,F175))</f>
        <v/>
      </c>
      <c r="D175" s="21" t="n"/>
      <c r="E175" s="20" t="n"/>
      <c r="F175">
        <f>IFERROR(MATCH(152,Banco_Preguntas!$K$2:$K$500,0),0)</f>
        <v/>
      </c>
      <c r="G175">
        <f>IF(F175=0,"",INDEX(Banco_Preguntas!$D$2:$D$500,F175))</f>
        <v/>
      </c>
      <c r="H175">
        <f>IF(OR(G175="",G175="TXT",G175="HEAD"),"L_YN","L_"&amp;G175)</f>
        <v/>
      </c>
    </row>
    <row r="176">
      <c r="B176" s="19">
        <f>IF(OR(F176=0,G176="HEAD"),"",INDEX(Banco_Preguntas!$B$2:$B$500,F176))</f>
        <v/>
      </c>
      <c r="C176" s="20">
        <f>IF(F176=0,"",INDEX(Banco_Preguntas!$C$2:$C$500,F176))</f>
        <v/>
      </c>
      <c r="D176" s="21" t="n"/>
      <c r="E176" s="20" t="n"/>
      <c r="F176">
        <f>IFERROR(MATCH(153,Banco_Preguntas!$K$2:$K$500,0),0)</f>
        <v/>
      </c>
      <c r="G176">
        <f>IF(F176=0,"",INDEX(Banco_Preguntas!$D$2:$D$500,F176))</f>
        <v/>
      </c>
      <c r="H176">
        <f>IF(OR(G176="",G176="TXT",G176="HEAD"),"L_YN","L_"&amp;G176)</f>
        <v/>
      </c>
    </row>
    <row r="177">
      <c r="B177" s="19">
        <f>IF(OR(F177=0,G177="HEAD"),"",INDEX(Banco_Preguntas!$B$2:$B$500,F177))</f>
        <v/>
      </c>
      <c r="C177" s="20">
        <f>IF(F177=0,"",INDEX(Banco_Preguntas!$C$2:$C$500,F177))</f>
        <v/>
      </c>
      <c r="D177" s="21" t="n"/>
      <c r="E177" s="20" t="n"/>
      <c r="F177">
        <f>IFERROR(MATCH(154,Banco_Preguntas!$K$2:$K$500,0),0)</f>
        <v/>
      </c>
      <c r="G177">
        <f>IF(F177=0,"",INDEX(Banco_Preguntas!$D$2:$D$500,F177))</f>
        <v/>
      </c>
      <c r="H177">
        <f>IF(OR(G177="",G177="TXT",G177="HEAD"),"L_YN","L_"&amp;G177)</f>
        <v/>
      </c>
    </row>
    <row r="178">
      <c r="B178" s="19">
        <f>IF(OR(F178=0,G178="HEAD"),"",INDEX(Banco_Preguntas!$B$2:$B$500,F178))</f>
        <v/>
      </c>
      <c r="C178" s="20">
        <f>IF(F178=0,"",INDEX(Banco_Preguntas!$C$2:$C$500,F178))</f>
        <v/>
      </c>
      <c r="D178" s="21" t="n"/>
      <c r="E178" s="20" t="n"/>
      <c r="F178">
        <f>IFERROR(MATCH(155,Banco_Preguntas!$K$2:$K$500,0),0)</f>
        <v/>
      </c>
      <c r="G178">
        <f>IF(F178=0,"",INDEX(Banco_Preguntas!$D$2:$D$500,F178))</f>
        <v/>
      </c>
      <c r="H178">
        <f>IF(OR(G178="",G178="TXT",G178="HEAD"),"L_YN","L_"&amp;G178)</f>
        <v/>
      </c>
    </row>
    <row r="179">
      <c r="B179" s="19">
        <f>IF(OR(F179=0,G179="HEAD"),"",INDEX(Banco_Preguntas!$B$2:$B$500,F179))</f>
        <v/>
      </c>
      <c r="C179" s="20">
        <f>IF(F179=0,"",INDEX(Banco_Preguntas!$C$2:$C$500,F179))</f>
        <v/>
      </c>
      <c r="D179" s="21" t="n"/>
      <c r="E179" s="20" t="n"/>
      <c r="F179">
        <f>IFERROR(MATCH(156,Banco_Preguntas!$K$2:$K$500,0),0)</f>
        <v/>
      </c>
      <c r="G179">
        <f>IF(F179=0,"",INDEX(Banco_Preguntas!$D$2:$D$500,F179))</f>
        <v/>
      </c>
      <c r="H179">
        <f>IF(OR(G179="",G179="TXT",G179="HEAD"),"L_YN","L_"&amp;G179)</f>
        <v/>
      </c>
    </row>
    <row r="180">
      <c r="B180" s="19">
        <f>IF(OR(F180=0,G180="HEAD"),"",INDEX(Banco_Preguntas!$B$2:$B$500,F180))</f>
        <v/>
      </c>
      <c r="C180" s="20">
        <f>IF(F180=0,"",INDEX(Banco_Preguntas!$C$2:$C$500,F180))</f>
        <v/>
      </c>
      <c r="D180" s="21" t="n"/>
      <c r="E180" s="20" t="n"/>
      <c r="F180">
        <f>IFERROR(MATCH(157,Banco_Preguntas!$K$2:$K$500,0),0)</f>
        <v/>
      </c>
      <c r="G180">
        <f>IF(F180=0,"",INDEX(Banco_Preguntas!$D$2:$D$500,F180))</f>
        <v/>
      </c>
      <c r="H180">
        <f>IF(OR(G180="",G180="TXT",G180="HEAD"),"L_YN","L_"&amp;G180)</f>
        <v/>
      </c>
    </row>
    <row r="181">
      <c r="B181" s="19">
        <f>IF(OR(F181=0,G181="HEAD"),"",INDEX(Banco_Preguntas!$B$2:$B$500,F181))</f>
        <v/>
      </c>
      <c r="C181" s="20">
        <f>IF(F181=0,"",INDEX(Banco_Preguntas!$C$2:$C$500,F181))</f>
        <v/>
      </c>
      <c r="D181" s="21" t="n"/>
      <c r="E181" s="20" t="n"/>
      <c r="F181">
        <f>IFERROR(MATCH(158,Banco_Preguntas!$K$2:$K$500,0),0)</f>
        <v/>
      </c>
      <c r="G181">
        <f>IF(F181=0,"",INDEX(Banco_Preguntas!$D$2:$D$500,F181))</f>
        <v/>
      </c>
      <c r="H181">
        <f>IF(OR(G181="",G181="TXT",G181="HEAD"),"L_YN","L_"&amp;G181)</f>
        <v/>
      </c>
    </row>
    <row r="182">
      <c r="B182" s="19">
        <f>IF(OR(F182=0,G182="HEAD"),"",INDEX(Banco_Preguntas!$B$2:$B$500,F182))</f>
        <v/>
      </c>
      <c r="C182" s="20">
        <f>IF(F182=0,"",INDEX(Banco_Preguntas!$C$2:$C$500,F182))</f>
        <v/>
      </c>
      <c r="D182" s="21" t="n"/>
      <c r="E182" s="20" t="n"/>
      <c r="F182">
        <f>IFERROR(MATCH(159,Banco_Preguntas!$K$2:$K$500,0),0)</f>
        <v/>
      </c>
      <c r="G182">
        <f>IF(F182=0,"",INDEX(Banco_Preguntas!$D$2:$D$500,F182))</f>
        <v/>
      </c>
      <c r="H182">
        <f>IF(OR(G182="",G182="TXT",G182="HEAD"),"L_YN","L_"&amp;G182)</f>
        <v/>
      </c>
    </row>
    <row r="183">
      <c r="B183" s="19">
        <f>IF(OR(F183=0,G183="HEAD"),"",INDEX(Banco_Preguntas!$B$2:$B$500,F183))</f>
        <v/>
      </c>
      <c r="C183" s="20">
        <f>IF(F183=0,"",INDEX(Banco_Preguntas!$C$2:$C$500,F183))</f>
        <v/>
      </c>
      <c r="D183" s="21" t="n"/>
      <c r="E183" s="20" t="n"/>
      <c r="F183">
        <f>IFERROR(MATCH(160,Banco_Preguntas!$K$2:$K$500,0),0)</f>
        <v/>
      </c>
      <c r="G183">
        <f>IF(F183=0,"",INDEX(Banco_Preguntas!$D$2:$D$500,F183))</f>
        <v/>
      </c>
      <c r="H183">
        <f>IF(OR(G183="",G183="TXT",G183="HEAD"),"L_YN","L_"&amp;G183)</f>
        <v/>
      </c>
    </row>
    <row r="184">
      <c r="B184" s="19">
        <f>IF(OR(F184=0,G184="HEAD"),"",INDEX(Banco_Preguntas!$B$2:$B$500,F184))</f>
        <v/>
      </c>
      <c r="C184" s="20">
        <f>IF(F184=0,"",INDEX(Banco_Preguntas!$C$2:$C$500,F184))</f>
        <v/>
      </c>
      <c r="D184" s="21" t="n"/>
      <c r="E184" s="20" t="n"/>
      <c r="F184">
        <f>IFERROR(MATCH(161,Banco_Preguntas!$K$2:$K$500,0),0)</f>
        <v/>
      </c>
      <c r="G184">
        <f>IF(F184=0,"",INDEX(Banco_Preguntas!$D$2:$D$500,F184))</f>
        <v/>
      </c>
      <c r="H184">
        <f>IF(OR(G184="",G184="TXT",G184="HEAD"),"L_YN","L_"&amp;G184)</f>
        <v/>
      </c>
    </row>
    <row r="185">
      <c r="B185" s="19">
        <f>IF(OR(F185=0,G185="HEAD"),"",INDEX(Banco_Preguntas!$B$2:$B$500,F185))</f>
        <v/>
      </c>
      <c r="C185" s="20">
        <f>IF(F185=0,"",INDEX(Banco_Preguntas!$C$2:$C$500,F185))</f>
        <v/>
      </c>
      <c r="D185" s="21" t="n"/>
      <c r="E185" s="20" t="n"/>
      <c r="F185">
        <f>IFERROR(MATCH(162,Banco_Preguntas!$K$2:$K$500,0),0)</f>
        <v/>
      </c>
      <c r="G185">
        <f>IF(F185=0,"",INDEX(Banco_Preguntas!$D$2:$D$500,F185))</f>
        <v/>
      </c>
      <c r="H185">
        <f>IF(OR(G185="",G185="TXT",G185="HEAD"),"L_YN","L_"&amp;G185)</f>
        <v/>
      </c>
    </row>
    <row r="186">
      <c r="B186" s="19">
        <f>IF(OR(F186=0,G186="HEAD"),"",INDEX(Banco_Preguntas!$B$2:$B$500,F186))</f>
        <v/>
      </c>
      <c r="C186" s="20">
        <f>IF(F186=0,"",INDEX(Banco_Preguntas!$C$2:$C$500,F186))</f>
        <v/>
      </c>
      <c r="D186" s="21" t="n"/>
      <c r="E186" s="20" t="n"/>
      <c r="F186">
        <f>IFERROR(MATCH(163,Banco_Preguntas!$K$2:$K$500,0),0)</f>
        <v/>
      </c>
      <c r="G186">
        <f>IF(F186=0,"",INDEX(Banco_Preguntas!$D$2:$D$500,F186))</f>
        <v/>
      </c>
      <c r="H186">
        <f>IF(OR(G186="",G186="TXT",G186="HEAD"),"L_YN","L_"&amp;G186)</f>
        <v/>
      </c>
    </row>
    <row r="187">
      <c r="B187" s="19">
        <f>IF(OR(F187=0,G187="HEAD"),"",INDEX(Banco_Preguntas!$B$2:$B$500,F187))</f>
        <v/>
      </c>
      <c r="C187" s="20">
        <f>IF(F187=0,"",INDEX(Banco_Preguntas!$C$2:$C$500,F187))</f>
        <v/>
      </c>
      <c r="D187" s="21" t="n"/>
      <c r="E187" s="20" t="n"/>
      <c r="F187">
        <f>IFERROR(MATCH(164,Banco_Preguntas!$K$2:$K$500,0),0)</f>
        <v/>
      </c>
      <c r="G187">
        <f>IF(F187=0,"",INDEX(Banco_Preguntas!$D$2:$D$500,F187))</f>
        <v/>
      </c>
      <c r="H187">
        <f>IF(OR(G187="",G187="TXT",G187="HEAD"),"L_YN","L_"&amp;G187)</f>
        <v/>
      </c>
    </row>
    <row r="188">
      <c r="B188" s="19">
        <f>IF(OR(F188=0,G188="HEAD"),"",INDEX(Banco_Preguntas!$B$2:$B$500,F188))</f>
        <v/>
      </c>
      <c r="C188" s="20">
        <f>IF(F188=0,"",INDEX(Banco_Preguntas!$C$2:$C$500,F188))</f>
        <v/>
      </c>
      <c r="D188" s="21" t="n"/>
      <c r="E188" s="20" t="n"/>
      <c r="F188">
        <f>IFERROR(MATCH(165,Banco_Preguntas!$K$2:$K$500,0),0)</f>
        <v/>
      </c>
      <c r="G188">
        <f>IF(F188=0,"",INDEX(Banco_Preguntas!$D$2:$D$500,F188))</f>
        <v/>
      </c>
      <c r="H188">
        <f>IF(OR(G188="",G188="TXT",G188="HEAD"),"L_YN","L_"&amp;G188)</f>
        <v/>
      </c>
    </row>
    <row r="189">
      <c r="B189" s="19">
        <f>IF(OR(F189=0,G189="HEAD"),"",INDEX(Banco_Preguntas!$B$2:$B$500,F189))</f>
        <v/>
      </c>
      <c r="C189" s="20">
        <f>IF(F189=0,"",INDEX(Banco_Preguntas!$C$2:$C$500,F189))</f>
        <v/>
      </c>
      <c r="D189" s="21" t="n"/>
      <c r="E189" s="20" t="n"/>
      <c r="F189">
        <f>IFERROR(MATCH(166,Banco_Preguntas!$K$2:$K$500,0),0)</f>
        <v/>
      </c>
      <c r="G189">
        <f>IF(F189=0,"",INDEX(Banco_Preguntas!$D$2:$D$500,F189))</f>
        <v/>
      </c>
      <c r="H189">
        <f>IF(OR(G189="",G189="TXT",G189="HEAD"),"L_YN","L_"&amp;G189)</f>
        <v/>
      </c>
    </row>
    <row r="190">
      <c r="B190" s="19">
        <f>IF(OR(F190=0,G190="HEAD"),"",INDEX(Banco_Preguntas!$B$2:$B$500,F190))</f>
        <v/>
      </c>
      <c r="C190" s="20">
        <f>IF(F190=0,"",INDEX(Banco_Preguntas!$C$2:$C$500,F190))</f>
        <v/>
      </c>
      <c r="D190" s="21" t="n"/>
      <c r="E190" s="20" t="n"/>
      <c r="F190">
        <f>IFERROR(MATCH(167,Banco_Preguntas!$K$2:$K$500,0),0)</f>
        <v/>
      </c>
      <c r="G190">
        <f>IF(F190=0,"",INDEX(Banco_Preguntas!$D$2:$D$500,F190))</f>
        <v/>
      </c>
      <c r="H190">
        <f>IF(OR(G190="",G190="TXT",G190="HEAD"),"L_YN","L_"&amp;G190)</f>
        <v/>
      </c>
    </row>
    <row r="191">
      <c r="B191" s="19">
        <f>IF(OR(F191=0,G191="HEAD"),"",INDEX(Banco_Preguntas!$B$2:$B$500,F191))</f>
        <v/>
      </c>
      <c r="C191" s="20">
        <f>IF(F191=0,"",INDEX(Banco_Preguntas!$C$2:$C$500,F191))</f>
        <v/>
      </c>
      <c r="D191" s="21" t="n"/>
      <c r="E191" s="20" t="n"/>
      <c r="F191">
        <f>IFERROR(MATCH(168,Banco_Preguntas!$K$2:$K$500,0),0)</f>
        <v/>
      </c>
      <c r="G191">
        <f>IF(F191=0,"",INDEX(Banco_Preguntas!$D$2:$D$500,F191))</f>
        <v/>
      </c>
      <c r="H191">
        <f>IF(OR(G191="",G191="TXT",G191="HEAD"),"L_YN","L_"&amp;G191)</f>
        <v/>
      </c>
    </row>
    <row r="192">
      <c r="B192" s="19">
        <f>IF(OR(F192=0,G192="HEAD"),"",INDEX(Banco_Preguntas!$B$2:$B$500,F192))</f>
        <v/>
      </c>
      <c r="C192" s="20">
        <f>IF(F192=0,"",INDEX(Banco_Preguntas!$C$2:$C$500,F192))</f>
        <v/>
      </c>
      <c r="D192" s="21" t="n"/>
      <c r="E192" s="20" t="n"/>
      <c r="F192">
        <f>IFERROR(MATCH(169,Banco_Preguntas!$K$2:$K$500,0),0)</f>
        <v/>
      </c>
      <c r="G192">
        <f>IF(F192=0,"",INDEX(Banco_Preguntas!$D$2:$D$500,F192))</f>
        <v/>
      </c>
      <c r="H192">
        <f>IF(OR(G192="",G192="TXT",G192="HEAD"),"L_YN","L_"&amp;G192)</f>
        <v/>
      </c>
    </row>
    <row r="193">
      <c r="B193" s="19">
        <f>IF(OR(F193=0,G193="HEAD"),"",INDEX(Banco_Preguntas!$B$2:$B$500,F193))</f>
        <v/>
      </c>
      <c r="C193" s="20">
        <f>IF(F193=0,"",INDEX(Banco_Preguntas!$C$2:$C$500,F193))</f>
        <v/>
      </c>
      <c r="D193" s="21" t="n"/>
      <c r="E193" s="20" t="n"/>
      <c r="F193">
        <f>IFERROR(MATCH(170,Banco_Preguntas!$K$2:$K$500,0),0)</f>
        <v/>
      </c>
      <c r="G193">
        <f>IF(F193=0,"",INDEX(Banco_Preguntas!$D$2:$D$500,F193))</f>
        <v/>
      </c>
      <c r="H193">
        <f>IF(OR(G193="",G193="TXT",G193="HEAD"),"L_YN","L_"&amp;G193)</f>
        <v/>
      </c>
    </row>
  </sheetData>
  <mergeCells count="21">
    <mergeCell ref="C6:D6"/>
    <mergeCell ref="C15:D15"/>
    <mergeCell ref="C5:D5"/>
    <mergeCell ref="C14:D14"/>
    <mergeCell ref="B20:E20"/>
    <mergeCell ref="C10:D10"/>
    <mergeCell ref="B4:E4"/>
    <mergeCell ref="C16:D16"/>
    <mergeCell ref="C9:D9"/>
    <mergeCell ref="B22:E22"/>
    <mergeCell ref="C12:D12"/>
    <mergeCell ref="B18:E18"/>
    <mergeCell ref="C11:D11"/>
    <mergeCell ref="B21:E21"/>
    <mergeCell ref="B2:E2"/>
    <mergeCell ref="C8:D8"/>
    <mergeCell ref="B17:E17"/>
    <mergeCell ref="B1:E1"/>
    <mergeCell ref="C7:D7"/>
    <mergeCell ref="C13:D13"/>
    <mergeCell ref="B19:E19"/>
  </mergeCells>
  <conditionalFormatting sqref="B18:E22">
    <cfRule type="expression" priority="1" dxfId="0">
      <formula>$B18&lt;&gt;""</formula>
    </cfRule>
  </conditionalFormatting>
  <conditionalFormatting sqref="C16">
    <cfRule type="expression" priority="2" dxfId="0">
      <formula>$C$16="ALTA PRIORIDAD"</formula>
    </cfRule>
  </conditionalFormatting>
  <conditionalFormatting sqref="B23:E23">
    <cfRule type="expression" priority="3" dxfId="1">
      <formula>$C$5&lt;&gt;""</formula>
    </cfRule>
  </conditionalFormatting>
  <conditionalFormatting sqref="B24:E193">
    <cfRule type="expression" priority="4" dxfId="2" stopIfTrue="1">
      <formula>$G24="HEAD"</formula>
    </cfRule>
    <cfRule type="expression" priority="9" dxfId="3">
      <formula>$F24&gt;0</formula>
    </cfRule>
  </conditionalFormatting>
  <conditionalFormatting sqref="D24:D193">
    <cfRule type="expression" priority="5" dxfId="4" stopIfTrue="1">
      <formula>OR($D24="Sí",$D24="Funciona")</formula>
    </cfRule>
    <cfRule type="expression" priority="6" dxfId="0" stopIfTrue="1">
      <formula>OR($D24="No",$D24="No funciona")</formula>
    </cfRule>
    <cfRule type="expression" priority="7" dxfId="5" stopIfTrue="1">
      <formula>OR($D24="No sé",$D24="No probado",$D24="No fue posible comprobar")</formula>
    </cfRule>
  </conditionalFormatting>
  <conditionalFormatting sqref="D24:E193">
    <cfRule type="expression" priority="8" dxfId="6">
      <formula>$F24&gt;0</formula>
    </cfRule>
  </conditionalFormatting>
  <conditionalFormatting sqref="B24:B193">
    <cfRule type="expression" priority="10" dxfId="7">
      <formula>$F24&gt;0</formula>
    </cfRule>
  </conditionalFormatting>
  <dataValidations count="3">
    <dataValidation sqref="C5" showDropDown="0" showInputMessage="0" showErrorMessage="1" allowBlank="1" errorTitle="Tipo de equipo" error="Elija un equipo de la lista." type="list">
      <formula1>=T_EQUIPO</formula1>
    </dataValidation>
    <dataValidation sqref="C13 C14 C15" showDropDown="0" showInputMessage="0" showErrorMessage="1" allowBlank="1" errorTitle="Falla" error="Elija una falla de la lista." type="list">
      <formula1>=INDIRECT("F_"&amp;$F$5)</formula1>
    </dataValidation>
    <dataValidation sqref="D24:D193" showDropDown="0" showInputMessage="0" showErrorMessage="0" allowBlank="1" type="list">
      <formula1>=INDIRECT($H24)</formula1>
    </dataValidation>
  </dataValidations>
  <pageMargins left="0.4" right="0.4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7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8" customWidth="1" min="11" max="11"/>
    <col width="70" customWidth="1" min="13" max="13"/>
  </cols>
  <sheetData>
    <row r="1" ht="34" customHeight="1">
      <c r="A1" s="22" t="inlineStr">
        <is>
          <t>Sección</t>
        </is>
      </c>
      <c r="B1" s="22" t="inlineStr">
        <is>
          <t>Bloque / Falla</t>
        </is>
      </c>
      <c r="C1" s="22" t="inlineStr">
        <is>
          <t>Pregunta</t>
        </is>
      </c>
      <c r="D1" s="22" t="inlineStr">
        <is>
          <t>Tipo</t>
        </is>
      </c>
      <c r="E1" s="22" t="inlineStr">
        <is>
          <t>Celular</t>
        </is>
      </c>
      <c r="F1" s="22" t="inlineStr">
        <is>
          <t>Reloj</t>
        </is>
      </c>
      <c r="G1" s="22" t="inlineStr">
        <is>
          <t>Computadora</t>
        </is>
      </c>
      <c r="H1" s="22" t="inlineStr">
        <is>
          <t>Consola</t>
        </is>
      </c>
      <c r="I1" s="22" t="inlineStr">
        <is>
          <t>Aplica al equipo</t>
        </is>
      </c>
      <c r="J1" s="22" t="inlineStr">
        <is>
          <t>Incluida</t>
        </is>
      </c>
      <c r="K1" s="22" t="inlineStr">
        <is>
          <t>Orden</t>
        </is>
      </c>
      <c r="M1" s="23" t="inlineStr">
        <is>
          <t>Cómo editar: agregue una pregunta al final. Sección B = según la falla (escriba el Bloque exacto); S = siempre para ese equipo. Tipo: YN = Sí/No (los demás tipos son listas de la hoja Listas: escriba el nombre sin «L_») · YNS = Sí/No/No sé · TXT = texto libre · CUANDO, MOM, LIQ, E_PANT, E_CARC, PIN = lista de opciones (hoja Listas) · HEAD = título. Marque 1/0 en los equipos donde aplica. Las columnas grises se calculan solas.</t>
        </is>
      </c>
    </row>
    <row r="2">
      <c r="A2" s="24" t="inlineStr">
        <is>
          <t>S</t>
        </is>
      </c>
      <c r="B2" s="25" t="inlineStr"/>
      <c r="C2" s="25" t="inlineStr">
        <is>
          <t>A. PREGUNTAS OBLIGATORIAS · TODOS LOS EQUIPOS</t>
        </is>
      </c>
      <c r="D2" s="24" t="inlineStr">
        <is>
          <t>HEAD</t>
        </is>
      </c>
      <c r="E2" s="26" t="n">
        <v>1</v>
      </c>
      <c r="F2" s="26" t="n">
        <v>1</v>
      </c>
      <c r="G2" s="26" t="n">
        <v>1</v>
      </c>
      <c r="H2" s="26" t="n">
        <v>1</v>
      </c>
      <c r="I2" s="27">
        <f>IF(C2="",0,IFERROR(INDEX($E2:$H2,MATCH('Recepción'!$C$5,$E$1:$H$1,0)),0))</f>
        <v/>
      </c>
      <c r="J2" s="27">
        <f>IF(I2=0,0,IF(A2="S",1,IF(A2="BH",IF(COUNTIFS(A3:A501,"B",J3:J501,1)&gt;0,1,0),IF(OR(B2='Recepción'!$C$13,B2='Recepción'!$C$14,B2='Recepción'!$C$15,AND(B2="Contacto con líquido",'Recepción'!$D$29="Sí"),AND(B2="Golpe / Caída",'Recepción'!$D$28="Sí"),AND(B2="No enciende",'Recepción'!$D$31="No")),1,0))))</f>
        <v/>
      </c>
      <c r="K2" s="27">
        <f>IF(J2=1,COUNTIF($J$2:J2,1),0)</f>
        <v/>
      </c>
    </row>
    <row r="3">
      <c r="A3" s="24" t="inlineStr">
        <is>
          <t>S</t>
        </is>
      </c>
      <c r="B3" s="25" t="inlineStr">
        <is>
          <t>General</t>
        </is>
      </c>
      <c r="C3" s="25" t="inlineStr">
        <is>
          <t>¿Cuál es la falla principal que presenta el equipo?</t>
        </is>
      </c>
      <c r="D3" s="24" t="inlineStr">
        <is>
          <t>FALLAP</t>
        </is>
      </c>
      <c r="E3" s="26" t="n">
        <v>1</v>
      </c>
      <c r="F3" s="26" t="n">
        <v>1</v>
      </c>
      <c r="G3" s="26" t="n">
        <v>1</v>
      </c>
      <c r="H3" s="26" t="n">
        <v>1</v>
      </c>
      <c r="I3" s="27">
        <f>IF(C3="",0,IFERROR(INDEX($E3:$H3,MATCH('Recepción'!$C$5,$E$1:$H$1,0)),0))</f>
        <v/>
      </c>
      <c r="J3" s="27">
        <f>IF(I3=0,0,IF(A3="S",1,IF(A3="BH",IF(COUNTIFS(A4:A501,"B",J4:J501,1)&gt;0,1,0),IF(OR(B3='Recepción'!$C$13,B3='Recepción'!$C$14,B3='Recepción'!$C$15,AND(B3="Contacto con líquido",'Recepción'!$D$29="Sí"),AND(B3="Golpe / Caída",'Recepción'!$D$28="Sí"),AND(B3="No enciende",'Recepción'!$D$31="No")),1,0))))</f>
        <v/>
      </c>
      <c r="K3" s="27">
        <f>IF(J3=1,COUNTIF($J$2:J3,1),0)</f>
        <v/>
      </c>
    </row>
    <row r="4">
      <c r="A4" s="24" t="inlineStr">
        <is>
          <t>S</t>
        </is>
      </c>
      <c r="B4" s="25" t="inlineStr">
        <is>
          <t>General</t>
        </is>
      </c>
      <c r="C4" s="25" t="inlineStr">
        <is>
          <t>¿Desde cuándo presenta la falla?</t>
        </is>
      </c>
      <c r="D4" s="24" t="inlineStr">
        <is>
          <t>DESDE</t>
        </is>
      </c>
      <c r="E4" s="26" t="n">
        <v>1</v>
      </c>
      <c r="F4" s="26" t="n">
        <v>1</v>
      </c>
      <c r="G4" s="26" t="n">
        <v>1</v>
      </c>
      <c r="H4" s="26" t="n">
        <v>1</v>
      </c>
      <c r="I4" s="27">
        <f>IF(C4="",0,IFERROR(INDEX($E4:$H4,MATCH('Recepción'!$C$5,$E$1:$H$1,0)),0))</f>
        <v/>
      </c>
      <c r="J4" s="27">
        <f>IF(I4=0,0,IF(A4="S",1,IF(A4="BH",IF(COUNTIFS(A5:A501,"B",J5:J501,1)&gt;0,1,0),IF(OR(B4='Recepción'!$C$13,B4='Recepción'!$C$14,B4='Recepción'!$C$15,AND(B4="Contacto con líquido",'Recepción'!$D$29="Sí"),AND(B4="Golpe / Caída",'Recepción'!$D$28="Sí"),AND(B4="No enciende",'Recepción'!$D$31="No")),1,0))))</f>
        <v/>
      </c>
      <c r="K4" s="27">
        <f>IF(J4=1,COUNTIF($J$2:J4,1),0)</f>
        <v/>
      </c>
    </row>
    <row r="5">
      <c r="A5" s="24" t="inlineStr">
        <is>
          <t>S</t>
        </is>
      </c>
      <c r="B5" s="25" t="inlineStr">
        <is>
          <t>General</t>
        </is>
      </c>
      <c r="C5" s="25" t="inlineStr">
        <is>
          <t>¿La falla es permanente o sucede algunas veces?</t>
        </is>
      </c>
      <c r="D5" s="24" t="inlineStr">
        <is>
          <t>PERM</t>
        </is>
      </c>
      <c r="E5" s="26" t="n">
        <v>1</v>
      </c>
      <c r="F5" s="26" t="n">
        <v>1</v>
      </c>
      <c r="G5" s="26" t="n">
        <v>1</v>
      </c>
      <c r="H5" s="26" t="n">
        <v>1</v>
      </c>
      <c r="I5" s="27">
        <f>IF(C5="",0,IFERROR(INDEX($E5:$H5,MATCH('Recepción'!$C$5,$E$1:$H$1,0)),0))</f>
        <v/>
      </c>
      <c r="J5" s="27">
        <f>IF(I5=0,0,IF(A5="S",1,IF(A5="BH",IF(COUNTIFS(A6:A501,"B",J6:J501,1)&gt;0,1,0),IF(OR(B5='Recepción'!$C$13,B5='Recepción'!$C$14,B5='Recepción'!$C$15,AND(B5="Contacto con líquido",'Recepción'!$D$29="Sí"),AND(B5="Golpe / Caída",'Recepción'!$D$28="Sí"),AND(B5="No enciende",'Recepción'!$D$31="No")),1,0))))</f>
        <v/>
      </c>
      <c r="K5" s="27">
        <f>IF(J5=1,COUNTIF($J$2:J5,1),0)</f>
        <v/>
      </c>
    </row>
    <row r="6">
      <c r="A6" s="24" t="inlineStr">
        <is>
          <t>S</t>
        </is>
      </c>
      <c r="B6" s="25" t="inlineStr">
        <is>
          <t>General</t>
        </is>
      </c>
      <c r="C6" s="25" t="inlineStr">
        <is>
          <t>¿Sufrió algún golpe o caída recientemente?</t>
        </is>
      </c>
      <c r="D6" s="24" t="inlineStr">
        <is>
          <t>YNS</t>
        </is>
      </c>
      <c r="E6" s="26" t="n">
        <v>1</v>
      </c>
      <c r="F6" s="26" t="n">
        <v>1</v>
      </c>
      <c r="G6" s="26" t="n">
        <v>1</v>
      </c>
      <c r="H6" s="26" t="n">
        <v>1</v>
      </c>
      <c r="I6" s="27">
        <f>IF(C6="",0,IFERROR(INDEX($E6:$H6,MATCH('Recepción'!$C$5,$E$1:$H$1,0)),0))</f>
        <v/>
      </c>
      <c r="J6" s="27">
        <f>IF(I6=0,0,IF(A6="S",1,IF(A6="BH",IF(COUNTIFS(A7:A501,"B",J7:J501,1)&gt;0,1,0),IF(OR(B6='Recepción'!$C$13,B6='Recepción'!$C$14,B6='Recepción'!$C$15,AND(B6="Contacto con líquido",'Recepción'!$D$29="Sí"),AND(B6="Golpe / Caída",'Recepción'!$D$28="Sí"),AND(B6="No enciende",'Recepción'!$D$31="No")),1,0))))</f>
        <v/>
      </c>
      <c r="K6" s="27">
        <f>IF(J6=1,COUNTIF($J$2:J6,1),0)</f>
        <v/>
      </c>
    </row>
    <row r="7">
      <c r="A7" s="24" t="inlineStr">
        <is>
          <t>S</t>
        </is>
      </c>
      <c r="B7" s="25" t="inlineStr">
        <is>
          <t>General</t>
        </is>
      </c>
      <c r="C7" s="25" t="inlineStr">
        <is>
          <t>¿Ha tenido contacto con agua, humedad o algún líquido?</t>
        </is>
      </c>
      <c r="D7" s="24" t="inlineStr">
        <is>
          <t>YNS</t>
        </is>
      </c>
      <c r="E7" s="26" t="n">
        <v>1</v>
      </c>
      <c r="F7" s="26" t="n">
        <v>1</v>
      </c>
      <c r="G7" s="26" t="n">
        <v>1</v>
      </c>
      <c r="H7" s="26" t="n">
        <v>1</v>
      </c>
      <c r="I7" s="27">
        <f>IF(C7="",0,IFERROR(INDEX($E7:$H7,MATCH('Recepción'!$C$5,$E$1:$H$1,0)),0))</f>
        <v/>
      </c>
      <c r="J7" s="27">
        <f>IF(I7=0,0,IF(A7="S",1,IF(A7="BH",IF(COUNTIFS(A8:A501,"B",J8:J501,1)&gt;0,1,0),IF(OR(B7='Recepción'!$C$13,B7='Recepción'!$C$14,B7='Recepción'!$C$15,AND(B7="Contacto con líquido",'Recepción'!$D$29="Sí"),AND(B7="Golpe / Caída",'Recepción'!$D$28="Sí"),AND(B7="No enciende",'Recepción'!$D$31="No")),1,0))))</f>
        <v/>
      </c>
      <c r="K7" s="27">
        <f>IF(J7=1,COUNTIF($J$2:J7,1),0)</f>
        <v/>
      </c>
    </row>
    <row r="8">
      <c r="A8" s="24" t="inlineStr">
        <is>
          <t>S</t>
        </is>
      </c>
      <c r="B8" s="25" t="inlineStr">
        <is>
          <t>General</t>
        </is>
      </c>
      <c r="C8" s="25" t="inlineStr">
        <is>
          <t>¿Ha sido abierto o reparado anteriormente?</t>
        </is>
      </c>
      <c r="D8" s="24" t="inlineStr">
        <is>
          <t>YNS</t>
        </is>
      </c>
      <c r="E8" s="26" t="n">
        <v>1</v>
      </c>
      <c r="F8" s="26" t="n">
        <v>1</v>
      </c>
      <c r="G8" s="26" t="n">
        <v>1</v>
      </c>
      <c r="H8" s="26" t="n">
        <v>1</v>
      </c>
      <c r="I8" s="27">
        <f>IF(C8="",0,IFERROR(INDEX($E8:$H8,MATCH('Recepción'!$C$5,$E$1:$H$1,0)),0))</f>
        <v/>
      </c>
      <c r="J8" s="27">
        <f>IF(I8=0,0,IF(A8="S",1,IF(A8="BH",IF(COUNTIFS(A9:A501,"B",J9:J501,1)&gt;0,1,0),IF(OR(B8='Recepción'!$C$13,B8='Recepción'!$C$14,B8='Recepción'!$C$15,AND(B8="Contacto con líquido",'Recepción'!$D$29="Sí"),AND(B8="Golpe / Caída",'Recepción'!$D$28="Sí"),AND(B8="No enciende",'Recepción'!$D$31="No")),1,0))))</f>
        <v/>
      </c>
      <c r="K8" s="27">
        <f>IF(J8=1,COUNTIF($J$2:J8,1),0)</f>
        <v/>
      </c>
    </row>
    <row r="9">
      <c r="A9" s="24" t="inlineStr">
        <is>
          <t>S</t>
        </is>
      </c>
      <c r="B9" s="25" t="inlineStr">
        <is>
          <t>General</t>
        </is>
      </c>
      <c r="C9" s="25" t="inlineStr">
        <is>
          <t>¿Enciende actualmente?</t>
        </is>
      </c>
      <c r="D9" s="24" t="inlineStr">
        <is>
          <t>ENC</t>
        </is>
      </c>
      <c r="E9" s="26" t="n">
        <v>1</v>
      </c>
      <c r="F9" s="26" t="n">
        <v>1</v>
      </c>
      <c r="G9" s="26" t="n">
        <v>1</v>
      </c>
      <c r="H9" s="26" t="n">
        <v>1</v>
      </c>
      <c r="I9" s="27">
        <f>IF(C9="",0,IFERROR(INDEX($E9:$H9,MATCH('Recepción'!$C$5,$E$1:$H$1,0)),0))</f>
        <v/>
      </c>
      <c r="J9" s="27">
        <f>IF(I9=0,0,IF(A9="S",1,IF(A9="BH",IF(COUNTIFS(A10:A501,"B",J10:J501,1)&gt;0,1,0),IF(OR(B9='Recepción'!$C$13,B9='Recepción'!$C$14,B9='Recepción'!$C$15,AND(B9="Contacto con líquido",'Recepción'!$D$29="Sí"),AND(B9="Golpe / Caída",'Recepción'!$D$28="Sí"),AND(B9="No enciende",'Recepción'!$D$31="No")),1,0))))</f>
        <v/>
      </c>
      <c r="K9" s="27">
        <f>IF(J9=1,COUNTIF($J$2:J9,1),0)</f>
        <v/>
      </c>
    </row>
    <row r="10">
      <c r="A10" s="24" t="inlineStr">
        <is>
          <t>S</t>
        </is>
      </c>
      <c r="B10" s="25" t="inlineStr">
        <is>
          <t>General</t>
        </is>
      </c>
      <c r="C10" s="25" t="inlineStr">
        <is>
          <t>¿El equipo se reinicia o se apaga solo?</t>
        </is>
      </c>
      <c r="D10" s="24" t="inlineStr">
        <is>
          <t>YNS</t>
        </is>
      </c>
      <c r="E10" s="26" t="n">
        <v>1</v>
      </c>
      <c r="F10" s="26" t="n">
        <v>1</v>
      </c>
      <c r="G10" s="26" t="n">
        <v>1</v>
      </c>
      <c r="H10" s="26" t="n">
        <v>1</v>
      </c>
      <c r="I10" s="27">
        <f>IF(C10="",0,IFERROR(INDEX($E10:$H10,MATCH('Recepción'!$C$5,$E$1:$H$1,0)),0))</f>
        <v/>
      </c>
      <c r="J10" s="27">
        <f>IF(I10=0,0,IF(A10="S",1,IF(A10="BH",IF(COUNTIFS(A11:A501,"B",J11:J501,1)&gt;0,1,0),IF(OR(B10='Recepción'!$C$13,B10='Recepción'!$C$14,B10='Recepción'!$C$15,AND(B10="Contacto con líquido",'Recepción'!$D$29="Sí"),AND(B10="Golpe / Caída",'Recepción'!$D$28="Sí"),AND(B10="No enciende",'Recepción'!$D$31="No")),1,0))))</f>
        <v/>
      </c>
      <c r="K10" s="27">
        <f>IF(J10=1,COUNTIF($J$2:J10,1),0)</f>
        <v/>
      </c>
    </row>
    <row r="11">
      <c r="A11" s="24" t="inlineStr">
        <is>
          <t>S</t>
        </is>
      </c>
      <c r="B11" s="25" t="inlineStr">
        <is>
          <t>General</t>
        </is>
      </c>
      <c r="C11" s="25" t="inlineStr">
        <is>
          <t>¿Tiene información importante que no puede perder?</t>
        </is>
      </c>
      <c r="D11" s="24" t="inlineStr">
        <is>
          <t>YNS</t>
        </is>
      </c>
      <c r="E11" s="26" t="n">
        <v>1</v>
      </c>
      <c r="F11" s="26" t="n">
        <v>1</v>
      </c>
      <c r="G11" s="26" t="n">
        <v>1</v>
      </c>
      <c r="H11" s="26" t="n">
        <v>1</v>
      </c>
      <c r="I11" s="27">
        <f>IF(C11="",0,IFERROR(INDEX($E11:$H11,MATCH('Recepción'!$C$5,$E$1:$H$1,0)),0))</f>
        <v/>
      </c>
      <c r="J11" s="27">
        <f>IF(I11=0,0,IF(A11="S",1,IF(A11="BH",IF(COUNTIFS(A12:A501,"B",J12:J501,1)&gt;0,1,0),IF(OR(B11='Recepción'!$C$13,B11='Recepción'!$C$14,B11='Recepción'!$C$15,AND(B11="Contacto con líquido",'Recepción'!$D$29="Sí"),AND(B11="Golpe / Caída",'Recepción'!$D$28="Sí"),AND(B11="No enciende",'Recepción'!$D$31="No")),1,0))))</f>
        <v/>
      </c>
      <c r="K11" s="27">
        <f>IF(J11=1,COUNTIF($J$2:J11,1),0)</f>
        <v/>
      </c>
    </row>
    <row r="12">
      <c r="A12" s="24" t="inlineStr">
        <is>
          <t>S</t>
        </is>
      </c>
      <c r="B12" s="25" t="inlineStr">
        <is>
          <t>General</t>
        </is>
      </c>
      <c r="C12" s="25" t="inlineStr">
        <is>
          <t>¿Tiene respaldo reciente de su información?</t>
        </is>
      </c>
      <c r="D12" s="24" t="inlineStr">
        <is>
          <t>YNS</t>
        </is>
      </c>
      <c r="E12" s="26" t="n">
        <v>1</v>
      </c>
      <c r="F12" s="26" t="n">
        <v>1</v>
      </c>
      <c r="G12" s="26" t="n">
        <v>1</v>
      </c>
      <c r="H12" s="26" t="n">
        <v>1</v>
      </c>
      <c r="I12" s="27">
        <f>IF(C12="",0,IFERROR(INDEX($E12:$H12,MATCH('Recepción'!$C$5,$E$1:$H$1,0)),0))</f>
        <v/>
      </c>
      <c r="J12" s="27">
        <f>IF(I12=0,0,IF(A12="S",1,IF(A12="BH",IF(COUNTIFS(A13:A501,"B",J13:J501,1)&gt;0,1,0),IF(OR(B12='Recepción'!$C$13,B12='Recepción'!$C$14,B12='Recepción'!$C$15,AND(B12="Contacto con líquido",'Recepción'!$D$29="Sí"),AND(B12="Golpe / Caída",'Recepción'!$D$28="Sí"),AND(B12="No enciende",'Recepción'!$D$31="No")),1,0))))</f>
        <v/>
      </c>
      <c r="K12" s="27">
        <f>IF(J12=1,COUNTIF($J$2:J12,1),0)</f>
        <v/>
      </c>
    </row>
    <row r="13">
      <c r="A13" s="24" t="inlineStr">
        <is>
          <t>S</t>
        </is>
      </c>
      <c r="B13" s="25" t="inlineStr">
        <is>
          <t>General</t>
        </is>
      </c>
      <c r="C13" s="25" t="inlineStr">
        <is>
          <t>¿Hay alguna otra falla o condición que debamos conocer?</t>
        </is>
      </c>
      <c r="D13" s="24" t="inlineStr">
        <is>
          <t>OTRAF</t>
        </is>
      </c>
      <c r="E13" s="26" t="n">
        <v>1</v>
      </c>
      <c r="F13" s="26" t="n">
        <v>1</v>
      </c>
      <c r="G13" s="26" t="n">
        <v>1</v>
      </c>
      <c r="H13" s="26" t="n">
        <v>1</v>
      </c>
      <c r="I13" s="27">
        <f>IF(C13="",0,IFERROR(INDEX($E13:$H13,MATCH('Recepción'!$C$5,$E$1:$H$1,0)),0))</f>
        <v/>
      </c>
      <c r="J13" s="27">
        <f>IF(I13=0,0,IF(A13="S",1,IF(A13="BH",IF(COUNTIFS(A14:A501,"B",J14:J501,1)&gt;0,1,0),IF(OR(B13='Recepción'!$C$13,B13='Recepción'!$C$14,B13='Recepción'!$C$15,AND(B13="Contacto con líquido",'Recepción'!$D$29="Sí"),AND(B13="Golpe / Caída",'Recepción'!$D$28="Sí"),AND(B13="No enciende",'Recepción'!$D$31="No")),1,0))))</f>
        <v/>
      </c>
      <c r="K13" s="27">
        <f>IF(J13=1,COUNTIF($J$2:J13,1),0)</f>
        <v/>
      </c>
    </row>
    <row r="14">
      <c r="A14" s="24" t="inlineStr">
        <is>
          <t>BH</t>
        </is>
      </c>
      <c r="B14" s="25" t="inlineStr"/>
      <c r="C14" s="25" t="inlineStr">
        <is>
          <t>B. PREGUNTAS DE LA FALLA REPORTADA</t>
        </is>
      </c>
      <c r="D14" s="24" t="inlineStr">
        <is>
          <t>HEAD</t>
        </is>
      </c>
      <c r="E14" s="26" t="n">
        <v>1</v>
      </c>
      <c r="F14" s="26" t="n">
        <v>1</v>
      </c>
      <c r="G14" s="26" t="n">
        <v>1</v>
      </c>
      <c r="H14" s="26" t="n">
        <v>1</v>
      </c>
      <c r="I14" s="27">
        <f>IF(C14="",0,IFERROR(INDEX($E14:$H14,MATCH('Recepción'!$C$5,$E$1:$H$1,0)),0))</f>
        <v/>
      </c>
      <c r="J14" s="27">
        <f>IF(I14=0,0,IF(A14="S",1,IF(A14="BH",IF(COUNTIFS(A15:A501,"B",J15:J501,1)&gt;0,1,0),IF(OR(B14='Recepción'!$C$13,B14='Recepción'!$C$14,B14='Recepción'!$C$15,AND(B14="Contacto con líquido",'Recepción'!$D$29="Sí"),AND(B14="Golpe / Caída",'Recepción'!$D$28="Sí"),AND(B14="No enciende",'Recepción'!$D$31="No")),1,0))))</f>
        <v/>
      </c>
      <c r="K14" s="27">
        <f>IF(J14=1,COUNTIF($J$2:J14,1),0)</f>
        <v/>
      </c>
    </row>
    <row r="15">
      <c r="A15" s="24" t="inlineStr">
        <is>
          <t>B</t>
        </is>
      </c>
      <c r="B15" s="25" t="inlineStr">
        <is>
          <t>No enciende</t>
        </is>
      </c>
      <c r="C15" s="25" t="inlineStr">
        <is>
          <t>¿Cuándo fue la última vez que encendió normalmente?</t>
        </is>
      </c>
      <c r="D15" s="24" t="inlineStr">
        <is>
          <t>CUANDO</t>
        </is>
      </c>
      <c r="E15" s="26" t="n">
        <v>1</v>
      </c>
      <c r="F15" s="26" t="n">
        <v>1</v>
      </c>
      <c r="G15" s="26" t="n">
        <v>1</v>
      </c>
      <c r="H15" s="26" t="n">
        <v>1</v>
      </c>
      <c r="I15" s="27">
        <f>IF(C15="",0,IFERROR(INDEX($E15:$H15,MATCH('Recepción'!$C$5,$E$1:$H$1,0)),0))</f>
        <v/>
      </c>
      <c r="J15" s="27">
        <f>IF(I15=0,0,IF(A15="S",1,IF(A15="BH",IF(COUNTIFS(A16:A501,"B",J16:J501,1)&gt;0,1,0),IF(OR(B15='Recepción'!$C$13,B15='Recepción'!$C$14,B15='Recepción'!$C$15,AND(B15="Contacto con líquido",'Recepción'!$D$29="Sí"),AND(B15="Golpe / Caída",'Recepción'!$D$28="Sí"),AND(B15="No enciende",'Recepción'!$D$31="No")),1,0))))</f>
        <v/>
      </c>
      <c r="K15" s="27">
        <f>IF(J15=1,COUNTIF($J$2:J15,1),0)</f>
        <v/>
      </c>
    </row>
    <row r="16">
      <c r="A16" s="24" t="inlineStr">
        <is>
          <t>B</t>
        </is>
      </c>
      <c r="B16" s="25" t="inlineStr">
        <is>
          <t>No enciende</t>
        </is>
      </c>
      <c r="C16" s="25" t="inlineStr">
        <is>
          <t>¿Se apagó mientras lo estaba utilizando?</t>
        </is>
      </c>
      <c r="D16" s="24" t="inlineStr">
        <is>
          <t>YNS</t>
        </is>
      </c>
      <c r="E16" s="26" t="n">
        <v>1</v>
      </c>
      <c r="F16" s="26" t="n">
        <v>1</v>
      </c>
      <c r="G16" s="26" t="n">
        <v>1</v>
      </c>
      <c r="H16" s="26" t="n">
        <v>1</v>
      </c>
      <c r="I16" s="27">
        <f>IF(C16="",0,IFERROR(INDEX($E16:$H16,MATCH('Recepción'!$C$5,$E$1:$H$1,0)),0))</f>
        <v/>
      </c>
      <c r="J16" s="27">
        <f>IF(I16=0,0,IF(A16="S",1,IF(A16="BH",IF(COUNTIFS(A17:A501,"B",J17:J501,1)&gt;0,1,0),IF(OR(B16='Recepción'!$C$13,B16='Recepción'!$C$14,B16='Recepción'!$C$15,AND(B16="Contacto con líquido",'Recepción'!$D$29="Sí"),AND(B16="Golpe / Caída",'Recepción'!$D$28="Sí"),AND(B16="No enciende",'Recepción'!$D$31="No")),1,0))))</f>
        <v/>
      </c>
      <c r="K16" s="27">
        <f>IF(J16=1,COUNTIF($J$2:J16,1),0)</f>
        <v/>
      </c>
    </row>
    <row r="17">
      <c r="A17" s="24" t="inlineStr">
        <is>
          <t>B</t>
        </is>
      </c>
      <c r="B17" s="25" t="inlineStr">
        <is>
          <t>No enciende</t>
        </is>
      </c>
      <c r="C17" s="25" t="inlineStr">
        <is>
          <t>¿Ocurrió después de una caída, líquido o sobrecalentamiento?</t>
        </is>
      </c>
      <c r="D17" s="24" t="inlineStr">
        <is>
          <t>YNS</t>
        </is>
      </c>
      <c r="E17" s="26" t="n">
        <v>1</v>
      </c>
      <c r="F17" s="26" t="n">
        <v>1</v>
      </c>
      <c r="G17" s="26" t="n">
        <v>1</v>
      </c>
      <c r="H17" s="26" t="n">
        <v>1</v>
      </c>
      <c r="I17" s="27">
        <f>IF(C17="",0,IFERROR(INDEX($E17:$H17,MATCH('Recepción'!$C$5,$E$1:$H$1,0)),0))</f>
        <v/>
      </c>
      <c r="J17" s="27">
        <f>IF(I17=0,0,IF(A17="S",1,IF(A17="BH",IF(COUNTIFS(A18:A501,"B",J18:J501,1)&gt;0,1,0),IF(OR(B17='Recepción'!$C$13,B17='Recepción'!$C$14,B17='Recepción'!$C$15,AND(B17="Contacto con líquido",'Recepción'!$D$29="Sí"),AND(B17="Golpe / Caída",'Recepción'!$D$28="Sí"),AND(B17="No enciende",'Recepción'!$D$31="No")),1,0))))</f>
        <v/>
      </c>
      <c r="K17" s="27">
        <f>IF(J17=1,COUNTIF($J$2:J17,1),0)</f>
        <v/>
      </c>
    </row>
    <row r="18">
      <c r="A18" s="24" t="inlineStr">
        <is>
          <t>B</t>
        </is>
      </c>
      <c r="B18" s="25" t="inlineStr">
        <is>
          <t>No enciende</t>
        </is>
      </c>
      <c r="C18" s="25" t="inlineStr">
        <is>
          <t>¿Muestra alguna luz, vibración, sonido o señal de vida?</t>
        </is>
      </c>
      <c r="D18" s="24" t="inlineStr">
        <is>
          <t>SENAL</t>
        </is>
      </c>
      <c r="E18" s="26" t="n">
        <v>1</v>
      </c>
      <c r="F18" s="26" t="n">
        <v>1</v>
      </c>
      <c r="G18" s="26" t="n">
        <v>1</v>
      </c>
      <c r="H18" s="26" t="n">
        <v>1</v>
      </c>
      <c r="I18" s="27">
        <f>IF(C18="",0,IFERROR(INDEX($E18:$H18,MATCH('Recepción'!$C$5,$E$1:$H$1,0)),0))</f>
        <v/>
      </c>
      <c r="J18" s="27">
        <f>IF(I18=0,0,IF(A18="S",1,IF(A18="BH",IF(COUNTIFS(A19:A501,"B",J19:J501,1)&gt;0,1,0),IF(OR(B18='Recepción'!$C$13,B18='Recepción'!$C$14,B18='Recepción'!$C$15,AND(B18="Contacto con líquido",'Recepción'!$D$29="Sí"),AND(B18="Golpe / Caída",'Recepción'!$D$28="Sí"),AND(B18="No enciende",'Recepción'!$D$31="No")),1,0))))</f>
        <v/>
      </c>
      <c r="K18" s="27">
        <f>IF(J18=1,COUNTIF($J$2:J18,1),0)</f>
        <v/>
      </c>
    </row>
    <row r="19">
      <c r="A19" s="24" t="inlineStr">
        <is>
          <t>B</t>
        </is>
      </c>
      <c r="B19" s="25" t="inlineStr">
        <is>
          <t>No enciende</t>
        </is>
      </c>
      <c r="C19" s="25" t="inlineStr">
        <is>
          <t>¿Ha intentado cargarlo con otro cargador o cable?</t>
        </is>
      </c>
      <c r="D19" s="24" t="inlineStr">
        <is>
          <t>YNS</t>
        </is>
      </c>
      <c r="E19" s="26" t="n">
        <v>1</v>
      </c>
      <c r="F19" s="26" t="n">
        <v>1</v>
      </c>
      <c r="G19" s="26" t="n">
        <v>1</v>
      </c>
      <c r="H19" s="26" t="n">
        <v>0</v>
      </c>
      <c r="I19" s="27">
        <f>IF(C19="",0,IFERROR(INDEX($E19:$H19,MATCH('Recepción'!$C$5,$E$1:$H$1,0)),0))</f>
        <v/>
      </c>
      <c r="J19" s="27">
        <f>IF(I19=0,0,IF(A19="S",1,IF(A19="BH",IF(COUNTIFS(A20:A501,"B",J20:J501,1)&gt;0,1,0),IF(OR(B19='Recepción'!$C$13,B19='Recepción'!$C$14,B19='Recepción'!$C$15,AND(B19="Contacto con líquido",'Recepción'!$D$29="Sí"),AND(B19="Golpe / Caída",'Recepción'!$D$28="Sí"),AND(B19="No enciende",'Recepción'!$D$31="No")),1,0))))</f>
        <v/>
      </c>
      <c r="K19" s="27">
        <f>IF(J19=1,COUNTIF($J$2:J19,1),0)</f>
        <v/>
      </c>
    </row>
    <row r="20">
      <c r="A20" s="24" t="inlineStr">
        <is>
          <t>B</t>
        </is>
      </c>
      <c r="B20" s="25" t="inlineStr">
        <is>
          <t>No enciende</t>
        </is>
      </c>
      <c r="C20" s="25" t="inlineStr">
        <is>
          <t>¿Ha probado con otro cable de corriente o toma eléctrica?</t>
        </is>
      </c>
      <c r="D20" s="24" t="inlineStr">
        <is>
          <t>YNS</t>
        </is>
      </c>
      <c r="E20" s="26" t="n">
        <v>0</v>
      </c>
      <c r="F20" s="26" t="n">
        <v>0</v>
      </c>
      <c r="G20" s="26" t="n">
        <v>1</v>
      </c>
      <c r="H20" s="26" t="n">
        <v>1</v>
      </c>
      <c r="I20" s="27">
        <f>IF(C20="",0,IFERROR(INDEX($E20:$H20,MATCH('Recepción'!$C$5,$E$1:$H$1,0)),0))</f>
        <v/>
      </c>
      <c r="J20" s="27">
        <f>IF(I20=0,0,IF(A20="S",1,IF(A20="BH",IF(COUNTIFS(A21:A501,"B",J21:J501,1)&gt;0,1,0),IF(OR(B20='Recepción'!$C$13,B20='Recepción'!$C$14,B20='Recepción'!$C$15,AND(B20="Contacto con líquido",'Recepción'!$D$29="Sí"),AND(B20="Golpe / Caída",'Recepción'!$D$28="Sí"),AND(B20="No enciende",'Recepción'!$D$31="No")),1,0))))</f>
        <v/>
      </c>
      <c r="K20" s="27">
        <f>IF(J20=1,COUNTIF($J$2:J20,1),0)</f>
        <v/>
      </c>
    </row>
    <row r="21">
      <c r="A21" s="24" t="inlineStr">
        <is>
          <t>B</t>
        </is>
      </c>
      <c r="B21" s="25" t="inlineStr">
        <is>
          <t>No enciende</t>
        </is>
      </c>
      <c r="C21" s="25" t="inlineStr">
        <is>
          <t>¿Reacciona al colocarlo en su base de carga?</t>
        </is>
      </c>
      <c r="D21" s="24" t="inlineStr">
        <is>
          <t>YNS</t>
        </is>
      </c>
      <c r="E21" s="26" t="n">
        <v>0</v>
      </c>
      <c r="F21" s="26" t="n">
        <v>1</v>
      </c>
      <c r="G21" s="26" t="n">
        <v>0</v>
      </c>
      <c r="H21" s="26" t="n">
        <v>0</v>
      </c>
      <c r="I21" s="27">
        <f>IF(C21="",0,IFERROR(INDEX($E21:$H21,MATCH('Recepción'!$C$5,$E$1:$H$1,0)),0))</f>
        <v/>
      </c>
      <c r="J21" s="27">
        <f>IF(I21=0,0,IF(A21="S",1,IF(A21="BH",IF(COUNTIFS(A22:A501,"B",J22:J501,1)&gt;0,1,0),IF(OR(B21='Recepción'!$C$13,B21='Recepción'!$C$14,B21='Recepción'!$C$15,AND(B21="Contacto con líquido",'Recepción'!$D$29="Sí"),AND(B21="Golpe / Caída",'Recepción'!$D$28="Sí"),AND(B21="No enciende",'Recepción'!$D$31="No")),1,0))))</f>
        <v/>
      </c>
      <c r="K21" s="27">
        <f>IF(J21=1,COUNTIF($J$2:J21,1),0)</f>
        <v/>
      </c>
    </row>
    <row r="22">
      <c r="A22" s="24" t="inlineStr">
        <is>
          <t>B</t>
        </is>
      </c>
      <c r="B22" s="25" t="inlineStr">
        <is>
          <t>No enciende</t>
        </is>
      </c>
      <c r="C22" s="25" t="inlineStr">
        <is>
          <t>¿Se queda en el logo o se reinicia constantemente?</t>
        </is>
      </c>
      <c r="D22" s="24" t="inlineStr">
        <is>
          <t>YNS</t>
        </is>
      </c>
      <c r="E22" s="26" t="n">
        <v>1</v>
      </c>
      <c r="F22" s="26" t="n">
        <v>0</v>
      </c>
      <c r="G22" s="26" t="n">
        <v>1</v>
      </c>
      <c r="H22" s="26" t="n">
        <v>1</v>
      </c>
      <c r="I22" s="27">
        <f>IF(C22="",0,IFERROR(INDEX($E22:$H22,MATCH('Recepción'!$C$5,$E$1:$H$1,0)),0))</f>
        <v/>
      </c>
      <c r="J22" s="27">
        <f>IF(I22=0,0,IF(A22="S",1,IF(A22="BH",IF(COUNTIFS(A23:A501,"B",J23:J501,1)&gt;0,1,0),IF(OR(B22='Recepción'!$C$13,B22='Recepción'!$C$14,B22='Recepción'!$C$15,AND(B22="Contacto con líquido",'Recepción'!$D$29="Sí"),AND(B22="Golpe / Caída",'Recepción'!$D$28="Sí"),AND(B22="No enciende",'Recepción'!$D$31="No")),1,0))))</f>
        <v/>
      </c>
      <c r="K22" s="27">
        <f>IF(J22=1,COUNTIF($J$2:J22,1),0)</f>
        <v/>
      </c>
    </row>
    <row r="23">
      <c r="A23" s="24" t="inlineStr">
        <is>
          <t>B</t>
        </is>
      </c>
      <c r="B23" s="25" t="inlineStr">
        <is>
          <t>No enciende</t>
        </is>
      </c>
      <c r="C23" s="25" t="inlineStr">
        <is>
          <t>¿Se escucha el ventilador o el disco al presionar encendido?</t>
        </is>
      </c>
      <c r="D23" s="24" t="inlineStr">
        <is>
          <t>YNS</t>
        </is>
      </c>
      <c r="E23" s="26" t="n">
        <v>0</v>
      </c>
      <c r="F23" s="26" t="n">
        <v>0</v>
      </c>
      <c r="G23" s="26" t="n">
        <v>1</v>
      </c>
      <c r="H23" s="26" t="n">
        <v>0</v>
      </c>
      <c r="I23" s="27">
        <f>IF(C23="",0,IFERROR(INDEX($E23:$H23,MATCH('Recepción'!$C$5,$E$1:$H$1,0)),0))</f>
        <v/>
      </c>
      <c r="J23" s="27">
        <f>IF(I23=0,0,IF(A23="S",1,IF(A23="BH",IF(COUNTIFS(A24:A501,"B",J24:J501,1)&gt;0,1,0),IF(OR(B23='Recepción'!$C$13,B23='Recepción'!$C$14,B23='Recepción'!$C$15,AND(B23="Contacto con líquido",'Recepción'!$D$29="Sí"),AND(B23="Golpe / Caída",'Recepción'!$D$28="Sí"),AND(B23="No enciende",'Recepción'!$D$31="No")),1,0))))</f>
        <v/>
      </c>
      <c r="K23" s="27">
        <f>IF(J23=1,COUNTIF($J$2:J23,1),0)</f>
        <v/>
      </c>
    </row>
    <row r="24">
      <c r="A24" s="24" t="inlineStr">
        <is>
          <t>B</t>
        </is>
      </c>
      <c r="B24" s="25" t="inlineStr">
        <is>
          <t>No enciende</t>
        </is>
      </c>
      <c r="C24" s="25" t="inlineStr">
        <is>
          <t>¿Qué color de luz muestra la consola al intentar encender?</t>
        </is>
      </c>
      <c r="D24" s="24" t="inlineStr">
        <is>
          <t>LUZ</t>
        </is>
      </c>
      <c r="E24" s="26" t="n">
        <v>0</v>
      </c>
      <c r="F24" s="26" t="n">
        <v>0</v>
      </c>
      <c r="G24" s="26" t="n">
        <v>0</v>
      </c>
      <c r="H24" s="26" t="n">
        <v>1</v>
      </c>
      <c r="I24" s="27">
        <f>IF(C24="",0,IFERROR(INDEX($E24:$H24,MATCH('Recepción'!$C$5,$E$1:$H$1,0)),0))</f>
        <v/>
      </c>
      <c r="J24" s="27">
        <f>IF(I24=0,0,IF(A24="S",1,IF(A24="BH",IF(COUNTIFS(A25:A501,"B",J25:J501,1)&gt;0,1,0),IF(OR(B24='Recepción'!$C$13,B24='Recepción'!$C$14,B24='Recepción'!$C$15,AND(B24="Contacto con líquido",'Recepción'!$D$29="Sí"),AND(B24="Golpe / Caída",'Recepción'!$D$28="Sí"),AND(B24="No enciende",'Recepción'!$D$31="No")),1,0))))</f>
        <v/>
      </c>
      <c r="K24" s="27">
        <f>IF(J24=1,COUNTIF($J$2:J24,1),0)</f>
        <v/>
      </c>
    </row>
    <row r="25">
      <c r="A25" s="24" t="inlineStr">
        <is>
          <t>B</t>
        </is>
      </c>
      <c r="B25" s="25" t="inlineStr">
        <is>
          <t>No enciende</t>
        </is>
      </c>
      <c r="C25" s="25" t="inlineStr">
        <is>
          <t>¿Se apaga sola a los pocos segundos de encender?</t>
        </is>
      </c>
      <c r="D25" s="24" t="inlineStr">
        <is>
          <t>YNS</t>
        </is>
      </c>
      <c r="E25" s="26" t="n">
        <v>0</v>
      </c>
      <c r="F25" s="26" t="n">
        <v>0</v>
      </c>
      <c r="G25" s="26" t="n">
        <v>1</v>
      </c>
      <c r="H25" s="26" t="n">
        <v>1</v>
      </c>
      <c r="I25" s="27">
        <f>IF(C25="",0,IFERROR(INDEX($E25:$H25,MATCH('Recepción'!$C$5,$E$1:$H$1,0)),0))</f>
        <v/>
      </c>
      <c r="J25" s="27">
        <f>IF(I25=0,0,IF(A25="S",1,IF(A25="BH",IF(COUNTIFS(A26:A501,"B",J26:J501,1)&gt;0,1,0),IF(OR(B25='Recepción'!$C$13,B25='Recepción'!$C$14,B25='Recepción'!$C$15,AND(B25="Contacto con líquido",'Recepción'!$D$29="Sí"),AND(B25="Golpe / Caída",'Recepción'!$D$28="Sí"),AND(B25="No enciende",'Recepción'!$D$31="No")),1,0))))</f>
        <v/>
      </c>
      <c r="K25" s="27">
        <f>IF(J25=1,COUNTIF($J$2:J25,1),0)</f>
        <v/>
      </c>
    </row>
    <row r="26">
      <c r="A26" s="24" t="inlineStr">
        <is>
          <t>B</t>
        </is>
      </c>
      <c r="B26" s="25" t="inlineStr">
        <is>
          <t>No enciende</t>
        </is>
      </c>
      <c r="C26" s="25" t="inlineStr">
        <is>
          <t>¿Alguien intentó repararlo después de que dejó de encender?</t>
        </is>
      </c>
      <c r="D26" s="24" t="inlineStr">
        <is>
          <t>YNS</t>
        </is>
      </c>
      <c r="E26" s="26" t="n">
        <v>1</v>
      </c>
      <c r="F26" s="26" t="n">
        <v>1</v>
      </c>
      <c r="G26" s="26" t="n">
        <v>1</v>
      </c>
      <c r="H26" s="26" t="n">
        <v>1</v>
      </c>
      <c r="I26" s="27">
        <f>IF(C26="",0,IFERROR(INDEX($E26:$H26,MATCH('Recepción'!$C$5,$E$1:$H$1,0)),0))</f>
        <v/>
      </c>
      <c r="J26" s="27">
        <f>IF(I26=0,0,IF(A26="S",1,IF(A26="BH",IF(COUNTIFS(A27:A501,"B",J27:J501,1)&gt;0,1,0),IF(OR(B26='Recepción'!$C$13,B26='Recepción'!$C$14,B26='Recepción'!$C$15,AND(B26="Contacto con líquido",'Recepción'!$D$29="Sí"),AND(B26="Golpe / Caída",'Recepción'!$D$28="Sí"),AND(B26="No enciende",'Recepción'!$D$31="No")),1,0))))</f>
        <v/>
      </c>
      <c r="K26" s="27">
        <f>IF(J26=1,COUNTIF($J$2:J26,1),0)</f>
        <v/>
      </c>
    </row>
    <row r="27">
      <c r="A27" s="24" t="inlineStr">
        <is>
          <t>B</t>
        </is>
      </c>
      <c r="B27" s="25" t="inlineStr">
        <is>
          <t>Batería / No carga</t>
        </is>
      </c>
      <c r="C27" s="25" t="inlineStr">
        <is>
          <t>¿Carga de manera intermitente?</t>
        </is>
      </c>
      <c r="D27" s="24" t="inlineStr">
        <is>
          <t>YNS</t>
        </is>
      </c>
      <c r="E27" s="26" t="n">
        <v>1</v>
      </c>
      <c r="F27" s="26" t="n">
        <v>1</v>
      </c>
      <c r="G27" s="26" t="n">
        <v>1</v>
      </c>
      <c r="H27" s="26" t="n">
        <v>1</v>
      </c>
      <c r="I27" s="27">
        <f>IF(C27="",0,IFERROR(INDEX($E27:$H27,MATCH('Recepción'!$C$5,$E$1:$H$1,0)),0))</f>
        <v/>
      </c>
      <c r="J27" s="27">
        <f>IF(I27=0,0,IF(A27="S",1,IF(A27="BH",IF(COUNTIFS(A28:A501,"B",J28:J501,1)&gt;0,1,0),IF(OR(B27='Recepción'!$C$13,B27='Recepción'!$C$14,B27='Recepción'!$C$15,AND(B27="Contacto con líquido",'Recepción'!$D$29="Sí"),AND(B27="Golpe / Caída",'Recepción'!$D$28="Sí"),AND(B27="No enciende",'Recepción'!$D$31="No")),1,0))))</f>
        <v/>
      </c>
      <c r="K27" s="27">
        <f>IF(J27=1,COUNTIF($J$2:J27,1),0)</f>
        <v/>
      </c>
    </row>
    <row r="28">
      <c r="A28" s="24" t="inlineStr">
        <is>
          <t>B</t>
        </is>
      </c>
      <c r="B28" s="25" t="inlineStr">
        <is>
          <t>Batería / No carga</t>
        </is>
      </c>
      <c r="C28" s="25" t="inlineStr">
        <is>
          <t>¿Debe mover el cable para que cargue?</t>
        </is>
      </c>
      <c r="D28" s="24" t="inlineStr">
        <is>
          <t>YNS</t>
        </is>
      </c>
      <c r="E28" s="26" t="n">
        <v>1</v>
      </c>
      <c r="F28" s="26" t="n">
        <v>0</v>
      </c>
      <c r="G28" s="26" t="n">
        <v>1</v>
      </c>
      <c r="H28" s="26" t="n">
        <v>0</v>
      </c>
      <c r="I28" s="27">
        <f>IF(C28="",0,IFERROR(INDEX($E28:$H28,MATCH('Recepción'!$C$5,$E$1:$H$1,0)),0))</f>
        <v/>
      </c>
      <c r="J28" s="27">
        <f>IF(I28=0,0,IF(A28="S",1,IF(A28="BH",IF(COUNTIFS(A29:A501,"B",J29:J501,1)&gt;0,1,0),IF(OR(B28='Recepción'!$C$13,B28='Recepción'!$C$14,B28='Recepción'!$C$15,AND(B28="Contacto con líquido",'Recepción'!$D$29="Sí"),AND(B28="Golpe / Caída",'Recepción'!$D$28="Sí"),AND(B28="No enciende",'Recepción'!$D$31="No")),1,0))))</f>
        <v/>
      </c>
      <c r="K28" s="27">
        <f>IF(J28=1,COUNTIF($J$2:J28,1),0)</f>
        <v/>
      </c>
    </row>
    <row r="29">
      <c r="A29" s="24" t="inlineStr">
        <is>
          <t>B</t>
        </is>
      </c>
      <c r="B29" s="25" t="inlineStr">
        <is>
          <t>Batería / No carga</t>
        </is>
      </c>
      <c r="C29" s="25" t="inlineStr">
        <is>
          <t>¿Se descarga rápidamente?</t>
        </is>
      </c>
      <c r="D29" s="24" t="inlineStr">
        <is>
          <t>YNS</t>
        </is>
      </c>
      <c r="E29" s="26" t="n">
        <v>1</v>
      </c>
      <c r="F29" s="26" t="n">
        <v>1</v>
      </c>
      <c r="G29" s="26" t="n">
        <v>1</v>
      </c>
      <c r="H29" s="26" t="n">
        <v>1</v>
      </c>
      <c r="I29" s="27">
        <f>IF(C29="",0,IFERROR(INDEX($E29:$H29,MATCH('Recepción'!$C$5,$E$1:$H$1,0)),0))</f>
        <v/>
      </c>
      <c r="J29" s="27">
        <f>IF(I29=0,0,IF(A29="S",1,IF(A29="BH",IF(COUNTIFS(A30:A501,"B",J30:J501,1)&gt;0,1,0),IF(OR(B29='Recepción'!$C$13,B29='Recepción'!$C$14,B29='Recepción'!$C$15,AND(B29="Contacto con líquido",'Recepción'!$D$29="Sí"),AND(B29="Golpe / Caída",'Recepción'!$D$28="Sí"),AND(B29="No enciende",'Recepción'!$D$31="No")),1,0))))</f>
        <v/>
      </c>
      <c r="K29" s="27">
        <f>IF(J29=1,COUNTIF($J$2:J29,1),0)</f>
        <v/>
      </c>
    </row>
    <row r="30">
      <c r="A30" s="24" t="inlineStr">
        <is>
          <t>B</t>
        </is>
      </c>
      <c r="B30" s="25" t="inlineStr">
        <is>
          <t>Batería / No carga</t>
        </is>
      </c>
      <c r="C30" s="25" t="inlineStr">
        <is>
          <t>¿Se apaga aunque indique que todavía tiene batería?</t>
        </is>
      </c>
      <c r="D30" s="24" t="inlineStr">
        <is>
          <t>YNS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>
        <f>IF(C30="",0,IFERROR(INDEX($E30:$H30,MATCH('Recepción'!$C$5,$E$1:$H$1,0)),0))</f>
        <v/>
      </c>
      <c r="J30" s="27">
        <f>IF(I30=0,0,IF(A30="S",1,IF(A30="BH",IF(COUNTIFS(A31:A501,"B",J31:J501,1)&gt;0,1,0),IF(OR(B30='Recepción'!$C$13,B30='Recepción'!$C$14,B30='Recepción'!$C$15,AND(B30="Contacto con líquido",'Recepción'!$D$29="Sí"),AND(B30="Golpe / Caída",'Recepción'!$D$28="Sí"),AND(B30="No enciende",'Recepción'!$D$31="No")),1,0))))</f>
        <v/>
      </c>
      <c r="K30" s="27">
        <f>IF(J30=1,COUNTIF($J$2:J30,1),0)</f>
        <v/>
      </c>
    </row>
    <row r="31">
      <c r="A31" s="24" t="inlineStr">
        <is>
          <t>B</t>
        </is>
      </c>
      <c r="B31" s="25" t="inlineStr">
        <is>
          <t>Batería / No carga</t>
        </is>
      </c>
      <c r="C31" s="25" t="inlineStr">
        <is>
          <t>¿La batería está inflada o ha deformado el equipo?</t>
        </is>
      </c>
      <c r="D31" s="24" t="inlineStr">
        <is>
          <t>YNS</t>
        </is>
      </c>
      <c r="E31" s="26" t="n">
        <v>1</v>
      </c>
      <c r="F31" s="26" t="n">
        <v>1</v>
      </c>
      <c r="G31" s="26" t="n">
        <v>1</v>
      </c>
      <c r="H31" s="26" t="n">
        <v>1</v>
      </c>
      <c r="I31" s="27">
        <f>IF(C31="",0,IFERROR(INDEX($E31:$H31,MATCH('Recepción'!$C$5,$E$1:$H$1,0)),0))</f>
        <v/>
      </c>
      <c r="J31" s="27">
        <f>IF(I31=0,0,IF(A31="S",1,IF(A31="BH",IF(COUNTIFS(A32:A501,"B",J32:J501,1)&gt;0,1,0),IF(OR(B31='Recepción'!$C$13,B31='Recepción'!$C$14,B31='Recepción'!$C$15,AND(B31="Contacto con líquido",'Recepción'!$D$29="Sí"),AND(B31="Golpe / Caída",'Recepción'!$D$28="Sí"),AND(B31="No enciende",'Recepción'!$D$31="No")),1,0))))</f>
        <v/>
      </c>
      <c r="K31" s="27">
        <f>IF(J31=1,COUNTIF($J$2:J31,1),0)</f>
        <v/>
      </c>
    </row>
    <row r="32">
      <c r="A32" s="24" t="inlineStr">
        <is>
          <t>B</t>
        </is>
      </c>
      <c r="B32" s="25" t="inlineStr">
        <is>
          <t>Batería / No carga</t>
        </is>
      </c>
      <c r="C32" s="25" t="inlineStr">
        <is>
          <t>¿Utiliza cargador original?</t>
        </is>
      </c>
      <c r="D32" s="24" t="inlineStr">
        <is>
          <t>YNS</t>
        </is>
      </c>
      <c r="E32" s="26" t="n">
        <v>1</v>
      </c>
      <c r="F32" s="26" t="n">
        <v>1</v>
      </c>
      <c r="G32" s="26" t="n">
        <v>1</v>
      </c>
      <c r="H32" s="26" t="n">
        <v>1</v>
      </c>
      <c r="I32" s="27">
        <f>IF(C32="",0,IFERROR(INDEX($E32:$H32,MATCH('Recepción'!$C$5,$E$1:$H$1,0)),0))</f>
        <v/>
      </c>
      <c r="J32" s="27">
        <f>IF(I32=0,0,IF(A32="S",1,IF(A32="BH",IF(COUNTIFS(A33:A501,"B",J33:J501,1)&gt;0,1,0),IF(OR(B32='Recepción'!$C$13,B32='Recepción'!$C$14,B32='Recepción'!$C$15,AND(B32="Contacto con líquido",'Recepción'!$D$29="Sí"),AND(B32="Golpe / Caída",'Recepción'!$D$28="Sí"),AND(B32="No enciende",'Recepción'!$D$31="No")),1,0))))</f>
        <v/>
      </c>
      <c r="K32" s="27">
        <f>IF(J32=1,COUNTIF($J$2:J32,1),0)</f>
        <v/>
      </c>
    </row>
    <row r="33">
      <c r="A33" s="24" t="inlineStr">
        <is>
          <t>B</t>
        </is>
      </c>
      <c r="B33" s="25" t="inlineStr">
        <is>
          <t>Batería / No carga</t>
        </is>
      </c>
      <c r="C33" s="25" t="inlineStr">
        <is>
          <t>¿Ha probado otro cargador?</t>
        </is>
      </c>
      <c r="D33" s="24" t="inlineStr">
        <is>
          <t>YNS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>
        <f>IF(C33="",0,IFERROR(INDEX($E33:$H33,MATCH('Recepción'!$C$5,$E$1:$H$1,0)),0))</f>
        <v/>
      </c>
      <c r="J33" s="27">
        <f>IF(I33=0,0,IF(A33="S",1,IF(A33="BH",IF(COUNTIFS(A34:A501,"B",J34:J501,1)&gt;0,1,0),IF(OR(B33='Recepción'!$C$13,B33='Recepción'!$C$14,B33='Recepción'!$C$15,AND(B33="Contacto con líquido",'Recepción'!$D$29="Sí"),AND(B33="Golpe / Caída",'Recepción'!$D$28="Sí"),AND(B33="No enciende",'Recepción'!$D$31="No")),1,0))))</f>
        <v/>
      </c>
      <c r="K33" s="27">
        <f>IF(J33=1,COUNTIF($J$2:J33,1),0)</f>
        <v/>
      </c>
    </row>
    <row r="34">
      <c r="A34" s="24" t="inlineStr">
        <is>
          <t>B</t>
        </is>
      </c>
      <c r="B34" s="25" t="inlineStr">
        <is>
          <t>Batería / No carga</t>
        </is>
      </c>
      <c r="C34" s="25" t="inlineStr">
        <is>
          <t>¿Carga lenta o se detiene en cierto porcentaje?</t>
        </is>
      </c>
      <c r="D34" s="24" t="inlineStr">
        <is>
          <t>YNS</t>
        </is>
      </c>
      <c r="E34" s="26" t="n">
        <v>1</v>
      </c>
      <c r="F34" s="26" t="n">
        <v>0</v>
      </c>
      <c r="G34" s="26" t="n">
        <v>0</v>
      </c>
      <c r="H34" s="26" t="n">
        <v>0</v>
      </c>
      <c r="I34" s="27">
        <f>IF(C34="",0,IFERROR(INDEX($E34:$H34,MATCH('Recepción'!$C$5,$E$1:$H$1,0)),0))</f>
        <v/>
      </c>
      <c r="J34" s="27">
        <f>IF(I34=0,0,IF(A34="S",1,IF(A34="BH",IF(COUNTIFS(A35:A501,"B",J35:J501,1)&gt;0,1,0),IF(OR(B34='Recepción'!$C$13,B34='Recepción'!$C$14,B34='Recepción'!$C$15,AND(B34="Contacto con líquido",'Recepción'!$D$29="Sí"),AND(B34="Golpe / Caída",'Recepción'!$D$28="Sí"),AND(B34="No enciende",'Recepción'!$D$31="No")),1,0))))</f>
        <v/>
      </c>
      <c r="K34" s="27">
        <f>IF(J34=1,COUNTIF($J$2:J34,1),0)</f>
        <v/>
      </c>
    </row>
    <row r="35">
      <c r="A35" s="24" t="inlineStr">
        <is>
          <t>B</t>
        </is>
      </c>
      <c r="B35" s="25" t="inlineStr">
        <is>
          <t>Batería / No carga</t>
        </is>
      </c>
      <c r="C35" s="25" t="inlineStr">
        <is>
          <t>¿El puerto de carga está flojo o sucio?</t>
        </is>
      </c>
      <c r="D35" s="24" t="inlineStr">
        <is>
          <t>YNS</t>
        </is>
      </c>
      <c r="E35" s="26" t="n">
        <v>1</v>
      </c>
      <c r="F35" s="26" t="n">
        <v>0</v>
      </c>
      <c r="G35" s="26" t="n">
        <v>1</v>
      </c>
      <c r="H35" s="26" t="n">
        <v>0</v>
      </c>
      <c r="I35" s="27">
        <f>IF(C35="",0,IFERROR(INDEX($E35:$H35,MATCH('Recepción'!$C$5,$E$1:$H$1,0)),0))</f>
        <v/>
      </c>
      <c r="J35" s="27">
        <f>IF(I35=0,0,IF(A35="S",1,IF(A35="BH",IF(COUNTIFS(A36:A501,"B",J36:J501,1)&gt;0,1,0),IF(OR(B35='Recepción'!$C$13,B35='Recepción'!$C$14,B35='Recepción'!$C$15,AND(B35="Contacto con líquido",'Recepción'!$D$29="Sí"),AND(B35="Golpe / Caída",'Recepción'!$D$28="Sí"),AND(B35="No enciende",'Recepción'!$D$31="No")),1,0))))</f>
        <v/>
      </c>
      <c r="K35" s="27">
        <f>IF(J35=1,COUNTIF($J$2:J35,1),0)</f>
        <v/>
      </c>
    </row>
    <row r="36">
      <c r="A36" s="24" t="inlineStr">
        <is>
          <t>B</t>
        </is>
      </c>
      <c r="B36" s="25" t="inlineStr">
        <is>
          <t>Batería / No carga</t>
        </is>
      </c>
      <c r="C36" s="25" t="inlineStr">
        <is>
          <t>¿La base de carga está limpia y sin daños?</t>
        </is>
      </c>
      <c r="D36" s="24" t="inlineStr">
        <is>
          <t>YNS</t>
        </is>
      </c>
      <c r="E36" s="26" t="n">
        <v>0</v>
      </c>
      <c r="F36" s="26" t="n">
        <v>1</v>
      </c>
      <c r="G36" s="26" t="n">
        <v>0</v>
      </c>
      <c r="H36" s="26" t="n">
        <v>0</v>
      </c>
      <c r="I36" s="27">
        <f>IF(C36="",0,IFERROR(INDEX($E36:$H36,MATCH('Recepción'!$C$5,$E$1:$H$1,0)),0))</f>
        <v/>
      </c>
      <c r="J36" s="27">
        <f>IF(I36=0,0,IF(A36="S",1,IF(A36="BH",IF(COUNTIFS(A37:A501,"B",J37:J501,1)&gt;0,1,0),IF(OR(B36='Recepción'!$C$13,B36='Recepción'!$C$14,B36='Recepción'!$C$15,AND(B36="Contacto con líquido",'Recepción'!$D$29="Sí"),AND(B36="Golpe / Caída",'Recepción'!$D$28="Sí"),AND(B36="No enciende",'Recepción'!$D$31="No")),1,0))))</f>
        <v/>
      </c>
      <c r="K36" s="27">
        <f>IF(J36=1,COUNTIF($J$2:J36,1),0)</f>
        <v/>
      </c>
    </row>
    <row r="37">
      <c r="A37" s="24" t="inlineStr">
        <is>
          <t>B</t>
        </is>
      </c>
      <c r="B37" s="25" t="inlineStr">
        <is>
          <t>Batería / No carga</t>
        </is>
      </c>
      <c r="C37" s="25" t="inlineStr">
        <is>
          <t>¿Enciende el indicador LED del cargador?</t>
        </is>
      </c>
      <c r="D37" s="24" t="inlineStr">
        <is>
          <t>YNS</t>
        </is>
      </c>
      <c r="E37" s="26" t="n">
        <v>0</v>
      </c>
      <c r="F37" s="26" t="n">
        <v>0</v>
      </c>
      <c r="G37" s="26" t="n">
        <v>1</v>
      </c>
      <c r="H37" s="26" t="n">
        <v>0</v>
      </c>
      <c r="I37" s="27">
        <f>IF(C37="",0,IFERROR(INDEX($E37:$H37,MATCH('Recepción'!$C$5,$E$1:$H$1,0)),0))</f>
        <v/>
      </c>
      <c r="J37" s="27">
        <f>IF(I37=0,0,IF(A37="S",1,IF(A37="BH",IF(COUNTIFS(A38:A501,"B",J38:J501,1)&gt;0,1,0),IF(OR(B37='Recepción'!$C$13,B37='Recepción'!$C$14,B37='Recepción'!$C$15,AND(B37="Contacto con líquido",'Recepción'!$D$29="Sí"),AND(B37="Golpe / Caída",'Recepción'!$D$28="Sí"),AND(B37="No enciende",'Recepción'!$D$31="No")),1,0))))</f>
        <v/>
      </c>
      <c r="K37" s="27">
        <f>IF(J37=1,COUNTIF($J$2:J37,1),0)</f>
        <v/>
      </c>
    </row>
    <row r="38">
      <c r="A38" s="24" t="inlineStr">
        <is>
          <t>B</t>
        </is>
      </c>
      <c r="B38" s="25" t="inlineStr">
        <is>
          <t>Batería / No carga</t>
        </is>
      </c>
      <c r="C38" s="25" t="inlineStr">
        <is>
          <t>¿Aparece el mensaje «conectado, no carga»?</t>
        </is>
      </c>
      <c r="D38" s="24" t="inlineStr">
        <is>
          <t>YNS</t>
        </is>
      </c>
      <c r="E38" s="26" t="n">
        <v>0</v>
      </c>
      <c r="F38" s="26" t="n">
        <v>0</v>
      </c>
      <c r="G38" s="26" t="n">
        <v>1</v>
      </c>
      <c r="H38" s="26" t="n">
        <v>0</v>
      </c>
      <c r="I38" s="27">
        <f>IF(C38="",0,IFERROR(INDEX($E38:$H38,MATCH('Recepción'!$C$5,$E$1:$H$1,0)),0))</f>
        <v/>
      </c>
      <c r="J38" s="27">
        <f>IF(I38=0,0,IF(A38="S",1,IF(A38="BH",IF(COUNTIFS(A39:A501,"B",J39:J501,1)&gt;0,1,0),IF(OR(B38='Recepción'!$C$13,B38='Recepción'!$C$14,B38='Recepción'!$C$15,AND(B38="Contacto con líquido",'Recepción'!$D$29="Sí"),AND(B38="Golpe / Caída",'Recepción'!$D$28="Sí"),AND(B38="No enciende",'Recepción'!$D$31="No")),1,0))))</f>
        <v/>
      </c>
      <c r="K38" s="27">
        <f>IF(J38=1,COUNTIF($J$2:J38,1),0)</f>
        <v/>
      </c>
    </row>
    <row r="39">
      <c r="A39" s="24" t="inlineStr">
        <is>
          <t>B</t>
        </is>
      </c>
      <c r="B39" s="25" t="inlineStr">
        <is>
          <t>Batería / No carga</t>
        </is>
      </c>
      <c r="C39" s="25" t="inlineStr">
        <is>
          <t>¿Es una consola portátil (Switch, Steam Deck, ROG Ally)?</t>
        </is>
      </c>
      <c r="D39" s="24" t="inlineStr">
        <is>
          <t>YNS</t>
        </is>
      </c>
      <c r="E39" s="26" t="n">
        <v>0</v>
      </c>
      <c r="F39" s="26" t="n">
        <v>0</v>
      </c>
      <c r="G39" s="26" t="n">
        <v>0</v>
      </c>
      <c r="H39" s="26" t="n">
        <v>1</v>
      </c>
      <c r="I39" s="27">
        <f>IF(C39="",0,IFERROR(INDEX($E39:$H39,MATCH('Recepción'!$C$5,$E$1:$H$1,0)),0))</f>
        <v/>
      </c>
      <c r="J39" s="27">
        <f>IF(I39=0,0,IF(A39="S",1,IF(A39="BH",IF(COUNTIFS(A40:A501,"B",J40:J501,1)&gt;0,1,0),IF(OR(B39='Recepción'!$C$13,B39='Recepción'!$C$14,B39='Recepción'!$C$15,AND(B39="Contacto con líquido",'Recepción'!$D$29="Sí"),AND(B39="Golpe / Caída",'Recepción'!$D$28="Sí"),AND(B39="No enciende",'Recepción'!$D$31="No")),1,0))))</f>
        <v/>
      </c>
      <c r="K39" s="27">
        <f>IF(J39=1,COUNTIF($J$2:J39,1),0)</f>
        <v/>
      </c>
    </row>
    <row r="40">
      <c r="A40" s="24" t="inlineStr">
        <is>
          <t>B</t>
        </is>
      </c>
      <c r="B40" s="25" t="inlineStr">
        <is>
          <t>Batería / No carga</t>
        </is>
      </c>
      <c r="C40" s="25" t="inlineStr">
        <is>
          <t>¿Cuánto dura la batería aproximadamente?</t>
        </is>
      </c>
      <c r="D40" s="24" t="inlineStr">
        <is>
          <t>AUTON</t>
        </is>
      </c>
      <c r="E40" s="26" t="n">
        <v>1</v>
      </c>
      <c r="F40" s="26" t="n">
        <v>1</v>
      </c>
      <c r="G40" s="26" t="n">
        <v>1</v>
      </c>
      <c r="H40" s="26" t="n">
        <v>1</v>
      </c>
      <c r="I40" s="27">
        <f>IF(C40="",0,IFERROR(INDEX($E40:$H40,MATCH('Recepción'!$C$5,$E$1:$H$1,0)),0))</f>
        <v/>
      </c>
      <c r="J40" s="27">
        <f>IF(I40=0,0,IF(A40="S",1,IF(A40="BH",IF(COUNTIFS(A41:A501,"B",J41:J501,1)&gt;0,1,0),IF(OR(B40='Recepción'!$C$13,B40='Recepción'!$C$14,B40='Recepción'!$C$15,AND(B40="Contacto con líquido",'Recepción'!$D$29="Sí"),AND(B40="Golpe / Caída",'Recepción'!$D$28="Sí"),AND(B40="No enciende",'Recepción'!$D$31="No")),1,0))))</f>
        <v/>
      </c>
      <c r="K40" s="27">
        <f>IF(J40=1,COUNTIF($J$2:J40,1),0)</f>
        <v/>
      </c>
    </row>
    <row r="41">
      <c r="A41" s="24" t="inlineStr">
        <is>
          <t>B</t>
        </is>
      </c>
      <c r="B41" s="25" t="inlineStr">
        <is>
          <t>Calentamiento / Se apaga</t>
        </is>
      </c>
      <c r="C41" s="25" t="inlineStr">
        <is>
          <t>¿En qué momento se calienta?</t>
        </is>
      </c>
      <c r="D41" s="24" t="inlineStr">
        <is>
          <t>MOM</t>
        </is>
      </c>
      <c r="E41" s="26" t="n">
        <v>1</v>
      </c>
      <c r="F41" s="26" t="n">
        <v>0</v>
      </c>
      <c r="G41" s="26" t="n">
        <v>1</v>
      </c>
      <c r="H41" s="26" t="n">
        <v>1</v>
      </c>
      <c r="I41" s="27">
        <f>IF(C41="",0,IFERROR(INDEX($E41:$H41,MATCH('Recepción'!$C$5,$E$1:$H$1,0)),0))</f>
        <v/>
      </c>
      <c r="J41" s="27">
        <f>IF(I41=0,0,IF(A41="S",1,IF(A41="BH",IF(COUNTIFS(A42:A501,"B",J42:J501,1)&gt;0,1,0),IF(OR(B41='Recepción'!$C$13,B41='Recepción'!$C$14,B41='Recepción'!$C$15,AND(B41="Contacto con líquido",'Recepción'!$D$29="Sí"),AND(B41="Golpe / Caída",'Recepción'!$D$28="Sí"),AND(B41="No enciende",'Recepción'!$D$31="No")),1,0))))</f>
        <v/>
      </c>
      <c r="K41" s="27">
        <f>IF(J41=1,COUNTIF($J$2:J41,1),0)</f>
        <v/>
      </c>
    </row>
    <row r="42">
      <c r="A42" s="24" t="inlineStr">
        <is>
          <t>B</t>
        </is>
      </c>
      <c r="B42" s="25" t="inlineStr">
        <is>
          <t>Calentamiento / Se apaga</t>
        </is>
      </c>
      <c r="C42" s="25" t="inlineStr">
        <is>
          <t>¿Se apaga o reinicia cuando se calienta?</t>
        </is>
      </c>
      <c r="D42" s="24" t="inlineStr">
        <is>
          <t>YNS</t>
        </is>
      </c>
      <c r="E42" s="26" t="n">
        <v>1</v>
      </c>
      <c r="F42" s="26" t="n">
        <v>0</v>
      </c>
      <c r="G42" s="26" t="n">
        <v>1</v>
      </c>
      <c r="H42" s="26" t="n">
        <v>1</v>
      </c>
      <c r="I42" s="27">
        <f>IF(C42="",0,IFERROR(INDEX($E42:$H42,MATCH('Recepción'!$C$5,$E$1:$H$1,0)),0))</f>
        <v/>
      </c>
      <c r="J42" s="27">
        <f>IF(I42=0,0,IF(A42="S",1,IF(A42="BH",IF(COUNTIFS(A43:A501,"B",J43:J501,1)&gt;0,1,0),IF(OR(B42='Recepción'!$C$13,B42='Recepción'!$C$14,B42='Recepción'!$C$15,AND(B42="Contacto con líquido",'Recepción'!$D$29="Sí"),AND(B42="Golpe / Caída",'Recepción'!$D$28="Sí"),AND(B42="No enciende",'Recepción'!$D$31="No")),1,0))))</f>
        <v/>
      </c>
      <c r="K42" s="27">
        <f>IF(J42=1,COUNTIF($J$2:J42,1),0)</f>
        <v/>
      </c>
    </row>
    <row r="43">
      <c r="A43" s="24" t="inlineStr">
        <is>
          <t>B</t>
        </is>
      </c>
      <c r="B43" s="25" t="inlineStr">
        <is>
          <t>Calentamiento / Se apaga</t>
        </is>
      </c>
      <c r="C43" s="25" t="inlineStr">
        <is>
          <t>¿Ha notado pérdida de rendimiento?</t>
        </is>
      </c>
      <c r="D43" s="24" t="inlineStr">
        <is>
          <t>YNS</t>
        </is>
      </c>
      <c r="E43" s="26" t="n">
        <v>1</v>
      </c>
      <c r="F43" s="26" t="n">
        <v>0</v>
      </c>
      <c r="G43" s="26" t="n">
        <v>1</v>
      </c>
      <c r="H43" s="26" t="n">
        <v>1</v>
      </c>
      <c r="I43" s="27">
        <f>IF(C43="",0,IFERROR(INDEX($E43:$H43,MATCH('Recepción'!$C$5,$E$1:$H$1,0)),0))</f>
        <v/>
      </c>
      <c r="J43" s="27">
        <f>IF(I43=0,0,IF(A43="S",1,IF(A43="BH",IF(COUNTIFS(A44:A501,"B",J44:J501,1)&gt;0,1,0),IF(OR(B43='Recepción'!$C$13,B43='Recepción'!$C$14,B43='Recepción'!$C$15,AND(B43="Contacto con líquido",'Recepción'!$D$29="Sí"),AND(B43="Golpe / Caída",'Recepción'!$D$28="Sí"),AND(B43="No enciende",'Recepción'!$D$31="No")),1,0))))</f>
        <v/>
      </c>
      <c r="K43" s="27">
        <f>IF(J43=1,COUNTIF($J$2:J43,1),0)</f>
        <v/>
      </c>
    </row>
    <row r="44">
      <c r="A44" s="24" t="inlineStr">
        <is>
          <t>B</t>
        </is>
      </c>
      <c r="B44" s="25" t="inlineStr">
        <is>
          <t>Calentamiento / Se apaga</t>
        </is>
      </c>
      <c r="C44" s="25" t="inlineStr">
        <is>
          <t>¿En qué zona se calienta?</t>
        </is>
      </c>
      <c r="D44" s="24" t="inlineStr">
        <is>
          <t>ZONAC</t>
        </is>
      </c>
      <c r="E44" s="26" t="n">
        <v>1</v>
      </c>
      <c r="F44" s="26" t="n">
        <v>0</v>
      </c>
      <c r="G44" s="26" t="n">
        <v>0</v>
      </c>
      <c r="H44" s="26" t="n">
        <v>0</v>
      </c>
      <c r="I44" s="27">
        <f>IF(C44="",0,IFERROR(INDEX($E44:$H44,MATCH('Recepción'!$C$5,$E$1:$H$1,0)),0))</f>
        <v/>
      </c>
      <c r="J44" s="27">
        <f>IF(I44=0,0,IF(A44="S",1,IF(A44="BH",IF(COUNTIFS(A45:A501,"B",J45:J501,1)&gt;0,1,0),IF(OR(B44='Recepción'!$C$13,B44='Recepción'!$C$14,B44='Recepción'!$C$15,AND(B44="Contacto con líquido",'Recepción'!$D$29="Sí"),AND(B44="Golpe / Caída",'Recepción'!$D$28="Sí"),AND(B44="No enciende",'Recepción'!$D$31="No")),1,0))))</f>
        <v/>
      </c>
      <c r="K44" s="27">
        <f>IF(J44=1,COUNTIF($J$2:J44,1),0)</f>
        <v/>
      </c>
    </row>
    <row r="45">
      <c r="A45" s="24" t="inlineStr">
        <is>
          <t>B</t>
        </is>
      </c>
      <c r="B45" s="25" t="inlineStr">
        <is>
          <t>Calentamiento / Se apaga</t>
        </is>
      </c>
      <c r="C45" s="25" t="inlineStr">
        <is>
          <t>¿Usa funda gruesa o lo utiliza mientras carga?</t>
        </is>
      </c>
      <c r="D45" s="24" t="inlineStr">
        <is>
          <t>YNS</t>
        </is>
      </c>
      <c r="E45" s="26" t="n">
        <v>1</v>
      </c>
      <c r="F45" s="26" t="n">
        <v>0</v>
      </c>
      <c r="G45" s="26" t="n">
        <v>0</v>
      </c>
      <c r="H45" s="26" t="n">
        <v>0</v>
      </c>
      <c r="I45" s="27">
        <f>IF(C45="",0,IFERROR(INDEX($E45:$H45,MATCH('Recepción'!$C$5,$E$1:$H$1,0)),0))</f>
        <v/>
      </c>
      <c r="J45" s="27">
        <f>IF(I45=0,0,IF(A45="S",1,IF(A45="BH",IF(COUNTIFS(A46:A501,"B",J46:J501,1)&gt;0,1,0),IF(OR(B45='Recepción'!$C$13,B45='Recepción'!$C$14,B45='Recepción'!$C$15,AND(B45="Contacto con líquido",'Recepción'!$D$29="Sí"),AND(B45="Golpe / Caída",'Recepción'!$D$28="Sí"),AND(B45="No enciende",'Recepción'!$D$31="No")),1,0))))</f>
        <v/>
      </c>
      <c r="K45" s="27">
        <f>IF(J45=1,COUNTIF($J$2:J45,1),0)</f>
        <v/>
      </c>
    </row>
    <row r="46">
      <c r="A46" s="24" t="inlineStr">
        <is>
          <t>B</t>
        </is>
      </c>
      <c r="B46" s="25" t="inlineStr">
        <is>
          <t>Calentamiento / Se apaga</t>
        </is>
      </c>
      <c r="C46" s="25" t="inlineStr">
        <is>
          <t>¿Los ventiladores hacen mucho ruido?</t>
        </is>
      </c>
      <c r="D46" s="24" t="inlineStr">
        <is>
          <t>YNS</t>
        </is>
      </c>
      <c r="E46" s="26" t="n">
        <v>0</v>
      </c>
      <c r="F46" s="26" t="n">
        <v>0</v>
      </c>
      <c r="G46" s="26" t="n">
        <v>1</v>
      </c>
      <c r="H46" s="26" t="n">
        <v>1</v>
      </c>
      <c r="I46" s="27">
        <f>IF(C46="",0,IFERROR(INDEX($E46:$H46,MATCH('Recepción'!$C$5,$E$1:$H$1,0)),0))</f>
        <v/>
      </c>
      <c r="J46" s="27">
        <f>IF(I46=0,0,IF(A46="S",1,IF(A46="BH",IF(COUNTIFS(A47:A501,"B",J47:J501,1)&gt;0,1,0),IF(OR(B46='Recepción'!$C$13,B46='Recepción'!$C$14,B46='Recepción'!$C$15,AND(B46="Contacto con líquido",'Recepción'!$D$29="Sí"),AND(B46="Golpe / Caída",'Recepción'!$D$28="Sí"),AND(B46="No enciende",'Recepción'!$D$31="No")),1,0))))</f>
        <v/>
      </c>
      <c r="K46" s="27">
        <f>IF(J46=1,COUNTIF($J$2:J46,1),0)</f>
        <v/>
      </c>
    </row>
    <row r="47">
      <c r="A47" s="24" t="inlineStr">
        <is>
          <t>B</t>
        </is>
      </c>
      <c r="B47" s="25" t="inlineStr">
        <is>
          <t>Calentamiento / Se apaga</t>
        </is>
      </c>
      <c r="C47" s="25" t="inlineStr">
        <is>
          <t>¿Las rejillas de ventilación tienen polvo o están tapadas?</t>
        </is>
      </c>
      <c r="D47" s="24" t="inlineStr">
        <is>
          <t>YNS</t>
        </is>
      </c>
      <c r="E47" s="26" t="n">
        <v>0</v>
      </c>
      <c r="F47" s="26" t="n">
        <v>0</v>
      </c>
      <c r="G47" s="26" t="n">
        <v>1</v>
      </c>
      <c r="H47" s="26" t="n">
        <v>1</v>
      </c>
      <c r="I47" s="27">
        <f>IF(C47="",0,IFERROR(INDEX($E47:$H47,MATCH('Recepción'!$C$5,$E$1:$H$1,0)),0))</f>
        <v/>
      </c>
      <c r="J47" s="27">
        <f>IF(I47=0,0,IF(A47="S",1,IF(A47="BH",IF(COUNTIFS(A48:A501,"B",J48:J501,1)&gt;0,1,0),IF(OR(B47='Recepción'!$C$13,B47='Recepción'!$C$14,B47='Recepción'!$C$15,AND(B47="Contacto con líquido",'Recepción'!$D$29="Sí"),AND(B47="Golpe / Caída",'Recepción'!$D$28="Sí"),AND(B47="No enciende",'Recepción'!$D$31="No")),1,0))))</f>
        <v/>
      </c>
      <c r="K47" s="27">
        <f>IF(J47=1,COUNTIF($J$2:J47,1),0)</f>
        <v/>
      </c>
    </row>
    <row r="48">
      <c r="A48" s="24" t="inlineStr">
        <is>
          <t>B</t>
        </is>
      </c>
      <c r="B48" s="25" t="inlineStr">
        <is>
          <t>Calentamiento / Se apaga</t>
        </is>
      </c>
      <c r="C48" s="25" t="inlineStr">
        <is>
          <t>¿Cuándo fue el último mantenimiento o limpieza?</t>
        </is>
      </c>
      <c r="D48" s="24" t="inlineStr">
        <is>
          <t>MANT</t>
        </is>
      </c>
      <c r="E48" s="26" t="n">
        <v>0</v>
      </c>
      <c r="F48" s="26" t="n">
        <v>0</v>
      </c>
      <c r="G48" s="26" t="n">
        <v>1</v>
      </c>
      <c r="H48" s="26" t="n">
        <v>1</v>
      </c>
      <c r="I48" s="27">
        <f>IF(C48="",0,IFERROR(INDEX($E48:$H48,MATCH('Recepción'!$C$5,$E$1:$H$1,0)),0))</f>
        <v/>
      </c>
      <c r="J48" s="27">
        <f>IF(I48=0,0,IF(A48="S",1,IF(A48="BH",IF(COUNTIFS(A49:A501,"B",J49:J501,1)&gt;0,1,0),IF(OR(B48='Recepción'!$C$13,B48='Recepción'!$C$14,B48='Recepción'!$C$15,AND(B48="Contacto con líquido",'Recepción'!$D$29="Sí"),AND(B48="Golpe / Caída",'Recepción'!$D$28="Sí"),AND(B48="No enciende",'Recepción'!$D$31="No")),1,0))))</f>
        <v/>
      </c>
      <c r="K48" s="27">
        <f>IF(J48=1,COUNTIF($J$2:J48,1),0)</f>
        <v/>
      </c>
    </row>
    <row r="49">
      <c r="A49" s="24" t="inlineStr">
        <is>
          <t>B</t>
        </is>
      </c>
      <c r="B49" s="25" t="inlineStr">
        <is>
          <t>Calentamiento / Se apaga</t>
        </is>
      </c>
      <c r="C49" s="25" t="inlineStr">
        <is>
          <t>¿Está ubicada en un espacio cerrado o sin ventilación?</t>
        </is>
      </c>
      <c r="D49" s="24" t="inlineStr">
        <is>
          <t>YNS</t>
        </is>
      </c>
      <c r="E49" s="26" t="n">
        <v>0</v>
      </c>
      <c r="F49" s="26" t="n">
        <v>0</v>
      </c>
      <c r="G49" s="26" t="n">
        <v>0</v>
      </c>
      <c r="H49" s="26" t="n">
        <v>1</v>
      </c>
      <c r="I49" s="27">
        <f>IF(C49="",0,IFERROR(INDEX($E49:$H49,MATCH('Recepción'!$C$5,$E$1:$H$1,0)),0))</f>
        <v/>
      </c>
      <c r="J49" s="27">
        <f>IF(I49=0,0,IF(A49="S",1,IF(A49="BH",IF(COUNTIFS(A50:A501,"B",J50:J501,1)&gt;0,1,0),IF(OR(B49='Recepción'!$C$13,B49='Recepción'!$C$14,B49='Recepción'!$C$15,AND(B49="Contacto con líquido",'Recepción'!$D$29="Sí"),AND(B49="Golpe / Caída",'Recepción'!$D$28="Sí"),AND(B49="No enciende",'Recepción'!$D$31="No")),1,0))))</f>
        <v/>
      </c>
      <c r="K49" s="27">
        <f>IF(J49=1,COUNTIF($J$2:J49,1),0)</f>
        <v/>
      </c>
    </row>
    <row r="50">
      <c r="A50" s="24" t="inlineStr">
        <is>
          <t>B</t>
        </is>
      </c>
      <c r="B50" s="25" t="inlineStr">
        <is>
          <t>Calentamiento / Se apaga</t>
        </is>
      </c>
      <c r="C50" s="25" t="inlineStr">
        <is>
          <t>¿Se apaga durante los juegos?</t>
        </is>
      </c>
      <c r="D50" s="24" t="inlineStr">
        <is>
          <t>YNS</t>
        </is>
      </c>
      <c r="E50" s="26" t="n">
        <v>0</v>
      </c>
      <c r="F50" s="26" t="n">
        <v>0</v>
      </c>
      <c r="G50" s="26" t="n">
        <v>0</v>
      </c>
      <c r="H50" s="26" t="n">
        <v>1</v>
      </c>
      <c r="I50" s="27">
        <f>IF(C50="",0,IFERROR(INDEX($E50:$H50,MATCH('Recepción'!$C$5,$E$1:$H$1,0)),0))</f>
        <v/>
      </c>
      <c r="J50" s="27">
        <f>IF(I50=0,0,IF(A50="S",1,IF(A50="BH",IF(COUNTIFS(A51:A501,"B",J51:J501,1)&gt;0,1,0),IF(OR(B50='Recepción'!$C$13,B50='Recepción'!$C$14,B50='Recepción'!$C$15,AND(B50="Contacto con líquido",'Recepción'!$D$29="Sí"),AND(B50="Golpe / Caída",'Recepción'!$D$28="Sí"),AND(B50="No enciende",'Recepción'!$D$31="No")),1,0))))</f>
        <v/>
      </c>
      <c r="K50" s="27">
        <f>IF(J50=1,COUNTIF($J$2:J50,1),0)</f>
        <v/>
      </c>
    </row>
    <row r="51">
      <c r="A51" s="24" t="inlineStr">
        <is>
          <t>B</t>
        </is>
      </c>
      <c r="B51" s="25" t="inlineStr">
        <is>
          <t>Contacto con líquido</t>
        </is>
      </c>
      <c r="C51" s="25" t="inlineStr">
        <is>
          <t>¿Qué tipo de líquido fue?</t>
        </is>
      </c>
      <c r="D51" s="24" t="inlineStr">
        <is>
          <t>LIQ</t>
        </is>
      </c>
      <c r="E51" s="26" t="n">
        <v>1</v>
      </c>
      <c r="F51" s="26" t="n">
        <v>1</v>
      </c>
      <c r="G51" s="26" t="n">
        <v>1</v>
      </c>
      <c r="H51" s="26" t="n">
        <v>1</v>
      </c>
      <c r="I51" s="27">
        <f>IF(C51="",0,IFERROR(INDEX($E51:$H51,MATCH('Recepción'!$C$5,$E$1:$H$1,0)),0))</f>
        <v/>
      </c>
      <c r="J51" s="27">
        <f>IF(I51=0,0,IF(A51="S",1,IF(A51="BH",IF(COUNTIFS(A52:A501,"B",J52:J501,1)&gt;0,1,0),IF(OR(B51='Recepción'!$C$13,B51='Recepción'!$C$14,B51='Recepción'!$C$15,AND(B51="Contacto con líquido",'Recepción'!$D$29="Sí"),AND(B51="Golpe / Caída",'Recepción'!$D$28="Sí"),AND(B51="No enciende",'Recepción'!$D$31="No")),1,0))))</f>
        <v/>
      </c>
      <c r="K51" s="27">
        <f>IF(J51=1,COUNTIF($J$2:J51,1),0)</f>
        <v/>
      </c>
    </row>
    <row r="52">
      <c r="A52" s="24" t="inlineStr">
        <is>
          <t>B</t>
        </is>
      </c>
      <c r="B52" s="25" t="inlineStr">
        <is>
          <t>Contacto con líquido</t>
        </is>
      </c>
      <c r="C52" s="25" t="inlineStr">
        <is>
          <t>¿Cuándo ocurrió?</t>
        </is>
      </c>
      <c r="D52" s="24" t="inlineStr">
        <is>
          <t>CUANDO</t>
        </is>
      </c>
      <c r="E52" s="26" t="n">
        <v>1</v>
      </c>
      <c r="F52" s="26" t="n">
        <v>1</v>
      </c>
      <c r="G52" s="26" t="n">
        <v>1</v>
      </c>
      <c r="H52" s="26" t="n">
        <v>1</v>
      </c>
      <c r="I52" s="27">
        <f>IF(C52="",0,IFERROR(INDEX($E52:$H52,MATCH('Recepción'!$C$5,$E$1:$H$1,0)),0))</f>
        <v/>
      </c>
      <c r="J52" s="27">
        <f>IF(I52=0,0,IF(A52="S",1,IF(A52="BH",IF(COUNTIFS(A53:A501,"B",J53:J501,1)&gt;0,1,0),IF(OR(B52='Recepción'!$C$13,B52='Recepción'!$C$14,B52='Recepción'!$C$15,AND(B52="Contacto con líquido",'Recepción'!$D$29="Sí"),AND(B52="Golpe / Caída",'Recepción'!$D$28="Sí"),AND(B52="No enciende",'Recepción'!$D$31="No")),1,0))))</f>
        <v/>
      </c>
      <c r="K52" s="27">
        <f>IF(J52=1,COUNTIF($J$2:J52,1),0)</f>
        <v/>
      </c>
    </row>
    <row r="53">
      <c r="A53" s="24" t="inlineStr">
        <is>
          <t>B</t>
        </is>
      </c>
      <c r="B53" s="25" t="inlineStr">
        <is>
          <t>Contacto con líquido</t>
        </is>
      </c>
      <c r="C53" s="25" t="inlineStr">
        <is>
          <t>¿Continuó utilizando el equipo?</t>
        </is>
      </c>
      <c r="D53" s="24" t="inlineStr">
        <is>
          <t>YNS</t>
        </is>
      </c>
      <c r="E53" s="26" t="n">
        <v>1</v>
      </c>
      <c r="F53" s="26" t="n">
        <v>1</v>
      </c>
      <c r="G53" s="26" t="n">
        <v>1</v>
      </c>
      <c r="H53" s="26" t="n">
        <v>1</v>
      </c>
      <c r="I53" s="27">
        <f>IF(C53="",0,IFERROR(INDEX($E53:$H53,MATCH('Recepción'!$C$5,$E$1:$H$1,0)),0))</f>
        <v/>
      </c>
      <c r="J53" s="27">
        <f>IF(I53=0,0,IF(A53="S",1,IF(A53="BH",IF(COUNTIFS(A54:A501,"B",J54:J501,1)&gt;0,1,0),IF(OR(B53='Recepción'!$C$13,B53='Recepción'!$C$14,B53='Recepción'!$C$15,AND(B53="Contacto con líquido",'Recepción'!$D$29="Sí"),AND(B53="Golpe / Caída",'Recepción'!$D$28="Sí"),AND(B53="No enciende",'Recepción'!$D$31="No")),1,0))))</f>
        <v/>
      </c>
      <c r="K53" s="27">
        <f>IF(J53=1,COUNTIF($J$2:J53,1),0)</f>
        <v/>
      </c>
    </row>
    <row r="54">
      <c r="A54" s="24" t="inlineStr">
        <is>
          <t>B</t>
        </is>
      </c>
      <c r="B54" s="25" t="inlineStr">
        <is>
          <t>Contacto con líquido</t>
        </is>
      </c>
      <c r="C54" s="25" t="inlineStr">
        <is>
          <t>¿Intentó encenderlo?</t>
        </is>
      </c>
      <c r="D54" s="24" t="inlineStr">
        <is>
          <t>YNS</t>
        </is>
      </c>
      <c r="E54" s="26" t="n">
        <v>1</v>
      </c>
      <c r="F54" s="26" t="n">
        <v>1</v>
      </c>
      <c r="G54" s="26" t="n">
        <v>1</v>
      </c>
      <c r="H54" s="26" t="n">
        <v>1</v>
      </c>
      <c r="I54" s="27">
        <f>IF(C54="",0,IFERROR(INDEX($E54:$H54,MATCH('Recepción'!$C$5,$E$1:$H$1,0)),0))</f>
        <v/>
      </c>
      <c r="J54" s="27">
        <f>IF(I54=0,0,IF(A54="S",1,IF(A54="BH",IF(COUNTIFS(A55:A501,"B",J55:J501,1)&gt;0,1,0),IF(OR(B54='Recepción'!$C$13,B54='Recepción'!$C$14,B54='Recepción'!$C$15,AND(B54="Contacto con líquido",'Recepción'!$D$29="Sí"),AND(B54="Golpe / Caída",'Recepción'!$D$28="Sí"),AND(B54="No enciende",'Recepción'!$D$31="No")),1,0))))</f>
        <v/>
      </c>
      <c r="K54" s="27">
        <f>IF(J54=1,COUNTIF($J$2:J54,1),0)</f>
        <v/>
      </c>
    </row>
    <row r="55">
      <c r="A55" s="24" t="inlineStr">
        <is>
          <t>B</t>
        </is>
      </c>
      <c r="B55" s="25" t="inlineStr">
        <is>
          <t>Contacto con líquido</t>
        </is>
      </c>
      <c r="C55" s="25" t="inlineStr">
        <is>
          <t>¿Lo conectó al cargador después de mojarse?</t>
        </is>
      </c>
      <c r="D55" s="24" t="inlineStr">
        <is>
          <t>YNS</t>
        </is>
      </c>
      <c r="E55" s="26" t="n">
        <v>1</v>
      </c>
      <c r="F55" s="26" t="n">
        <v>1</v>
      </c>
      <c r="G55" s="26" t="n">
        <v>1</v>
      </c>
      <c r="H55" s="26" t="n">
        <v>1</v>
      </c>
      <c r="I55" s="27">
        <f>IF(C55="",0,IFERROR(INDEX($E55:$H55,MATCH('Recepción'!$C$5,$E$1:$H$1,0)),0))</f>
        <v/>
      </c>
      <c r="J55" s="27">
        <f>IF(I55=0,0,IF(A55="S",1,IF(A55="BH",IF(COUNTIFS(A56:A501,"B",J56:J501,1)&gt;0,1,0),IF(OR(B55='Recepción'!$C$13,B55='Recepción'!$C$14,B55='Recepción'!$C$15,AND(B55="Contacto con líquido",'Recepción'!$D$29="Sí"),AND(B55="Golpe / Caída",'Recepción'!$D$28="Sí"),AND(B55="No enciende",'Recepción'!$D$31="No")),1,0))))</f>
        <v/>
      </c>
      <c r="K55" s="27">
        <f>IF(J55=1,COUNTIF($J$2:J55,1),0)</f>
        <v/>
      </c>
    </row>
    <row r="56">
      <c r="A56" s="24" t="inlineStr">
        <is>
          <t>B</t>
        </is>
      </c>
      <c r="B56" s="25" t="inlineStr">
        <is>
          <t>Contacto con líquido</t>
        </is>
      </c>
      <c r="C56" s="25" t="inlineStr">
        <is>
          <t>¿Fue abierto posteriormente?</t>
        </is>
      </c>
      <c r="D56" s="24" t="inlineStr">
        <is>
          <t>YNS</t>
        </is>
      </c>
      <c r="E56" s="26" t="n">
        <v>1</v>
      </c>
      <c r="F56" s="26" t="n">
        <v>1</v>
      </c>
      <c r="G56" s="26" t="n">
        <v>1</v>
      </c>
      <c r="H56" s="26" t="n">
        <v>1</v>
      </c>
      <c r="I56" s="27">
        <f>IF(C56="",0,IFERROR(INDEX($E56:$H56,MATCH('Recepción'!$C$5,$E$1:$H$1,0)),0))</f>
        <v/>
      </c>
      <c r="J56" s="27">
        <f>IF(I56=0,0,IF(A56="S",1,IF(A56="BH",IF(COUNTIFS(A57:A501,"B",J57:J501,1)&gt;0,1,0),IF(OR(B56='Recepción'!$C$13,B56='Recepción'!$C$14,B56='Recepción'!$C$15,AND(B56="Contacto con líquido",'Recepción'!$D$29="Sí"),AND(B56="Golpe / Caída",'Recepción'!$D$28="Sí"),AND(B56="No enciende",'Recepción'!$D$31="No")),1,0))))</f>
        <v/>
      </c>
      <c r="K56" s="27">
        <f>IF(J56=1,COUNTIF($J$2:J56,1),0)</f>
        <v/>
      </c>
    </row>
    <row r="57">
      <c r="A57" s="24" t="inlineStr">
        <is>
          <t>B</t>
        </is>
      </c>
      <c r="B57" s="25" t="inlineStr">
        <is>
          <t>Contacto con líquido</t>
        </is>
      </c>
      <c r="C57" s="25" t="inlineStr">
        <is>
          <t>¿Recibió limpieza o reparación previa?</t>
        </is>
      </c>
      <c r="D57" s="24" t="inlineStr">
        <is>
          <t>YNS</t>
        </is>
      </c>
      <c r="E57" s="26" t="n">
        <v>1</v>
      </c>
      <c r="F57" s="26" t="n">
        <v>1</v>
      </c>
      <c r="G57" s="26" t="n">
        <v>1</v>
      </c>
      <c r="H57" s="26" t="n">
        <v>1</v>
      </c>
      <c r="I57" s="27">
        <f>IF(C57="",0,IFERROR(INDEX($E57:$H57,MATCH('Recepción'!$C$5,$E$1:$H$1,0)),0))</f>
        <v/>
      </c>
      <c r="J57" s="27">
        <f>IF(I57=0,0,IF(A57="S",1,IF(A57="BH",IF(COUNTIFS(A58:A501,"B",J58:J501,1)&gt;0,1,0),IF(OR(B57='Recepción'!$C$13,B57='Recepción'!$C$14,B57='Recepción'!$C$15,AND(B57="Contacto con líquido",'Recepción'!$D$29="Sí"),AND(B57="Golpe / Caída",'Recepción'!$D$28="Sí"),AND(B57="No enciende",'Recepción'!$D$31="No")),1,0))))</f>
        <v/>
      </c>
      <c r="K57" s="27">
        <f>IF(J57=1,COUNTIF($J$2:J57,1),0)</f>
        <v/>
      </c>
    </row>
    <row r="58">
      <c r="A58" s="24" t="inlineStr">
        <is>
          <t>B</t>
        </is>
      </c>
      <c r="B58" s="25" t="inlineStr">
        <is>
          <t>Contacto con líquido</t>
        </is>
      </c>
      <c r="C58" s="25" t="inlineStr">
        <is>
          <t>¿Usó arroz, secador u otro método casero?</t>
        </is>
      </c>
      <c r="D58" s="24" t="inlineStr">
        <is>
          <t>YNS</t>
        </is>
      </c>
      <c r="E58" s="26" t="n">
        <v>1</v>
      </c>
      <c r="F58" s="26" t="n">
        <v>1</v>
      </c>
      <c r="G58" s="26" t="n">
        <v>1</v>
      </c>
      <c r="H58" s="26" t="n">
        <v>1</v>
      </c>
      <c r="I58" s="27">
        <f>IF(C58="",0,IFERROR(INDEX($E58:$H58,MATCH('Recepción'!$C$5,$E$1:$H$1,0)),0))</f>
        <v/>
      </c>
      <c r="J58" s="27">
        <f>IF(I58=0,0,IF(A58="S",1,IF(A58="BH",IF(COUNTIFS(A59:A501,"B",J59:J501,1)&gt;0,1,0),IF(OR(B58='Recepción'!$C$13,B58='Recepción'!$C$14,B58='Recepción'!$C$15,AND(B58="Contacto con líquido",'Recepción'!$D$29="Sí"),AND(B58="Golpe / Caída",'Recepción'!$D$28="Sí"),AND(B58="No enciende",'Recepción'!$D$31="No")),1,0))))</f>
        <v/>
      </c>
      <c r="K58" s="27">
        <f>IF(J58=1,COUNTIF($J$2:J58,1),0)</f>
        <v/>
      </c>
    </row>
    <row r="59">
      <c r="A59" s="24" t="inlineStr">
        <is>
          <t>B</t>
        </is>
      </c>
      <c r="B59" s="25" t="inlineStr">
        <is>
          <t>Contacto con líquido</t>
        </is>
      </c>
      <c r="C59" s="25" t="inlineStr">
        <is>
          <t>¿Tiene certificación de resistencia al agua (IP67/IP68)?</t>
        </is>
      </c>
      <c r="D59" s="24" t="inlineStr">
        <is>
          <t>YNS</t>
        </is>
      </c>
      <c r="E59" s="26" t="n">
        <v>1</v>
      </c>
      <c r="F59" s="26" t="n">
        <v>1</v>
      </c>
      <c r="G59" s="26" t="n">
        <v>0</v>
      </c>
      <c r="H59" s="26" t="n">
        <v>0</v>
      </c>
      <c r="I59" s="27">
        <f>IF(C59="",0,IFERROR(INDEX($E59:$H59,MATCH('Recepción'!$C$5,$E$1:$H$1,0)),0))</f>
        <v/>
      </c>
      <c r="J59" s="27">
        <f>IF(I59=0,0,IF(A59="S",1,IF(A59="BH",IF(COUNTIFS(A60:A501,"B",J60:J501,1)&gt;0,1,0),IF(OR(B59='Recepción'!$C$13,B59='Recepción'!$C$14,B59='Recepción'!$C$15,AND(B59="Contacto con líquido",'Recepción'!$D$29="Sí"),AND(B59="Golpe / Caída",'Recepción'!$D$28="Sí"),AND(B59="No enciende",'Recepción'!$D$31="No")),1,0))))</f>
        <v/>
      </c>
      <c r="K59" s="27">
        <f>IF(J59=1,COUNTIF($J$2:J59,1),0)</f>
        <v/>
      </c>
    </row>
    <row r="60">
      <c r="A60" s="24" t="inlineStr">
        <is>
          <t>B</t>
        </is>
      </c>
      <c r="B60" s="25" t="inlineStr">
        <is>
          <t>Golpe / Caída</t>
        </is>
      </c>
      <c r="C60" s="25" t="inlineStr">
        <is>
          <t>¿Cuándo ocurrió?</t>
        </is>
      </c>
      <c r="D60" s="24" t="inlineStr">
        <is>
          <t>CUANDO</t>
        </is>
      </c>
      <c r="E60" s="26" t="n">
        <v>1</v>
      </c>
      <c r="F60" s="26" t="n">
        <v>1</v>
      </c>
      <c r="G60" s="26" t="n">
        <v>1</v>
      </c>
      <c r="H60" s="26" t="n">
        <v>1</v>
      </c>
      <c r="I60" s="27">
        <f>IF(C60="",0,IFERROR(INDEX($E60:$H60,MATCH('Recepción'!$C$5,$E$1:$H$1,0)),0))</f>
        <v/>
      </c>
      <c r="J60" s="27">
        <f>IF(I60=0,0,IF(A60="S",1,IF(A60="BH",IF(COUNTIFS(A61:A501,"B",J61:J501,1)&gt;0,1,0),IF(OR(B60='Recepción'!$C$13,B60='Recepción'!$C$14,B60='Recepción'!$C$15,AND(B60="Contacto con líquido",'Recepción'!$D$29="Sí"),AND(B60="Golpe / Caída",'Recepción'!$D$28="Sí"),AND(B60="No enciende",'Recepción'!$D$31="No")),1,0))))</f>
        <v/>
      </c>
      <c r="K60" s="27">
        <f>IF(J60=1,COUNTIF($J$2:J60,1),0)</f>
        <v/>
      </c>
    </row>
    <row r="61">
      <c r="A61" s="24" t="inlineStr">
        <is>
          <t>B</t>
        </is>
      </c>
      <c r="B61" s="25" t="inlineStr">
        <is>
          <t>Golpe / Caída</t>
        </is>
      </c>
      <c r="C61" s="25" t="inlineStr">
        <is>
          <t>¿Continuó funcionando después del golpe?</t>
        </is>
      </c>
      <c r="D61" s="24" t="inlineStr">
        <is>
          <t>YNS</t>
        </is>
      </c>
      <c r="E61" s="26" t="n">
        <v>1</v>
      </c>
      <c r="F61" s="26" t="n">
        <v>1</v>
      </c>
      <c r="G61" s="26" t="n">
        <v>1</v>
      </c>
      <c r="H61" s="26" t="n">
        <v>1</v>
      </c>
      <c r="I61" s="27">
        <f>IF(C61="",0,IFERROR(INDEX($E61:$H61,MATCH('Recepción'!$C$5,$E$1:$H$1,0)),0))</f>
        <v/>
      </c>
      <c r="J61" s="27">
        <f>IF(I61=0,0,IF(A61="S",1,IF(A61="BH",IF(COUNTIFS(A62:A501,"B",J62:J501,1)&gt;0,1,0),IF(OR(B61='Recepción'!$C$13,B61='Recepción'!$C$14,B61='Recepción'!$C$15,AND(B61="Contacto con líquido",'Recepción'!$D$29="Sí"),AND(B61="Golpe / Caída",'Recepción'!$D$28="Sí"),AND(B61="No enciende",'Recepción'!$D$31="No")),1,0))))</f>
        <v/>
      </c>
      <c r="K61" s="27">
        <f>IF(J61=1,COUNTIF($J$2:J61,1),0)</f>
        <v/>
      </c>
    </row>
    <row r="62">
      <c r="A62" s="24" t="inlineStr">
        <is>
          <t>B</t>
        </is>
      </c>
      <c r="B62" s="25" t="inlineStr">
        <is>
          <t>Golpe / Caída</t>
        </is>
      </c>
      <c r="C62" s="25" t="inlineStr">
        <is>
          <t>¿La falla apareció inmediatamente?</t>
        </is>
      </c>
      <c r="D62" s="24" t="inlineStr">
        <is>
          <t>YNS</t>
        </is>
      </c>
      <c r="E62" s="26" t="n">
        <v>1</v>
      </c>
      <c r="F62" s="26" t="n">
        <v>1</v>
      </c>
      <c r="G62" s="26" t="n">
        <v>1</v>
      </c>
      <c r="H62" s="26" t="n">
        <v>1</v>
      </c>
      <c r="I62" s="27">
        <f>IF(C62="",0,IFERROR(INDEX($E62:$H62,MATCH('Recepción'!$C$5,$E$1:$H$1,0)),0))</f>
        <v/>
      </c>
      <c r="J62" s="27">
        <f>IF(I62=0,0,IF(A62="S",1,IF(A62="BH",IF(COUNTIFS(A63:A501,"B",J63:J501,1)&gt;0,1,0),IF(OR(B62='Recepción'!$C$13,B62='Recepción'!$C$14,B62='Recepción'!$C$15,AND(B62="Contacto con líquido",'Recepción'!$D$29="Sí"),AND(B62="Golpe / Caída",'Recepción'!$D$28="Sí"),AND(B62="No enciende",'Recepción'!$D$31="No")),1,0))))</f>
        <v/>
      </c>
      <c r="K62" s="27">
        <f>IF(J62=1,COUNTIF($J$2:J62,1),0)</f>
        <v/>
      </c>
    </row>
    <row r="63">
      <c r="A63" s="24" t="inlineStr">
        <is>
          <t>B</t>
        </is>
      </c>
      <c r="B63" s="25" t="inlineStr">
        <is>
          <t>Golpe / Caída</t>
        </is>
      </c>
      <c r="C63" s="25" t="inlineStr">
        <is>
          <t>¿Se dañó la pantalla o el táctil?</t>
        </is>
      </c>
      <c r="D63" s="24" t="inlineStr">
        <is>
          <t>YNS</t>
        </is>
      </c>
      <c r="E63" s="26" t="n">
        <v>1</v>
      </c>
      <c r="F63" s="26" t="n">
        <v>1</v>
      </c>
      <c r="G63" s="26" t="n">
        <v>1</v>
      </c>
      <c r="H63" s="26" t="n">
        <v>0</v>
      </c>
      <c r="I63" s="27">
        <f>IF(C63="",0,IFERROR(INDEX($E63:$H63,MATCH('Recepción'!$C$5,$E$1:$H$1,0)),0))</f>
        <v/>
      </c>
      <c r="J63" s="27">
        <f>IF(I63=0,0,IF(A63="S",1,IF(A63="BH",IF(COUNTIFS(A64:A501,"B",J64:J501,1)&gt;0,1,0),IF(OR(B63='Recepción'!$C$13,B63='Recepción'!$C$14,B63='Recepción'!$C$15,AND(B63="Contacto con líquido",'Recepción'!$D$29="Sí"),AND(B63="Golpe / Caída",'Recepción'!$D$28="Sí"),AND(B63="No enciende",'Recepción'!$D$31="No")),1,0))))</f>
        <v/>
      </c>
      <c r="K63" s="27">
        <f>IF(J63=1,COUNTIF($J$2:J63,1),0)</f>
        <v/>
      </c>
    </row>
    <row r="64">
      <c r="A64" s="24" t="inlineStr">
        <is>
          <t>B</t>
        </is>
      </c>
      <c r="B64" s="25" t="inlineStr">
        <is>
          <t>Golpe / Caída</t>
        </is>
      </c>
      <c r="C64" s="25" t="inlineStr">
        <is>
          <t>¿Presentó problemas de imagen?</t>
        </is>
      </c>
      <c r="D64" s="24" t="inlineStr">
        <is>
          <t>YNS</t>
        </is>
      </c>
      <c r="E64" s="26" t="n">
        <v>1</v>
      </c>
      <c r="F64" s="26" t="n">
        <v>1</v>
      </c>
      <c r="G64" s="26" t="n">
        <v>1</v>
      </c>
      <c r="H64" s="26" t="n">
        <v>1</v>
      </c>
      <c r="I64" s="27">
        <f>IF(C64="",0,IFERROR(INDEX($E64:$H64,MATCH('Recepción'!$C$5,$E$1:$H$1,0)),0))</f>
        <v/>
      </c>
      <c r="J64" s="27">
        <f>IF(I64=0,0,IF(A64="S",1,IF(A64="BH",IF(COUNTIFS(A65:A501,"B",J65:J501,1)&gt;0,1,0),IF(OR(B64='Recepción'!$C$13,B64='Recepción'!$C$14,B64='Recepción'!$C$15,AND(B64="Contacto con líquido",'Recepción'!$D$29="Sí"),AND(B64="Golpe / Caída",'Recepción'!$D$28="Sí"),AND(B64="No enciende",'Recepción'!$D$31="No")),1,0))))</f>
        <v/>
      </c>
      <c r="K64" s="27">
        <f>IF(J64=1,COUNTIF($J$2:J64,1),0)</f>
        <v/>
      </c>
    </row>
    <row r="65">
      <c r="A65" s="24" t="inlineStr">
        <is>
          <t>B</t>
        </is>
      </c>
      <c r="B65" s="25" t="inlineStr">
        <is>
          <t>Golpe / Caída</t>
        </is>
      </c>
      <c r="C65" s="25" t="inlineStr">
        <is>
          <t>¿Se deformó la carcasa o el chasis?</t>
        </is>
      </c>
      <c r="D65" s="24" t="inlineStr">
        <is>
          <t>YNS</t>
        </is>
      </c>
      <c r="E65" s="26" t="n">
        <v>1</v>
      </c>
      <c r="F65" s="26" t="n">
        <v>1</v>
      </c>
      <c r="G65" s="26" t="n">
        <v>1</v>
      </c>
      <c r="H65" s="26" t="n">
        <v>1</v>
      </c>
      <c r="I65" s="27">
        <f>IF(C65="",0,IFERROR(INDEX($E65:$H65,MATCH('Recepción'!$C$5,$E$1:$H$1,0)),0))</f>
        <v/>
      </c>
      <c r="J65" s="27">
        <f>IF(I65=0,0,IF(A65="S",1,IF(A65="BH",IF(COUNTIFS(A66:A501,"B",J66:J501,1)&gt;0,1,0),IF(OR(B65='Recepción'!$C$13,B65='Recepción'!$C$14,B65='Recepción'!$C$15,AND(B65="Contacto con líquido",'Recepción'!$D$29="Sí"),AND(B65="Golpe / Caída",'Recepción'!$D$28="Sí"),AND(B65="No enciende",'Recepción'!$D$31="No")),1,0))))</f>
        <v/>
      </c>
      <c r="K65" s="27">
        <f>IF(J65=1,COUNTIF($J$2:J65,1),0)</f>
        <v/>
      </c>
    </row>
    <row r="66">
      <c r="A66" s="24" t="inlineStr">
        <is>
          <t>B</t>
        </is>
      </c>
      <c r="B66" s="25" t="inlineStr">
        <is>
          <t>Golpe / Caída</t>
        </is>
      </c>
      <c r="C66" s="25" t="inlineStr">
        <is>
          <t>¿Dejó de encender?</t>
        </is>
      </c>
      <c r="D66" s="24" t="inlineStr">
        <is>
          <t>YNS</t>
        </is>
      </c>
      <c r="E66" s="26" t="n">
        <v>1</v>
      </c>
      <c r="F66" s="26" t="n">
        <v>1</v>
      </c>
      <c r="G66" s="26" t="n">
        <v>1</v>
      </c>
      <c r="H66" s="26" t="n">
        <v>1</v>
      </c>
      <c r="I66" s="27">
        <f>IF(C66="",0,IFERROR(INDEX($E66:$H66,MATCH('Recepción'!$C$5,$E$1:$H$1,0)),0))</f>
        <v/>
      </c>
      <c r="J66" s="27">
        <f>IF(I66=0,0,IF(A66="S",1,IF(A66="BH",IF(COUNTIFS(A67:A501,"B",J67:J501,1)&gt;0,1,0),IF(OR(B66='Recepción'!$C$13,B66='Recepción'!$C$14,B66='Recepción'!$C$15,AND(B66="Contacto con líquido",'Recepción'!$D$29="Sí"),AND(B66="Golpe / Caída",'Recepción'!$D$28="Sí"),AND(B66="No enciende",'Recepción'!$D$31="No")),1,0))))</f>
        <v/>
      </c>
      <c r="K66" s="27">
        <f>IF(J66=1,COUNTIF($J$2:J66,1),0)</f>
        <v/>
      </c>
    </row>
    <row r="67">
      <c r="A67" s="24" t="inlineStr">
        <is>
          <t>B</t>
        </is>
      </c>
      <c r="B67" s="25" t="inlineStr">
        <is>
          <t>Golpe / Caída</t>
        </is>
      </c>
      <c r="C67" s="25" t="inlineStr">
        <is>
          <t>¿Cayó con la pantalla abierta o cerrada? (laptop)</t>
        </is>
      </c>
      <c r="D67" s="24" t="inlineStr">
        <is>
          <t>ABCE</t>
        </is>
      </c>
      <c r="E67" s="26" t="n">
        <v>0</v>
      </c>
      <c r="F67" s="26" t="n">
        <v>0</v>
      </c>
      <c r="G67" s="26" t="n">
        <v>1</v>
      </c>
      <c r="H67" s="26" t="n">
        <v>0</v>
      </c>
      <c r="I67" s="27">
        <f>IF(C67="",0,IFERROR(INDEX($E67:$H67,MATCH('Recepción'!$C$5,$E$1:$H$1,0)),0))</f>
        <v/>
      </c>
      <c r="J67" s="27">
        <f>IF(I67=0,0,IF(A67="S",1,IF(A67="BH",IF(COUNTIFS(A68:A501,"B",J68:J501,1)&gt;0,1,0),IF(OR(B67='Recepción'!$C$13,B67='Recepción'!$C$14,B67='Recepción'!$C$15,AND(B67="Contacto con líquido",'Recepción'!$D$29="Sí"),AND(B67="Golpe / Caída",'Recepción'!$D$28="Sí"),AND(B67="No enciende",'Recepción'!$D$31="No")),1,0))))</f>
        <v/>
      </c>
      <c r="K67" s="27">
        <f>IF(J67=1,COUNTIF($J$2:J67,1),0)</f>
        <v/>
      </c>
    </row>
    <row r="68">
      <c r="A68" s="24" t="inlineStr">
        <is>
          <t>B</t>
        </is>
      </c>
      <c r="B68" s="25" t="inlineStr">
        <is>
          <t>Golpe / Caída</t>
        </is>
      </c>
      <c r="C68" s="25" t="inlineStr">
        <is>
          <t>¿Tenía un disco dentro de la consola al caer?</t>
        </is>
      </c>
      <c r="D68" s="24" t="inlineStr">
        <is>
          <t>YNS</t>
        </is>
      </c>
      <c r="E68" s="26" t="n">
        <v>0</v>
      </c>
      <c r="F68" s="26" t="n">
        <v>0</v>
      </c>
      <c r="G68" s="26" t="n">
        <v>0</v>
      </c>
      <c r="H68" s="26" t="n">
        <v>1</v>
      </c>
      <c r="I68" s="27">
        <f>IF(C68="",0,IFERROR(INDEX($E68:$H68,MATCH('Recepción'!$C$5,$E$1:$H$1,0)),0))</f>
        <v/>
      </c>
      <c r="J68" s="27">
        <f>IF(I68=0,0,IF(A68="S",1,IF(A68="BH",IF(COUNTIFS(A69:A501,"B",J69:J501,1)&gt;0,1,0),IF(OR(B68='Recepción'!$C$13,B68='Recepción'!$C$14,B68='Recepción'!$C$15,AND(B68="Contacto con líquido",'Recepción'!$D$29="Sí"),AND(B68="Golpe / Caída",'Recepción'!$D$28="Sí"),AND(B68="No enciende",'Recepción'!$D$31="No")),1,0))))</f>
        <v/>
      </c>
      <c r="K68" s="27">
        <f>IF(J68=1,COUNTIF($J$2:J68,1),0)</f>
        <v/>
      </c>
    </row>
    <row r="69">
      <c r="A69" s="24" t="inlineStr">
        <is>
          <t>B</t>
        </is>
      </c>
      <c r="B69" s="25" t="inlineStr">
        <is>
          <t>Golpe / Caída</t>
        </is>
      </c>
      <c r="C69" s="25" t="inlineStr">
        <is>
          <t>¿En qué zona recibió el impacto?</t>
        </is>
      </c>
      <c r="D69" s="24" t="inlineStr">
        <is>
          <t>ZONAI</t>
        </is>
      </c>
      <c r="E69" s="26" t="n">
        <v>1</v>
      </c>
      <c r="F69" s="26" t="n">
        <v>1</v>
      </c>
      <c r="G69" s="26" t="n">
        <v>1</v>
      </c>
      <c r="H69" s="26" t="n">
        <v>1</v>
      </c>
      <c r="I69" s="27">
        <f>IF(C69="",0,IFERROR(INDEX($E69:$H69,MATCH('Recepción'!$C$5,$E$1:$H$1,0)),0))</f>
        <v/>
      </c>
      <c r="J69" s="27">
        <f>IF(I69=0,0,IF(A69="S",1,IF(A69="BH",IF(COUNTIFS(A70:A501,"B",J70:J501,1)&gt;0,1,0),IF(OR(B69='Recepción'!$C$13,B69='Recepción'!$C$14,B69='Recepción'!$C$15,AND(B69="Contacto con líquido",'Recepción'!$D$29="Sí"),AND(B69="Golpe / Caída",'Recepción'!$D$28="Sí"),AND(B69="No enciende",'Recepción'!$D$31="No")),1,0))))</f>
        <v/>
      </c>
      <c r="K69" s="27">
        <f>IF(J69=1,COUNTIF($J$2:J69,1),0)</f>
        <v/>
      </c>
    </row>
    <row r="70">
      <c r="A70" s="24" t="inlineStr">
        <is>
          <t>B</t>
        </is>
      </c>
      <c r="B70" s="25" t="inlineStr">
        <is>
          <t>Pantalla / Imagen</t>
        </is>
      </c>
      <c r="C70" s="25" t="inlineStr">
        <is>
          <t>¿Pantalla quebrada?</t>
        </is>
      </c>
      <c r="D70" s="24" t="inlineStr">
        <is>
          <t>YNS</t>
        </is>
      </c>
      <c r="E70" s="26" t="n">
        <v>1</v>
      </c>
      <c r="F70" s="26" t="n">
        <v>1</v>
      </c>
      <c r="G70" s="26" t="n">
        <v>1</v>
      </c>
      <c r="H70" s="26" t="n">
        <v>0</v>
      </c>
      <c r="I70" s="27">
        <f>IF(C70="",0,IFERROR(INDEX($E70:$H70,MATCH('Recepción'!$C$5,$E$1:$H$1,0)),0))</f>
        <v/>
      </c>
      <c r="J70" s="27">
        <f>IF(I70=0,0,IF(A70="S",1,IF(A70="BH",IF(COUNTIFS(A71:A501,"B",J71:J501,1)&gt;0,1,0),IF(OR(B70='Recepción'!$C$13,B70='Recepción'!$C$14,B70='Recepción'!$C$15,AND(B70="Contacto con líquido",'Recepción'!$D$29="Sí"),AND(B70="Golpe / Caída",'Recepción'!$D$28="Sí"),AND(B70="No enciende",'Recepción'!$D$31="No")),1,0))))</f>
        <v/>
      </c>
      <c r="K70" s="27">
        <f>IF(J70=1,COUNTIF($J$2:J70,1),0)</f>
        <v/>
      </c>
    </row>
    <row r="71">
      <c r="A71" s="24" t="inlineStr">
        <is>
          <t>B</t>
        </is>
      </c>
      <c r="B71" s="25" t="inlineStr">
        <is>
          <t>Pantalla / Imagen</t>
        </is>
      </c>
      <c r="C71" s="25" t="inlineStr">
        <is>
          <t>¿Sin imagen?</t>
        </is>
      </c>
      <c r="D71" s="24" t="inlineStr">
        <is>
          <t>YNS</t>
        </is>
      </c>
      <c r="E71" s="26" t="n">
        <v>1</v>
      </c>
      <c r="F71" s="26" t="n">
        <v>1</v>
      </c>
      <c r="G71" s="26" t="n">
        <v>1</v>
      </c>
      <c r="H71" s="26" t="n">
        <v>1</v>
      </c>
      <c r="I71" s="27">
        <f>IF(C71="",0,IFERROR(INDEX($E71:$H71,MATCH('Recepción'!$C$5,$E$1:$H$1,0)),0))</f>
        <v/>
      </c>
      <c r="J71" s="27">
        <f>IF(I71=0,0,IF(A71="S",1,IF(A71="BH",IF(COUNTIFS(A72:A501,"B",J72:J501,1)&gt;0,1,0),IF(OR(B71='Recepción'!$C$13,B71='Recepción'!$C$14,B71='Recepción'!$C$15,AND(B71="Contacto con líquido",'Recepción'!$D$29="Sí"),AND(B71="Golpe / Caída",'Recepción'!$D$28="Sí"),AND(B71="No enciende",'Recepción'!$D$31="No")),1,0))))</f>
        <v/>
      </c>
      <c r="K71" s="27">
        <f>IF(J71=1,COUNTIF($J$2:J71,1),0)</f>
        <v/>
      </c>
    </row>
    <row r="72">
      <c r="A72" s="24" t="inlineStr">
        <is>
          <t>B</t>
        </is>
      </c>
      <c r="B72" s="25" t="inlineStr">
        <is>
          <t>Pantalla / Imagen</t>
        </is>
      </c>
      <c r="C72" s="25" t="inlineStr">
        <is>
          <t>¿Imagen intermitente?</t>
        </is>
      </c>
      <c r="D72" s="24" t="inlineStr">
        <is>
          <t>YNS</t>
        </is>
      </c>
      <c r="E72" s="26" t="n">
        <v>1</v>
      </c>
      <c r="F72" s="26" t="n">
        <v>1</v>
      </c>
      <c r="G72" s="26" t="n">
        <v>1</v>
      </c>
      <c r="H72" s="26" t="n">
        <v>1</v>
      </c>
      <c r="I72" s="27">
        <f>IF(C72="",0,IFERROR(INDEX($E72:$H72,MATCH('Recepción'!$C$5,$E$1:$H$1,0)),0))</f>
        <v/>
      </c>
      <c r="J72" s="27">
        <f>IF(I72=0,0,IF(A72="S",1,IF(A72="BH",IF(COUNTIFS(A73:A501,"B",J73:J501,1)&gt;0,1,0),IF(OR(B72='Recepción'!$C$13,B72='Recepción'!$C$14,B72='Recepción'!$C$15,AND(B72="Contacto con líquido",'Recepción'!$D$29="Sí"),AND(B72="Golpe / Caída",'Recepción'!$D$28="Sí"),AND(B72="No enciende",'Recepción'!$D$31="No")),1,0))))</f>
        <v/>
      </c>
      <c r="K72" s="27">
        <f>IF(J72=1,COUNTIF($J$2:J72,1),0)</f>
        <v/>
      </c>
    </row>
    <row r="73">
      <c r="A73" s="24" t="inlineStr">
        <is>
          <t>B</t>
        </is>
      </c>
      <c r="B73" s="25" t="inlineStr">
        <is>
          <t>Pantalla / Imagen</t>
        </is>
      </c>
      <c r="C73" s="25" t="inlineStr">
        <is>
          <t>¿Líneas en la imagen?</t>
        </is>
      </c>
      <c r="D73" s="24" t="inlineStr">
        <is>
          <t>YNS</t>
        </is>
      </c>
      <c r="E73" s="26" t="n">
        <v>1</v>
      </c>
      <c r="F73" s="26" t="n">
        <v>1</v>
      </c>
      <c r="G73" s="26" t="n">
        <v>1</v>
      </c>
      <c r="H73" s="26" t="n">
        <v>1</v>
      </c>
      <c r="I73" s="27">
        <f>IF(C73="",0,IFERROR(INDEX($E73:$H73,MATCH('Recepción'!$C$5,$E$1:$H$1,0)),0))</f>
        <v/>
      </c>
      <c r="J73" s="27">
        <f>IF(I73=0,0,IF(A73="S",1,IF(A73="BH",IF(COUNTIFS(A74:A501,"B",J74:J501,1)&gt;0,1,0),IF(OR(B73='Recepción'!$C$13,B73='Recepción'!$C$14,B73='Recepción'!$C$15,AND(B73="Contacto con líquido",'Recepción'!$D$29="Sí"),AND(B73="Golpe / Caída",'Recepción'!$D$28="Sí"),AND(B73="No enciende",'Recepción'!$D$31="No")),1,0))))</f>
        <v/>
      </c>
      <c r="K73" s="27">
        <f>IF(J73=1,COUNTIF($J$2:J73,1),0)</f>
        <v/>
      </c>
    </row>
    <row r="74">
      <c r="A74" s="24" t="inlineStr">
        <is>
          <t>B</t>
        </is>
      </c>
      <c r="B74" s="25" t="inlineStr">
        <is>
          <t>Pantalla / Imagen</t>
        </is>
      </c>
      <c r="C74" s="25" t="inlineStr">
        <is>
          <t>¿Manchas?</t>
        </is>
      </c>
      <c r="D74" s="24" t="inlineStr">
        <is>
          <t>YNS</t>
        </is>
      </c>
      <c r="E74" s="26" t="n">
        <v>1</v>
      </c>
      <c r="F74" s="26" t="n">
        <v>1</v>
      </c>
      <c r="G74" s="26" t="n">
        <v>1</v>
      </c>
      <c r="H74" s="26" t="n">
        <v>0</v>
      </c>
      <c r="I74" s="27">
        <f>IF(C74="",0,IFERROR(INDEX($E74:$H74,MATCH('Recepción'!$C$5,$E$1:$H$1,0)),0))</f>
        <v/>
      </c>
      <c r="J74" s="27">
        <f>IF(I74=0,0,IF(A74="S",1,IF(A74="BH",IF(COUNTIFS(A75:A501,"B",J75:J501,1)&gt;0,1,0),IF(OR(B74='Recepción'!$C$13,B74='Recepción'!$C$14,B74='Recepción'!$C$15,AND(B74="Contacto con líquido",'Recepción'!$D$29="Sí"),AND(B74="Golpe / Caída",'Recepción'!$D$28="Sí"),AND(B74="No enciende",'Recepción'!$D$31="No")),1,0))))</f>
        <v/>
      </c>
      <c r="K74" s="27">
        <f>IF(J74=1,COUNTIF($J$2:J74,1),0)</f>
        <v/>
      </c>
    </row>
    <row r="75">
      <c r="A75" s="24" t="inlineStr">
        <is>
          <t>B</t>
        </is>
      </c>
      <c r="B75" s="25" t="inlineStr">
        <is>
          <t>Pantalla / Imagen</t>
        </is>
      </c>
      <c r="C75" s="25" t="inlineStr">
        <is>
          <t>¿Parpadeo?</t>
        </is>
      </c>
      <c r="D75" s="24" t="inlineStr">
        <is>
          <t>YNS</t>
        </is>
      </c>
      <c r="E75" s="26" t="n">
        <v>1</v>
      </c>
      <c r="F75" s="26" t="n">
        <v>1</v>
      </c>
      <c r="G75" s="26" t="n">
        <v>1</v>
      </c>
      <c r="H75" s="26" t="n">
        <v>1</v>
      </c>
      <c r="I75" s="27">
        <f>IF(C75="",0,IFERROR(INDEX($E75:$H75,MATCH('Recepción'!$C$5,$E$1:$H$1,0)),0))</f>
        <v/>
      </c>
      <c r="J75" s="27">
        <f>IF(I75=0,0,IF(A75="S",1,IF(A75="BH",IF(COUNTIFS(A76:A501,"B",J76:J501,1)&gt;0,1,0),IF(OR(B75='Recepción'!$C$13,B75='Recepción'!$C$14,B75='Recepción'!$C$15,AND(B75="Contacto con líquido",'Recepción'!$D$29="Sí"),AND(B75="Golpe / Caída",'Recepción'!$D$28="Sí"),AND(B75="No enciende",'Recepción'!$D$31="No")),1,0))))</f>
        <v/>
      </c>
      <c r="K75" s="27">
        <f>IF(J75=1,COUNTIF($J$2:J75,1),0)</f>
        <v/>
      </c>
    </row>
    <row r="76">
      <c r="A76" s="24" t="inlineStr">
        <is>
          <t>B</t>
        </is>
      </c>
      <c r="B76" s="25" t="inlineStr">
        <is>
          <t>Pantalla / Imagen</t>
        </is>
      </c>
      <c r="C76" s="25" t="inlineStr">
        <is>
          <t>¿Sombra?</t>
        </is>
      </c>
      <c r="D76" s="24" t="inlineStr">
        <is>
          <t>YNS</t>
        </is>
      </c>
      <c r="E76" s="26" t="n">
        <v>1</v>
      </c>
      <c r="F76" s="26" t="n">
        <v>1</v>
      </c>
      <c r="G76" s="26" t="n">
        <v>1</v>
      </c>
      <c r="H76" s="26" t="n">
        <v>0</v>
      </c>
      <c r="I76" s="27">
        <f>IF(C76="",0,IFERROR(INDEX($E76:$H76,MATCH('Recepción'!$C$5,$E$1:$H$1,0)),0))</f>
        <v/>
      </c>
      <c r="J76" s="27">
        <f>IF(I76=0,0,IF(A76="S",1,IF(A76="BH",IF(COUNTIFS(A77:A501,"B",J77:J501,1)&gt;0,1,0),IF(OR(B76='Recepción'!$C$13,B76='Recepción'!$C$14,B76='Recepción'!$C$15,AND(B76="Contacto con líquido",'Recepción'!$D$29="Sí"),AND(B76="Golpe / Caída",'Recepción'!$D$28="Sí"),AND(B76="No enciende",'Recepción'!$D$31="No")),1,0))))</f>
        <v/>
      </c>
      <c r="K76" s="27">
        <f>IF(J76=1,COUNTIF($J$2:J76,1),0)</f>
        <v/>
      </c>
    </row>
    <row r="77">
      <c r="A77" s="24" t="inlineStr">
        <is>
          <t>B</t>
        </is>
      </c>
      <c r="B77" s="25" t="inlineStr">
        <is>
          <t>Pantalla / Imagen</t>
        </is>
      </c>
      <c r="C77" s="25" t="inlineStr">
        <is>
          <t>¿Imagen distorsionada?</t>
        </is>
      </c>
      <c r="D77" s="24" t="inlineStr">
        <is>
          <t>YNS</t>
        </is>
      </c>
      <c r="E77" s="26" t="n">
        <v>1</v>
      </c>
      <c r="F77" s="26" t="n">
        <v>1</v>
      </c>
      <c r="G77" s="26" t="n">
        <v>1</v>
      </c>
      <c r="H77" s="26" t="n">
        <v>1</v>
      </c>
      <c r="I77" s="27">
        <f>IF(C77="",0,IFERROR(INDEX($E77:$H77,MATCH('Recepción'!$C$5,$E$1:$H$1,0)),0))</f>
        <v/>
      </c>
      <c r="J77" s="27">
        <f>IF(I77=0,0,IF(A77="S",1,IF(A77="BH",IF(COUNTIFS(A78:A501,"B",J78:J501,1)&gt;0,1,0),IF(OR(B77='Recepción'!$C$13,B77='Recepción'!$C$14,B77='Recepción'!$C$15,AND(B77="Contacto con líquido",'Recepción'!$D$29="Sí"),AND(B77="Golpe / Caída",'Recepción'!$D$28="Sí"),AND(B77="No enciende",'Recepción'!$D$31="No")),1,0))))</f>
        <v/>
      </c>
      <c r="K77" s="27">
        <f>IF(J77=1,COUNTIF($J$2:J77,1),0)</f>
        <v/>
      </c>
    </row>
    <row r="78">
      <c r="A78" s="24" t="inlineStr">
        <is>
          <t>B</t>
        </is>
      </c>
      <c r="B78" s="25" t="inlineStr">
        <is>
          <t>Pantalla / Imagen</t>
        </is>
      </c>
      <c r="C78" s="25" t="inlineStr">
        <is>
          <t>¿El touch no funciona?</t>
        </is>
      </c>
      <c r="D78" s="24" t="inlineStr">
        <is>
          <t>YNS</t>
        </is>
      </c>
      <c r="E78" s="26" t="n">
        <v>1</v>
      </c>
      <c r="F78" s="26" t="n">
        <v>1</v>
      </c>
      <c r="G78" s="26" t="n">
        <v>0</v>
      </c>
      <c r="H78" s="26" t="n">
        <v>0</v>
      </c>
      <c r="I78" s="27">
        <f>IF(C78="",0,IFERROR(INDEX($E78:$H78,MATCH('Recepción'!$C$5,$E$1:$H$1,0)),0))</f>
        <v/>
      </c>
      <c r="J78" s="27">
        <f>IF(I78=0,0,IF(A78="S",1,IF(A78="BH",IF(COUNTIFS(A79:A501,"B",J79:J501,1)&gt;0,1,0),IF(OR(B78='Recepción'!$C$13,B78='Recepción'!$C$14,B78='Recepción'!$C$15,AND(B78="Contacto con líquido",'Recepción'!$D$29="Sí"),AND(B78="Golpe / Caída",'Recepción'!$D$28="Sí"),AND(B78="No enciende",'Recepción'!$D$31="No")),1,0))))</f>
        <v/>
      </c>
      <c r="K78" s="27">
        <f>IF(J78=1,COUNTIF($J$2:J78,1),0)</f>
        <v/>
      </c>
    </row>
    <row r="79">
      <c r="A79" s="24" t="inlineStr">
        <is>
          <t>B</t>
        </is>
      </c>
      <c r="B79" s="25" t="inlineStr">
        <is>
          <t>Pantalla / Imagen</t>
        </is>
      </c>
      <c r="C79" s="25" t="inlineStr">
        <is>
          <t>¿La imagen desaparece al mover la pantalla? (laptop)</t>
        </is>
      </c>
      <c r="D79" s="24" t="inlineStr">
        <is>
          <t>YNS</t>
        </is>
      </c>
      <c r="E79" s="26" t="n">
        <v>0</v>
      </c>
      <c r="F79" s="26" t="n">
        <v>0</v>
      </c>
      <c r="G79" s="26" t="n">
        <v>1</v>
      </c>
      <c r="H79" s="26" t="n">
        <v>0</v>
      </c>
      <c r="I79" s="27">
        <f>IF(C79="",0,IFERROR(INDEX($E79:$H79,MATCH('Recepción'!$C$5,$E$1:$H$1,0)),0))</f>
        <v/>
      </c>
      <c r="J79" s="27">
        <f>IF(I79=0,0,IF(A79="S",1,IF(A79="BH",IF(COUNTIFS(A80:A501,"B",J80:J501,1)&gt;0,1,0),IF(OR(B79='Recepción'!$C$13,B79='Recepción'!$C$14,B79='Recepción'!$C$15,AND(B79="Contacto con líquido",'Recepción'!$D$29="Sí"),AND(B79="Golpe / Caída",'Recepción'!$D$28="Sí"),AND(B79="No enciende",'Recepción'!$D$31="No")),1,0))))</f>
        <v/>
      </c>
      <c r="K79" s="27">
        <f>IF(J79=1,COUNTIF($J$2:J79,1),0)</f>
        <v/>
      </c>
    </row>
    <row r="80">
      <c r="A80" s="24" t="inlineStr">
        <is>
          <t>B</t>
        </is>
      </c>
      <c r="B80" s="25" t="inlineStr">
        <is>
          <t>Pantalla / Imagen</t>
        </is>
      </c>
      <c r="C80" s="25" t="inlineStr">
        <is>
          <t>¿Se ve imagen en un monitor o TV externo?</t>
        </is>
      </c>
      <c r="D80" s="24" t="inlineStr">
        <is>
          <t>YNS</t>
        </is>
      </c>
      <c r="E80" s="26" t="n">
        <v>0</v>
      </c>
      <c r="F80" s="26" t="n">
        <v>0</v>
      </c>
      <c r="G80" s="26" t="n">
        <v>1</v>
      </c>
      <c r="H80" s="26" t="n">
        <v>0</v>
      </c>
      <c r="I80" s="27">
        <f>IF(C80="",0,IFERROR(INDEX($E80:$H80,MATCH('Recepción'!$C$5,$E$1:$H$1,0)),0))</f>
        <v/>
      </c>
      <c r="J80" s="27">
        <f>IF(I80=0,0,IF(A80="S",1,IF(A80="BH",IF(COUNTIFS(A81:A501,"B",J81:J501,1)&gt;0,1,0),IF(OR(B80='Recepción'!$C$13,B80='Recepción'!$C$14,B80='Recepción'!$C$15,AND(B80="Contacto con líquido",'Recepción'!$D$29="Sí"),AND(B80="Golpe / Caída",'Recepción'!$D$28="Sí"),AND(B80="No enciende",'Recepción'!$D$31="No")),1,0))))</f>
        <v/>
      </c>
      <c r="K80" s="27">
        <f>IF(J80=1,COUNTIF($J$2:J80,1),0)</f>
        <v/>
      </c>
    </row>
    <row r="81">
      <c r="A81" s="24" t="inlineStr">
        <is>
          <t>B</t>
        </is>
      </c>
      <c r="B81" s="25" t="inlineStr">
        <is>
          <t>Pantalla / Imagen</t>
        </is>
      </c>
      <c r="C81" s="25" t="inlineStr">
        <is>
          <t>¿El monitor enciende pero dice «sin señal»? (PC)</t>
        </is>
      </c>
      <c r="D81" s="24" t="inlineStr">
        <is>
          <t>YNS</t>
        </is>
      </c>
      <c r="E81" s="26" t="n">
        <v>0</v>
      </c>
      <c r="F81" s="26" t="n">
        <v>0</v>
      </c>
      <c r="G81" s="26" t="n">
        <v>1</v>
      </c>
      <c r="H81" s="26" t="n">
        <v>0</v>
      </c>
      <c r="I81" s="27">
        <f>IF(C81="",0,IFERROR(INDEX($E81:$H81,MATCH('Recepción'!$C$5,$E$1:$H$1,0)),0))</f>
        <v/>
      </c>
      <c r="J81" s="27">
        <f>IF(I81=0,0,IF(A81="S",1,IF(A81="BH",IF(COUNTIFS(A82:A501,"B",J82:J501,1)&gt;0,1,0),IF(OR(B81='Recepción'!$C$13,B81='Recepción'!$C$14,B81='Recepción'!$C$15,AND(B81="Contacto con líquido",'Recepción'!$D$29="Sí"),AND(B81="Golpe / Caída",'Recepción'!$D$28="Sí"),AND(B81="No enciende",'Recepción'!$D$31="No")),1,0))))</f>
        <v/>
      </c>
      <c r="K81" s="27">
        <f>IF(J81=1,COUNTIF($J$2:J81,1),0)</f>
        <v/>
      </c>
    </row>
    <row r="82">
      <c r="A82" s="24" t="inlineStr">
        <is>
          <t>B</t>
        </is>
      </c>
      <c r="B82" s="25" t="inlineStr">
        <is>
          <t>Pantalla / Imagen</t>
        </is>
      </c>
      <c r="C82" s="25" t="inlineStr">
        <is>
          <t>¿Ha probado con otro monitor y otro cable? (PC)</t>
        </is>
      </c>
      <c r="D82" s="24" t="inlineStr">
        <is>
          <t>YNS</t>
        </is>
      </c>
      <c r="E82" s="26" t="n">
        <v>0</v>
      </c>
      <c r="F82" s="26" t="n">
        <v>0</v>
      </c>
      <c r="G82" s="26" t="n">
        <v>1</v>
      </c>
      <c r="H82" s="26" t="n">
        <v>0</v>
      </c>
      <c r="I82" s="27">
        <f>IF(C82="",0,IFERROR(INDEX($E82:$H82,MATCH('Recepción'!$C$5,$E$1:$H$1,0)),0))</f>
        <v/>
      </c>
      <c r="J82" s="27">
        <f>IF(I82=0,0,IF(A82="S",1,IF(A82="BH",IF(COUNTIFS(A83:A501,"B",J83:J501,1)&gt;0,1,0),IF(OR(B82='Recepción'!$C$13,B82='Recepción'!$C$14,B82='Recepción'!$C$15,AND(B82="Contacto con líquido",'Recepción'!$D$29="Sí"),AND(B82="Golpe / Caída",'Recepción'!$D$28="Sí"),AND(B82="No enciende",'Recepción'!$D$31="No")),1,0))))</f>
        <v/>
      </c>
      <c r="K82" s="27">
        <f>IF(J82=1,COUNTIF($J$2:J82,1),0)</f>
        <v/>
      </c>
    </row>
    <row r="83">
      <c r="A83" s="24" t="inlineStr">
        <is>
          <t>B</t>
        </is>
      </c>
      <c r="B83" s="25" t="inlineStr">
        <is>
          <t>Pantalla / Imagen</t>
        </is>
      </c>
      <c r="C83" s="25" t="inlineStr">
        <is>
          <t>¿Ha probado otro cable HDMI y otro puerto del televisor?</t>
        </is>
      </c>
      <c r="D83" s="24" t="inlineStr">
        <is>
          <t>YNS</t>
        </is>
      </c>
      <c r="E83" s="26" t="n">
        <v>0</v>
      </c>
      <c r="F83" s="26" t="n">
        <v>0</v>
      </c>
      <c r="G83" s="26" t="n">
        <v>0</v>
      </c>
      <c r="H83" s="26" t="n">
        <v>1</v>
      </c>
      <c r="I83" s="27">
        <f>IF(C83="",0,IFERROR(INDEX($E83:$H83,MATCH('Recepción'!$C$5,$E$1:$H$1,0)),0))</f>
        <v/>
      </c>
      <c r="J83" s="27">
        <f>IF(I83=0,0,IF(A83="S",1,IF(A83="BH",IF(COUNTIFS(A84:A501,"B",J84:J501,1)&gt;0,1,0),IF(OR(B83='Recepción'!$C$13,B83='Recepción'!$C$14,B83='Recepción'!$C$15,AND(B83="Contacto con líquido",'Recepción'!$D$29="Sí"),AND(B83="Golpe / Caída",'Recepción'!$D$28="Sí"),AND(B83="No enciende",'Recepción'!$D$31="No")),1,0))))</f>
        <v/>
      </c>
      <c r="K83" s="27">
        <f>IF(J83=1,COUNTIF($J$2:J83,1),0)</f>
        <v/>
      </c>
    </row>
    <row r="84">
      <c r="A84" s="24" t="inlineStr">
        <is>
          <t>B</t>
        </is>
      </c>
      <c r="B84" s="25" t="inlineStr">
        <is>
          <t>Pantalla / Imagen</t>
        </is>
      </c>
      <c r="C84" s="25" t="inlineStr">
        <is>
          <t>¿Sale imagen pero sin sonido?</t>
        </is>
      </c>
      <c r="D84" s="24" t="inlineStr">
        <is>
          <t>YNS</t>
        </is>
      </c>
      <c r="E84" s="26" t="n">
        <v>0</v>
      </c>
      <c r="F84" s="26" t="n">
        <v>0</v>
      </c>
      <c r="G84" s="26" t="n">
        <v>0</v>
      </c>
      <c r="H84" s="26" t="n">
        <v>1</v>
      </c>
      <c r="I84" s="27">
        <f>IF(C84="",0,IFERROR(INDEX($E84:$H84,MATCH('Recepción'!$C$5,$E$1:$H$1,0)),0))</f>
        <v/>
      </c>
      <c r="J84" s="27">
        <f>IF(I84=0,0,IF(A84="S",1,IF(A84="BH",IF(COUNTIFS(A85:A501,"B",J85:J501,1)&gt;0,1,0),IF(OR(B84='Recepción'!$C$13,B84='Recepción'!$C$14,B84='Recepción'!$C$15,AND(B84="Contacto con líquido",'Recepción'!$D$29="Sí"),AND(B84="Golpe / Caída",'Recepción'!$D$28="Sí"),AND(B84="No enciende",'Recepción'!$D$31="No")),1,0))))</f>
        <v/>
      </c>
      <c r="K84" s="27">
        <f>IF(J84=1,COUNTIF($J$2:J84,1),0)</f>
        <v/>
      </c>
    </row>
    <row r="85">
      <c r="A85" s="24" t="inlineStr">
        <is>
          <t>B</t>
        </is>
      </c>
      <c r="B85" s="25" t="inlineStr">
        <is>
          <t>Pantalla / Imagen</t>
        </is>
      </c>
      <c r="C85" s="25" t="inlineStr">
        <is>
          <t>¿La luz de la consola enciende pero no hay señal en pantalla?</t>
        </is>
      </c>
      <c r="D85" s="24" t="inlineStr">
        <is>
          <t>YNS</t>
        </is>
      </c>
      <c r="E85" s="26" t="n">
        <v>0</v>
      </c>
      <c r="F85" s="26" t="n">
        <v>0</v>
      </c>
      <c r="G85" s="26" t="n">
        <v>0</v>
      </c>
      <c r="H85" s="26" t="n">
        <v>1</v>
      </c>
      <c r="I85" s="27">
        <f>IF(C85="",0,IFERROR(INDEX($E85:$H85,MATCH('Recepción'!$C$5,$E$1:$H$1,0)),0))</f>
        <v/>
      </c>
      <c r="J85" s="27">
        <f>IF(I85=0,0,IF(A85="S",1,IF(A85="BH",IF(COUNTIFS(A86:A501,"B",J86:J501,1)&gt;0,1,0),IF(OR(B85='Recepción'!$C$13,B85='Recepción'!$C$14,B85='Recepción'!$C$15,AND(B85="Contacto con líquido",'Recepción'!$D$29="Sí"),AND(B85="Golpe / Caída",'Recepción'!$D$28="Sí"),AND(B85="No enciende",'Recepción'!$D$31="No")),1,0))))</f>
        <v/>
      </c>
      <c r="K85" s="27">
        <f>IF(J85=1,COUNTIF($J$2:J85,1),0)</f>
        <v/>
      </c>
    </row>
    <row r="86">
      <c r="A86" s="24" t="inlineStr">
        <is>
          <t>B</t>
        </is>
      </c>
      <c r="B86" s="25" t="inlineStr">
        <is>
          <t>Pantalla / Imagen</t>
        </is>
      </c>
      <c r="C86" s="25" t="inlineStr">
        <is>
          <t>¿Ocurrió después de un golpe o caída?</t>
        </is>
      </c>
      <c r="D86" s="24" t="inlineStr">
        <is>
          <t>YNS</t>
        </is>
      </c>
      <c r="E86" s="26" t="n">
        <v>1</v>
      </c>
      <c r="F86" s="26" t="n">
        <v>1</v>
      </c>
      <c r="G86" s="26" t="n">
        <v>1</v>
      </c>
      <c r="H86" s="26" t="n">
        <v>1</v>
      </c>
      <c r="I86" s="27">
        <f>IF(C86="",0,IFERROR(INDEX($E86:$H86,MATCH('Recepción'!$C$5,$E$1:$H$1,0)),0))</f>
        <v/>
      </c>
      <c r="J86" s="27">
        <f>IF(I86=0,0,IF(A86="S",1,IF(A86="BH",IF(COUNTIFS(A87:A501,"B",J87:J501,1)&gt;0,1,0),IF(OR(B86='Recepción'!$C$13,B86='Recepción'!$C$14,B86='Recepción'!$C$15,AND(B86="Contacto con líquido",'Recepción'!$D$29="Sí"),AND(B86="Golpe / Caída",'Recepción'!$D$28="Sí"),AND(B86="No enciende",'Recepción'!$D$31="No")),1,0))))</f>
        <v/>
      </c>
      <c r="K86" s="27">
        <f>IF(J86=1,COUNTIF($J$2:J86,1),0)</f>
        <v/>
      </c>
    </row>
    <row r="87">
      <c r="A87" s="24" t="inlineStr">
        <is>
          <t>B</t>
        </is>
      </c>
      <c r="B87" s="25" t="inlineStr">
        <is>
          <t>Lentitud / Sistema</t>
        </is>
      </c>
      <c r="C87" s="25" t="inlineStr">
        <is>
          <t>¿Desde cuándo comenzó la lentitud o el problema?</t>
        </is>
      </c>
      <c r="D87" s="24" t="inlineStr">
        <is>
          <t>DESDE</t>
        </is>
      </c>
      <c r="E87" s="26" t="n">
        <v>1</v>
      </c>
      <c r="F87" s="26" t="n">
        <v>1</v>
      </c>
      <c r="G87" s="26" t="n">
        <v>1</v>
      </c>
      <c r="H87" s="26" t="n">
        <v>1</v>
      </c>
      <c r="I87" s="27">
        <f>IF(C87="",0,IFERROR(INDEX($E87:$H87,MATCH('Recepción'!$C$5,$E$1:$H$1,0)),0))</f>
        <v/>
      </c>
      <c r="J87" s="27">
        <f>IF(I87=0,0,IF(A87="S",1,IF(A87="BH",IF(COUNTIFS(A88:A501,"B",J88:J501,1)&gt;0,1,0),IF(OR(B87='Recepción'!$C$13,B87='Recepción'!$C$14,B87='Recepción'!$C$15,AND(B87="Contacto con líquido",'Recepción'!$D$29="Sí"),AND(B87="Golpe / Caída",'Recepción'!$D$28="Sí"),AND(B87="No enciende",'Recepción'!$D$31="No")),1,0))))</f>
        <v/>
      </c>
      <c r="K87" s="27">
        <f>IF(J87=1,COUNTIF($J$2:J87,1),0)</f>
        <v/>
      </c>
    </row>
    <row r="88">
      <c r="A88" s="24" t="inlineStr">
        <is>
          <t>B</t>
        </is>
      </c>
      <c r="B88" s="25" t="inlineStr">
        <is>
          <t>Lentitud / Sistema</t>
        </is>
      </c>
      <c r="C88" s="25" t="inlineStr">
        <is>
          <t>¿Tarda demasiado en encender?</t>
        </is>
      </c>
      <c r="D88" s="24" t="inlineStr">
        <is>
          <t>YNS</t>
        </is>
      </c>
      <c r="E88" s="26" t="n">
        <v>1</v>
      </c>
      <c r="F88" s="26" t="n">
        <v>0</v>
      </c>
      <c r="G88" s="26" t="n">
        <v>1</v>
      </c>
      <c r="H88" s="26" t="n">
        <v>0</v>
      </c>
      <c r="I88" s="27">
        <f>IF(C88="",0,IFERROR(INDEX($E88:$H88,MATCH('Recepción'!$C$5,$E$1:$H$1,0)),0))</f>
        <v/>
      </c>
      <c r="J88" s="27">
        <f>IF(I88=0,0,IF(A88="S",1,IF(A88="BH",IF(COUNTIFS(A89:A501,"B",J89:J501,1)&gt;0,1,0),IF(OR(B88='Recepción'!$C$13,B88='Recepción'!$C$14,B88='Recepción'!$C$15,AND(B88="Contacto con líquido",'Recepción'!$D$29="Sí"),AND(B88="Golpe / Caída",'Recepción'!$D$28="Sí"),AND(B88="No enciende",'Recepción'!$D$31="No")),1,0))))</f>
        <v/>
      </c>
      <c r="K88" s="27">
        <f>IF(J88=1,COUNTIF($J$2:J88,1),0)</f>
        <v/>
      </c>
    </row>
    <row r="89">
      <c r="A89" s="24" t="inlineStr">
        <is>
          <t>B</t>
        </is>
      </c>
      <c r="B89" s="25" t="inlineStr">
        <is>
          <t>Lentitud / Sistema</t>
        </is>
      </c>
      <c r="C89" s="25" t="inlineStr">
        <is>
          <t>¿Se congela?</t>
        </is>
      </c>
      <c r="D89" s="24" t="inlineStr">
        <is>
          <t>YNS</t>
        </is>
      </c>
      <c r="E89" s="26" t="n">
        <v>1</v>
      </c>
      <c r="F89" s="26" t="n">
        <v>1</v>
      </c>
      <c r="G89" s="26" t="n">
        <v>1</v>
      </c>
      <c r="H89" s="26" t="n">
        <v>1</v>
      </c>
      <c r="I89" s="27">
        <f>IF(C89="",0,IFERROR(INDEX($E89:$H89,MATCH('Recepción'!$C$5,$E$1:$H$1,0)),0))</f>
        <v/>
      </c>
      <c r="J89" s="27">
        <f>IF(I89=0,0,IF(A89="S",1,IF(A89="BH",IF(COUNTIFS(A90:A501,"B",J90:J501,1)&gt;0,1,0),IF(OR(B89='Recepción'!$C$13,B89='Recepción'!$C$14,B89='Recepción'!$C$15,AND(B89="Contacto con líquido",'Recepción'!$D$29="Sí"),AND(B89="Golpe / Caída",'Recepción'!$D$28="Sí"),AND(B89="No enciende",'Recepción'!$D$31="No")),1,0))))</f>
        <v/>
      </c>
      <c r="K89" s="27">
        <f>IF(J89=1,COUNTIF($J$2:J89,1),0)</f>
        <v/>
      </c>
    </row>
    <row r="90">
      <c r="A90" s="24" t="inlineStr">
        <is>
          <t>B</t>
        </is>
      </c>
      <c r="B90" s="25" t="inlineStr">
        <is>
          <t>Lentitud / Sistema</t>
        </is>
      </c>
      <c r="C90" s="25" t="inlineStr">
        <is>
          <t>¿Se reinicia solo?</t>
        </is>
      </c>
      <c r="D90" s="24" t="inlineStr">
        <is>
          <t>YNS</t>
        </is>
      </c>
      <c r="E90" s="26" t="n">
        <v>1</v>
      </c>
      <c r="F90" s="26" t="n">
        <v>1</v>
      </c>
      <c r="G90" s="26" t="n">
        <v>1</v>
      </c>
      <c r="H90" s="26" t="n">
        <v>1</v>
      </c>
      <c r="I90" s="27">
        <f>IF(C90="",0,IFERROR(INDEX($E90:$H90,MATCH('Recepción'!$C$5,$E$1:$H$1,0)),0))</f>
        <v/>
      </c>
      <c r="J90" s="27">
        <f>IF(I90=0,0,IF(A90="S",1,IF(A90="BH",IF(COUNTIFS(A91:A501,"B",J91:J501,1)&gt;0,1,0),IF(OR(B90='Recepción'!$C$13,B90='Recepción'!$C$14,B90='Recepción'!$C$15,AND(B90="Contacto con líquido",'Recepción'!$D$29="Sí"),AND(B90="Golpe / Caída",'Recepción'!$D$28="Sí"),AND(B90="No enciende",'Recepción'!$D$31="No")),1,0))))</f>
        <v/>
      </c>
      <c r="K90" s="27">
        <f>IF(J90=1,COUNTIF($J$2:J90,1),0)</f>
        <v/>
      </c>
    </row>
    <row r="91">
      <c r="A91" s="24" t="inlineStr">
        <is>
          <t>B</t>
        </is>
      </c>
      <c r="B91" s="25" t="inlineStr">
        <is>
          <t>Lentitud / Sistema</t>
        </is>
      </c>
      <c r="C91" s="25" t="inlineStr">
        <is>
          <t>¿Presenta pantalla azul o error?</t>
        </is>
      </c>
      <c r="D91" s="24" t="inlineStr">
        <is>
          <t>YNS</t>
        </is>
      </c>
      <c r="E91" s="26" t="n">
        <v>0</v>
      </c>
      <c r="F91" s="26" t="n">
        <v>0</v>
      </c>
      <c r="G91" s="26" t="n">
        <v>1</v>
      </c>
      <c r="H91" s="26" t="n">
        <v>0</v>
      </c>
      <c r="I91" s="27">
        <f>IF(C91="",0,IFERROR(INDEX($E91:$H91,MATCH('Recepción'!$C$5,$E$1:$H$1,0)),0))</f>
        <v/>
      </c>
      <c r="J91" s="27">
        <f>IF(I91=0,0,IF(A91="S",1,IF(A91="BH",IF(COUNTIFS(A92:A501,"B",J92:J501,1)&gt;0,1,0),IF(OR(B91='Recepción'!$C$13,B91='Recepción'!$C$14,B91='Recepción'!$C$15,AND(B91="Contacto con líquido",'Recepción'!$D$29="Sí"),AND(B91="Golpe / Caída",'Recepción'!$D$28="Sí"),AND(B91="No enciende",'Recepción'!$D$31="No")),1,0))))</f>
        <v/>
      </c>
      <c r="K91" s="27">
        <f>IF(J91=1,COUNTIF($J$2:J91,1),0)</f>
        <v/>
      </c>
    </row>
    <row r="92">
      <c r="A92" s="24" t="inlineStr">
        <is>
          <t>B</t>
        </is>
      </c>
      <c r="B92" s="25" t="inlineStr">
        <is>
          <t>Lentitud / Sistema</t>
        </is>
      </c>
      <c r="C92" s="25" t="inlineStr">
        <is>
          <t>¿Muestra signo de prohibido, pantalla gris o reinicio por error? (Mac)</t>
        </is>
      </c>
      <c r="D92" s="24" t="inlineStr">
        <is>
          <t>YNS</t>
        </is>
      </c>
      <c r="E92" s="26" t="n">
        <v>0</v>
      </c>
      <c r="F92" s="26" t="n">
        <v>0</v>
      </c>
      <c r="G92" s="26" t="n">
        <v>1</v>
      </c>
      <c r="H92" s="26" t="n">
        <v>0</v>
      </c>
      <c r="I92" s="27">
        <f>IF(C92="",0,IFERROR(INDEX($E92:$H92,MATCH('Recepción'!$C$5,$E$1:$H$1,0)),0))</f>
        <v/>
      </c>
      <c r="J92" s="27">
        <f>IF(I92=0,0,IF(A92="S",1,IF(A92="BH",IF(COUNTIFS(A93:A501,"B",J93:J501,1)&gt;0,1,0),IF(OR(B92='Recepción'!$C$13,B92='Recepción'!$C$14,B92='Recepción'!$C$15,AND(B92="Contacto con líquido",'Recepción'!$D$29="Sí"),AND(B92="Golpe / Caída",'Recepción'!$D$28="Sí"),AND(B92="No enciende",'Recepción'!$D$31="No")),1,0))))</f>
        <v/>
      </c>
      <c r="K92" s="27">
        <f>IF(J92=1,COUNTIF($J$2:J92,1),0)</f>
        <v/>
      </c>
    </row>
    <row r="93">
      <c r="A93" s="24" t="inlineStr">
        <is>
          <t>B</t>
        </is>
      </c>
      <c r="B93" s="25" t="inlineStr">
        <is>
          <t>Lentitud / Sistema</t>
        </is>
      </c>
      <c r="C93" s="25" t="inlineStr">
        <is>
          <t>¿Qué tipo de error aparece en la consola?</t>
        </is>
      </c>
      <c r="D93" s="24" t="inlineStr">
        <is>
          <t>ERR</t>
        </is>
      </c>
      <c r="E93" s="26" t="n">
        <v>0</v>
      </c>
      <c r="F93" s="26" t="n">
        <v>0</v>
      </c>
      <c r="G93" s="26" t="n">
        <v>0</v>
      </c>
      <c r="H93" s="26" t="n">
        <v>1</v>
      </c>
      <c r="I93" s="27">
        <f>IF(C93="",0,IFERROR(INDEX($E93:$H93,MATCH('Recepción'!$C$5,$E$1:$H$1,0)),0))</f>
        <v/>
      </c>
      <c r="J93" s="27">
        <f>IF(I93=0,0,IF(A93="S",1,IF(A93="BH",IF(COUNTIFS(A94:A501,"B",J94:J501,1)&gt;0,1,0),IF(OR(B93='Recepción'!$C$13,B93='Recepción'!$C$14,B93='Recepción'!$C$15,AND(B93="Contacto con líquido",'Recepción'!$D$29="Sí"),AND(B93="Golpe / Caída",'Recepción'!$D$28="Sí"),AND(B93="No enciende",'Recepción'!$D$31="No")),1,0))))</f>
        <v/>
      </c>
      <c r="K93" s="27">
        <f>IF(J93=1,COUNTIF($J$2:J93,1),0)</f>
        <v/>
      </c>
    </row>
    <row r="94">
      <c r="A94" s="24" t="inlineStr">
        <is>
          <t>B</t>
        </is>
      </c>
      <c r="B94" s="25" t="inlineStr">
        <is>
          <t>Lentitud / Sistema</t>
        </is>
      </c>
      <c r="C94" s="25" t="inlineStr">
        <is>
          <t>¿Qué programa, app o juego falla?</t>
        </is>
      </c>
      <c r="D94" s="24" t="inlineStr">
        <is>
          <t>PROG</t>
        </is>
      </c>
      <c r="E94" s="26" t="n">
        <v>1</v>
      </c>
      <c r="F94" s="26" t="n">
        <v>1</v>
      </c>
      <c r="G94" s="26" t="n">
        <v>1</v>
      </c>
      <c r="H94" s="26" t="n">
        <v>1</v>
      </c>
      <c r="I94" s="27">
        <f>IF(C94="",0,IFERROR(INDEX($E94:$H94,MATCH('Recepción'!$C$5,$E$1:$H$1,0)),0))</f>
        <v/>
      </c>
      <c r="J94" s="27">
        <f>IF(I94=0,0,IF(A94="S",1,IF(A94="BH",IF(COUNTIFS(A95:A501,"B",J95:J501,1)&gt;0,1,0),IF(OR(B94='Recepción'!$C$13,B94='Recepción'!$C$14,B94='Recepción'!$C$15,AND(B94="Contacto con líquido",'Recepción'!$D$29="Sí"),AND(B94="Golpe / Caída",'Recepción'!$D$28="Sí"),AND(B94="No enciende",'Recepción'!$D$31="No")),1,0))))</f>
        <v/>
      </c>
      <c r="K94" s="27">
        <f>IF(J94=1,COUNTIF($J$2:J94,1),0)</f>
        <v/>
      </c>
    </row>
    <row r="95">
      <c r="A95" s="24" t="inlineStr">
        <is>
          <t>B</t>
        </is>
      </c>
      <c r="B95" s="25" t="inlineStr">
        <is>
          <t>Lentitud / Sistema</t>
        </is>
      </c>
      <c r="C95" s="25" t="inlineStr">
        <is>
          <t>¿Se realizó recientemente alguna actualización?</t>
        </is>
      </c>
      <c r="D95" s="24" t="inlineStr">
        <is>
          <t>YNS</t>
        </is>
      </c>
      <c r="E95" s="26" t="n">
        <v>1</v>
      </c>
      <c r="F95" s="26" t="n">
        <v>1</v>
      </c>
      <c r="G95" s="26" t="n">
        <v>1</v>
      </c>
      <c r="H95" s="26" t="n">
        <v>1</v>
      </c>
      <c r="I95" s="27">
        <f>IF(C95="",0,IFERROR(INDEX($E95:$H95,MATCH('Recepción'!$C$5,$E$1:$H$1,0)),0))</f>
        <v/>
      </c>
      <c r="J95" s="27">
        <f>IF(I95=0,0,IF(A95="S",1,IF(A95="BH",IF(COUNTIFS(A96:A501,"B",J96:J501,1)&gt;0,1,0),IF(OR(B95='Recepción'!$C$13,B95='Recepción'!$C$14,B95='Recepción'!$C$15,AND(B95="Contacto con líquido",'Recepción'!$D$29="Sí"),AND(B95="Golpe / Caída",'Recepción'!$D$28="Sí"),AND(B95="No enciende",'Recepción'!$D$31="No")),1,0))))</f>
        <v/>
      </c>
      <c r="K95" s="27">
        <f>IF(J95=1,COUNTIF($J$2:J95,1),0)</f>
        <v/>
      </c>
    </row>
    <row r="96">
      <c r="A96" s="24" t="inlineStr">
        <is>
          <t>B</t>
        </is>
      </c>
      <c r="B96" s="25" t="inlineStr">
        <is>
          <t>Lentitud / Sistema</t>
        </is>
      </c>
      <c r="C96" s="25" t="inlineStr">
        <is>
          <t>¿Aparece «memoria llena» o tiene poco almacenamiento?</t>
        </is>
      </c>
      <c r="D96" s="24" t="inlineStr">
        <is>
          <t>YNS</t>
        </is>
      </c>
      <c r="E96" s="26" t="n">
        <v>1</v>
      </c>
      <c r="F96" s="26" t="n">
        <v>0</v>
      </c>
      <c r="G96" s="26" t="n">
        <v>0</v>
      </c>
      <c r="H96" s="26" t="n">
        <v>0</v>
      </c>
      <c r="I96" s="27">
        <f>IF(C96="",0,IFERROR(INDEX($E96:$H96,MATCH('Recepción'!$C$5,$E$1:$H$1,0)),0))</f>
        <v/>
      </c>
      <c r="J96" s="27">
        <f>IF(I96=0,0,IF(A96="S",1,IF(A96="BH",IF(COUNTIFS(A97:A501,"B",J97:J501,1)&gt;0,1,0),IF(OR(B96='Recepción'!$C$13,B96='Recepción'!$C$14,B96='Recepción'!$C$15,AND(B96="Contacto con líquido",'Recepción'!$D$29="Sí"),AND(B96="Golpe / Caída",'Recepción'!$D$28="Sí"),AND(B96="No enciende",'Recepción'!$D$31="No")),1,0))))</f>
        <v/>
      </c>
      <c r="K96" s="27">
        <f>IF(J96=1,COUNTIF($J$2:J96,1),0)</f>
        <v/>
      </c>
    </row>
    <row r="97">
      <c r="A97" s="24" t="inlineStr">
        <is>
          <t>B</t>
        </is>
      </c>
      <c r="B97" s="25" t="inlineStr">
        <is>
          <t>Lentitud / Sistema</t>
        </is>
      </c>
      <c r="C97" s="25" t="inlineStr">
        <is>
          <t>¿Las aplicaciones se cierran solas?</t>
        </is>
      </c>
      <c r="D97" s="24" t="inlineStr">
        <is>
          <t>YNS</t>
        </is>
      </c>
      <c r="E97" s="26" t="n">
        <v>1</v>
      </c>
      <c r="F97" s="26" t="n">
        <v>0</v>
      </c>
      <c r="G97" s="26" t="n">
        <v>0</v>
      </c>
      <c r="H97" s="26" t="n">
        <v>0</v>
      </c>
      <c r="I97" s="27">
        <f>IF(C97="",0,IFERROR(INDEX($E97:$H97,MATCH('Recepción'!$C$5,$E$1:$H$1,0)),0))</f>
        <v/>
      </c>
      <c r="J97" s="27">
        <f>IF(I97=0,0,IF(A97="S",1,IF(A97="BH",IF(COUNTIFS(A98:A501,"B",J98:J501,1)&gt;0,1,0),IF(OR(B97='Recepción'!$C$13,B97='Recepción'!$C$14,B97='Recepción'!$C$15,AND(B97="Contacto con líquido",'Recepción'!$D$29="Sí"),AND(B97="Golpe / Caída",'Recepción'!$D$28="Sí"),AND(B97="No enciende",'Recepción'!$D$31="No")),1,0))))</f>
        <v/>
      </c>
      <c r="K97" s="27">
        <f>IF(J97=1,COUNTIF($J$2:J97,1),0)</f>
        <v/>
      </c>
    </row>
    <row r="98">
      <c r="A98" s="24" t="inlineStr">
        <is>
          <t>B</t>
        </is>
      </c>
      <c r="B98" s="25" t="inlineStr">
        <is>
          <t>Lentitud / Sistema</t>
        </is>
      </c>
      <c r="C98" s="25" t="inlineStr">
        <is>
          <t>¿Necesita conservar los programas instalados?</t>
        </is>
      </c>
      <c r="D98" s="24" t="inlineStr">
        <is>
          <t>YNS</t>
        </is>
      </c>
      <c r="E98" s="26" t="n">
        <v>0</v>
      </c>
      <c r="F98" s="26" t="n">
        <v>0</v>
      </c>
      <c r="G98" s="26" t="n">
        <v>1</v>
      </c>
      <c r="H98" s="26" t="n">
        <v>0</v>
      </c>
      <c r="I98" s="27">
        <f>IF(C98="",0,IFERROR(INDEX($E98:$H98,MATCH('Recepción'!$C$5,$E$1:$H$1,0)),0))</f>
        <v/>
      </c>
      <c r="J98" s="27">
        <f>IF(I98=0,0,IF(A98="S",1,IF(A98="BH",IF(COUNTIFS(A99:A501,"B",J99:J501,1)&gt;0,1,0),IF(OR(B98='Recepción'!$C$13,B98='Recepción'!$C$14,B98='Recepción'!$C$15,AND(B98="Contacto con líquido",'Recepción'!$D$29="Sí"),AND(B98="Golpe / Caída",'Recepción'!$D$28="Sí"),AND(B98="No enciende",'Recepción'!$D$31="No")),1,0))))</f>
        <v/>
      </c>
      <c r="K98" s="27">
        <f>IF(J98=1,COUNTIF($J$2:J98,1),0)</f>
        <v/>
      </c>
    </row>
    <row r="99">
      <c r="A99" s="24" t="inlineStr">
        <is>
          <t>B</t>
        </is>
      </c>
      <c r="B99" s="25" t="inlineStr">
        <is>
          <t>Lentitud / Sistema</t>
        </is>
      </c>
      <c r="C99" s="25" t="inlineStr">
        <is>
          <t>¿Tiene virus, anuncios o ventanas emergentes?</t>
        </is>
      </c>
      <c r="D99" s="24" t="inlineStr">
        <is>
          <t>YNS</t>
        </is>
      </c>
      <c r="E99" s="26" t="n">
        <v>0</v>
      </c>
      <c r="F99" s="26" t="n">
        <v>0</v>
      </c>
      <c r="G99" s="26" t="n">
        <v>1</v>
      </c>
      <c r="H99" s="26" t="n">
        <v>0</v>
      </c>
      <c r="I99" s="27">
        <f>IF(C99="",0,IFERROR(INDEX($E99:$H99,MATCH('Recepción'!$C$5,$E$1:$H$1,0)),0))</f>
        <v/>
      </c>
      <c r="J99" s="27">
        <f>IF(I99=0,0,IF(A99="S",1,IF(A99="BH",IF(COUNTIFS(A100:A501,"B",J100:J501,1)&gt;0,1,0),IF(OR(B99='Recepción'!$C$13,B99='Recepción'!$C$14,B99='Recepción'!$C$15,AND(B99="Contacto con líquido",'Recepción'!$D$29="Sí"),AND(B99="Golpe / Caída",'Recepción'!$D$28="Sí"),AND(B99="No enciende",'Recepción'!$D$31="No")),1,0))))</f>
        <v/>
      </c>
      <c r="K99" s="27">
        <f>IF(J99=1,COUNTIF($J$2:J99,1),0)</f>
        <v/>
      </c>
    </row>
    <row r="100">
      <c r="A100" s="24" t="inlineStr">
        <is>
          <t>B</t>
        </is>
      </c>
      <c r="B100" s="25" t="inlineStr">
        <is>
          <t>Lentitud / Sistema</t>
        </is>
      </c>
      <c r="C100" s="25" t="inlineStr">
        <is>
          <t>¿Qué sistema operativo utiliza?</t>
        </is>
      </c>
      <c r="D100" s="24" t="inlineStr">
        <is>
          <t>SO</t>
        </is>
      </c>
      <c r="E100" s="26" t="n">
        <v>0</v>
      </c>
      <c r="F100" s="26" t="n">
        <v>0</v>
      </c>
      <c r="G100" s="26" t="n">
        <v>1</v>
      </c>
      <c r="H100" s="26" t="n">
        <v>0</v>
      </c>
      <c r="I100" s="27">
        <f>IF(C100="",0,IFERROR(INDEX($E100:$H100,MATCH('Recepción'!$C$5,$E$1:$H$1,0)),0))</f>
        <v/>
      </c>
      <c r="J100" s="27">
        <f>IF(I100=0,0,IF(A100="S",1,IF(A100="BH",IF(COUNTIFS(A101:A501,"B",J101:J501,1)&gt;0,1,0),IF(OR(B100='Recepción'!$C$13,B100='Recepción'!$C$14,B100='Recepción'!$C$15,AND(B100="Contacto con líquido",'Recepción'!$D$29="Sí"),AND(B100="Golpe / Caída",'Recepción'!$D$28="Sí"),AND(B100="No enciende",'Recepción'!$D$31="No")),1,0))))</f>
        <v/>
      </c>
      <c r="K100" s="27">
        <f>IF(J100=1,COUNTIF($J$2:J100,1),0)</f>
        <v/>
      </c>
    </row>
    <row r="101">
      <c r="A101" s="24" t="inlineStr">
        <is>
          <t>B</t>
        </is>
      </c>
      <c r="B101" s="25" t="inlineStr">
        <is>
          <t>Disco / Almacenamiento</t>
        </is>
      </c>
      <c r="C101" s="25" t="inlineStr">
        <is>
          <t>¿Se escuchan clics o ruidos raros del disco?</t>
        </is>
      </c>
      <c r="D101" s="24" t="inlineStr">
        <is>
          <t>YNS</t>
        </is>
      </c>
      <c r="E101" s="26" t="n">
        <v>0</v>
      </c>
      <c r="F101" s="26" t="n">
        <v>0</v>
      </c>
      <c r="G101" s="26" t="n">
        <v>1</v>
      </c>
      <c r="H101" s="26" t="n">
        <v>1</v>
      </c>
      <c r="I101" s="27">
        <f>IF(C101="",0,IFERROR(INDEX($E101:$H101,MATCH('Recepción'!$C$5,$E$1:$H$1,0)),0))</f>
        <v/>
      </c>
      <c r="J101" s="27">
        <f>IF(I101=0,0,IF(A101="S",1,IF(A101="BH",IF(COUNTIFS(A102:A501,"B",J102:J501,1)&gt;0,1,0),IF(OR(B101='Recepción'!$C$13,B101='Recepción'!$C$14,B101='Recepción'!$C$15,AND(B101="Contacto con líquido",'Recepción'!$D$29="Sí"),AND(B101="Golpe / Caída",'Recepción'!$D$28="Sí"),AND(B101="No enciende",'Recepción'!$D$31="No")),1,0))))</f>
        <v/>
      </c>
      <c r="K101" s="27">
        <f>IF(J101=1,COUNTIF($J$2:J101,1),0)</f>
        <v/>
      </c>
    </row>
    <row r="102">
      <c r="A102" s="24" t="inlineStr">
        <is>
          <t>B</t>
        </is>
      </c>
      <c r="B102" s="25" t="inlineStr">
        <is>
          <t>Disco / Almacenamiento</t>
        </is>
      </c>
      <c r="C102" s="25" t="inlineStr">
        <is>
          <t>¿Aparece «disco no encontrado» o error de arranque?</t>
        </is>
      </c>
      <c r="D102" s="24" t="inlineStr">
        <is>
          <t>YNS</t>
        </is>
      </c>
      <c r="E102" s="26" t="n">
        <v>0</v>
      </c>
      <c r="F102" s="26" t="n">
        <v>0</v>
      </c>
      <c r="G102" s="26" t="n">
        <v>1</v>
      </c>
      <c r="H102" s="26" t="n">
        <v>0</v>
      </c>
      <c r="I102" s="27">
        <f>IF(C102="",0,IFERROR(INDEX($E102:$H102,MATCH('Recepción'!$C$5,$E$1:$H$1,0)),0))</f>
        <v/>
      </c>
      <c r="J102" s="27">
        <f>IF(I102=0,0,IF(A102="S",1,IF(A102="BH",IF(COUNTIFS(A103:A501,"B",J103:J501,1)&gt;0,1,0),IF(OR(B102='Recepción'!$C$13,B102='Recepción'!$C$14,B102='Recepción'!$C$15,AND(B102="Contacto con líquido",'Recepción'!$D$29="Sí"),AND(B102="Golpe / Caída",'Recepción'!$D$28="Sí"),AND(B102="No enciende",'Recepción'!$D$31="No")),1,0))))</f>
        <v/>
      </c>
      <c r="K102" s="27">
        <f>IF(J102=1,COUNTIF($J$2:J102,1),0)</f>
        <v/>
      </c>
    </row>
    <row r="103">
      <c r="A103" s="24" t="inlineStr">
        <is>
          <t>B</t>
        </is>
      </c>
      <c r="B103" s="25" t="inlineStr">
        <is>
          <t>Disco / Almacenamiento</t>
        </is>
      </c>
      <c r="C103" s="25" t="inlineStr">
        <is>
          <t>¿Hay archivos que desaparecen o no se pueden abrir?</t>
        </is>
      </c>
      <c r="D103" s="24" t="inlineStr">
        <is>
          <t>YNS</t>
        </is>
      </c>
      <c r="E103" s="26" t="n">
        <v>0</v>
      </c>
      <c r="F103" s="26" t="n">
        <v>0</v>
      </c>
      <c r="G103" s="26" t="n">
        <v>1</v>
      </c>
      <c r="H103" s="26" t="n">
        <v>0</v>
      </c>
      <c r="I103" s="27">
        <f>IF(C103="",0,IFERROR(INDEX($E103:$H103,MATCH('Recepción'!$C$5,$E$1:$H$1,0)),0))</f>
        <v/>
      </c>
      <c r="J103" s="27">
        <f>IF(I103=0,0,IF(A103="S",1,IF(A103="BH",IF(COUNTIFS(A104:A501,"B",J104:J501,1)&gt;0,1,0),IF(OR(B103='Recepción'!$C$13,B103='Recepción'!$C$14,B103='Recepción'!$C$15,AND(B103="Contacto con líquido",'Recepción'!$D$29="Sí"),AND(B103="Golpe / Caída",'Recepción'!$D$28="Sí"),AND(B103="No enciende",'Recepción'!$D$31="No")),1,0))))</f>
        <v/>
      </c>
      <c r="K103" s="27">
        <f>IF(J103=1,COUNTIF($J$2:J103,1),0)</f>
        <v/>
      </c>
    </row>
    <row r="104">
      <c r="A104" s="24" t="inlineStr">
        <is>
          <t>B</t>
        </is>
      </c>
      <c r="B104" s="25" t="inlineStr">
        <is>
          <t>Disco / Almacenamiento</t>
        </is>
      </c>
      <c r="C104" s="25" t="inlineStr">
        <is>
          <t>¿El almacenamiento interno falla o se llena solo?</t>
        </is>
      </c>
      <c r="D104" s="24" t="inlineStr">
        <is>
          <t>YNS</t>
        </is>
      </c>
      <c r="E104" s="26" t="n">
        <v>0</v>
      </c>
      <c r="F104" s="26" t="n">
        <v>0</v>
      </c>
      <c r="G104" s="26" t="n">
        <v>0</v>
      </c>
      <c r="H104" s="26" t="n">
        <v>1</v>
      </c>
      <c r="I104" s="27">
        <f>IF(C104="",0,IFERROR(INDEX($E104:$H104,MATCH('Recepción'!$C$5,$E$1:$H$1,0)),0))</f>
        <v/>
      </c>
      <c r="J104" s="27">
        <f>IF(I104=0,0,IF(A104="S",1,IF(A104="BH",IF(COUNTIFS(A105:A501,"B",J105:J501,1)&gt;0,1,0),IF(OR(B104='Recepción'!$C$13,B104='Recepción'!$C$14,B104='Recepción'!$C$15,AND(B104="Contacto con líquido",'Recepción'!$D$29="Sí"),AND(B104="Golpe / Caída",'Recepción'!$D$28="Sí"),AND(B104="No enciende",'Recepción'!$D$31="No")),1,0))))</f>
        <v/>
      </c>
      <c r="K104" s="27">
        <f>IF(J104=1,COUNTIF($J$2:J104,1),0)</f>
        <v/>
      </c>
    </row>
    <row r="105">
      <c r="A105" s="24" t="inlineStr">
        <is>
          <t>B</t>
        </is>
      </c>
      <c r="B105" s="25" t="inlineStr">
        <is>
          <t>Cuenta / Bloqueo</t>
        </is>
      </c>
      <c r="C105" s="25" t="inlineStr">
        <is>
          <t>¿Recuerda usuario y contraseña de su cuenta (Apple ID, Google, PSN, Xbox, Nintendo, Microsoft)?</t>
        </is>
      </c>
      <c r="D105" s="24" t="inlineStr">
        <is>
          <t>YNS</t>
        </is>
      </c>
      <c r="E105" s="26" t="n">
        <v>1</v>
      </c>
      <c r="F105" s="26" t="n">
        <v>1</v>
      </c>
      <c r="G105" s="26" t="n">
        <v>1</v>
      </c>
      <c r="H105" s="26" t="n">
        <v>1</v>
      </c>
      <c r="I105" s="27">
        <f>IF(C105="",0,IFERROR(INDEX($E105:$H105,MATCH('Recepción'!$C$5,$E$1:$H$1,0)),0))</f>
        <v/>
      </c>
      <c r="J105" s="27">
        <f>IF(I105=0,0,IF(A105="S",1,IF(A105="BH",IF(COUNTIFS(A106:A501,"B",J106:J501,1)&gt;0,1,0),IF(OR(B105='Recepción'!$C$13,B105='Recepción'!$C$14,B105='Recepción'!$C$15,AND(B105="Contacto con líquido",'Recepción'!$D$29="Sí"),AND(B105="Golpe / Caída",'Recepción'!$D$28="Sí"),AND(B105="No enciende",'Recepción'!$D$31="No")),1,0))))</f>
        <v/>
      </c>
      <c r="K105" s="27">
        <f>IF(J105=1,COUNTIF($J$2:J105,1),0)</f>
        <v/>
      </c>
    </row>
    <row r="106">
      <c r="A106" s="24" t="inlineStr">
        <is>
          <t>B</t>
        </is>
      </c>
      <c r="B106" s="25" t="inlineStr">
        <is>
          <t>Cuenta / Bloqueo</t>
        </is>
      </c>
      <c r="C106" s="25" t="inlineStr">
        <is>
          <t>¿El equipo tiene bloqueo por contraseña, PIN o patrón?</t>
        </is>
      </c>
      <c r="D106" s="24" t="inlineStr">
        <is>
          <t>YNS</t>
        </is>
      </c>
      <c r="E106" s="26" t="n">
        <v>1</v>
      </c>
      <c r="F106" s="26" t="n">
        <v>1</v>
      </c>
      <c r="G106" s="26" t="n">
        <v>1</v>
      </c>
      <c r="H106" s="26" t="n">
        <v>1</v>
      </c>
      <c r="I106" s="27">
        <f>IF(C106="",0,IFERROR(INDEX($E106:$H106,MATCH('Recepción'!$C$5,$E$1:$H$1,0)),0))</f>
        <v/>
      </c>
      <c r="J106" s="27">
        <f>IF(I106=0,0,IF(A106="S",1,IF(A106="BH",IF(COUNTIFS(A107:A501,"B",J107:J501,1)&gt;0,1,0),IF(OR(B106='Recepción'!$C$13,B106='Recepción'!$C$14,B106='Recepción'!$C$15,AND(B106="Contacto con líquido",'Recepción'!$D$29="Sí"),AND(B106="Golpe / Caída",'Recepción'!$D$28="Sí"),AND(B106="No enciende",'Recepción'!$D$31="No")),1,0))))</f>
        <v/>
      </c>
      <c r="K106" s="27">
        <f>IF(J106=1,COUNTIF($J$2:J106,1),0)</f>
        <v/>
      </c>
    </row>
    <row r="107">
      <c r="A107" s="24" t="inlineStr">
        <is>
          <t>B</t>
        </is>
      </c>
      <c r="B107" s="25" t="inlineStr">
        <is>
          <t>Cuenta / Bloqueo</t>
        </is>
      </c>
      <c r="C107" s="25" t="inlineStr">
        <is>
          <t>¿Tiene activado «Buscar mi dispositivo» o bloqueo de activación?</t>
        </is>
      </c>
      <c r="D107" s="24" t="inlineStr">
        <is>
          <t>YNS</t>
        </is>
      </c>
      <c r="E107" s="26" t="n">
        <v>1</v>
      </c>
      <c r="F107" s="26" t="n">
        <v>1</v>
      </c>
      <c r="G107" s="26" t="n">
        <v>1</v>
      </c>
      <c r="H107" s="26" t="n">
        <v>0</v>
      </c>
      <c r="I107" s="27">
        <f>IF(C107="",0,IFERROR(INDEX($E107:$H107,MATCH('Recepción'!$C$5,$E$1:$H$1,0)),0))</f>
        <v/>
      </c>
      <c r="J107" s="27">
        <f>IF(I107=0,0,IF(A107="S",1,IF(A107="BH",IF(COUNTIFS(A108:A501,"B",J108:J501,1)&gt;0,1,0),IF(OR(B107='Recepción'!$C$13,B107='Recepción'!$C$14,B107='Recepción'!$C$15,AND(B107="Contacto con líquido",'Recepción'!$D$29="Sí"),AND(B107="Golpe / Caída",'Recepción'!$D$28="Sí"),AND(B107="No enciende",'Recepción'!$D$31="No")),1,0))))</f>
        <v/>
      </c>
      <c r="K107" s="27">
        <f>IF(J107=1,COUNTIF($J$2:J107,1),0)</f>
        <v/>
      </c>
    </row>
    <row r="108">
      <c r="A108" s="24" t="inlineStr">
        <is>
          <t>B</t>
        </is>
      </c>
      <c r="B108" s="25" t="inlineStr">
        <is>
          <t>Cuenta / Bloqueo</t>
        </is>
      </c>
      <c r="C108" s="25" t="inlineStr">
        <is>
          <t>¿El equipo es de operadora o está bloqueado a una compañía?</t>
        </is>
      </c>
      <c r="D108" s="24" t="inlineStr">
        <is>
          <t>YNS</t>
        </is>
      </c>
      <c r="E108" s="26" t="n">
        <v>1</v>
      </c>
      <c r="F108" s="26" t="n">
        <v>0</v>
      </c>
      <c r="G108" s="26" t="n">
        <v>0</v>
      </c>
      <c r="H108" s="26" t="n">
        <v>0</v>
      </c>
      <c r="I108" s="27">
        <f>IF(C108="",0,IFERROR(INDEX($E108:$H108,MATCH('Recepción'!$C$5,$E$1:$H$1,0)),0))</f>
        <v/>
      </c>
      <c r="J108" s="27">
        <f>IF(I108=0,0,IF(A108="S",1,IF(A108="BH",IF(COUNTIFS(A109:A501,"B",J109:J501,1)&gt;0,1,0),IF(OR(B108='Recepción'!$C$13,B108='Recepción'!$C$14,B108='Recepción'!$C$15,AND(B108="Contacto con líquido",'Recepción'!$D$29="Sí"),AND(B108="Golpe / Caída",'Recepción'!$D$28="Sí"),AND(B108="No enciende",'Recepción'!$D$31="No")),1,0))))</f>
        <v/>
      </c>
      <c r="K108" s="27">
        <f>IF(J108=1,COUNTIF($J$2:J108,1),0)</f>
        <v/>
      </c>
    </row>
    <row r="109">
      <c r="A109" s="24" t="inlineStr">
        <is>
          <t>B</t>
        </is>
      </c>
      <c r="B109" s="25" t="inlineStr">
        <is>
          <t>Cuenta / Bloqueo</t>
        </is>
      </c>
      <c r="C109" s="25" t="inlineStr">
        <is>
          <t>¿Tiene juegos digitales o partidas guardadas que no puede perder?</t>
        </is>
      </c>
      <c r="D109" s="24" t="inlineStr">
        <is>
          <t>YNS</t>
        </is>
      </c>
      <c r="E109" s="26" t="n">
        <v>0</v>
      </c>
      <c r="F109" s="26" t="n">
        <v>0</v>
      </c>
      <c r="G109" s="26" t="n">
        <v>0</v>
      </c>
      <c r="H109" s="26" t="n">
        <v>1</v>
      </c>
      <c r="I109" s="27">
        <f>IF(C109="",0,IFERROR(INDEX($E109:$H109,MATCH('Recepción'!$C$5,$E$1:$H$1,0)),0))</f>
        <v/>
      </c>
      <c r="J109" s="27">
        <f>IF(I109=0,0,IF(A109="S",1,IF(A109="BH",IF(COUNTIFS(A110:A501,"B",J110:J501,1)&gt;0,1,0),IF(OR(B109='Recepción'!$C$13,B109='Recepción'!$C$14,B109='Recepción'!$C$15,AND(B109="Contacto con líquido",'Recepción'!$D$29="Sí"),AND(B109="Golpe / Caída",'Recepción'!$D$28="Sí"),AND(B109="No enciende",'Recepción'!$D$31="No")),1,0))))</f>
        <v/>
      </c>
      <c r="K109" s="27">
        <f>IF(J109=1,COUNTIF($J$2:J109,1),0)</f>
        <v/>
      </c>
    </row>
    <row r="110">
      <c r="A110" s="24" t="inlineStr">
        <is>
          <t>B</t>
        </is>
      </c>
      <c r="B110" s="25" t="inlineStr">
        <is>
          <t>Audio / Cámara / Micrófono</t>
        </is>
      </c>
      <c r="C110" s="25" t="inlineStr">
        <is>
          <t>¿La bocina no suena o suena distorsionada?</t>
        </is>
      </c>
      <c r="D110" s="24" t="inlineStr">
        <is>
          <t>YNS</t>
        </is>
      </c>
      <c r="E110" s="26" t="n">
        <v>1</v>
      </c>
      <c r="F110" s="26" t="n">
        <v>1</v>
      </c>
      <c r="G110" s="26" t="n">
        <v>1</v>
      </c>
      <c r="H110" s="26" t="n">
        <v>1</v>
      </c>
      <c r="I110" s="27">
        <f>IF(C110="",0,IFERROR(INDEX($E110:$H110,MATCH('Recepción'!$C$5,$E$1:$H$1,0)),0))</f>
        <v/>
      </c>
      <c r="J110" s="27">
        <f>IF(I110=0,0,IF(A110="S",1,IF(A110="BH",IF(COUNTIFS(A111:A501,"B",J111:J501,1)&gt;0,1,0),IF(OR(B110='Recepción'!$C$13,B110='Recepción'!$C$14,B110='Recepción'!$C$15,AND(B110="Contacto con líquido",'Recepción'!$D$29="Sí"),AND(B110="Golpe / Caída",'Recepción'!$D$28="Sí"),AND(B110="No enciende",'Recepción'!$D$31="No")),1,0))))</f>
        <v/>
      </c>
      <c r="K110" s="27">
        <f>IF(J110=1,COUNTIF($J$2:J110,1),0)</f>
        <v/>
      </c>
    </row>
    <row r="111">
      <c r="A111" s="24" t="inlineStr">
        <is>
          <t>B</t>
        </is>
      </c>
      <c r="B111" s="25" t="inlineStr">
        <is>
          <t>Audio / Cámara / Micrófono</t>
        </is>
      </c>
      <c r="C111" s="25" t="inlineStr">
        <is>
          <t>¿Se escucha solo de un lado?</t>
        </is>
      </c>
      <c r="D111" s="24" t="inlineStr">
        <is>
          <t>YNS</t>
        </is>
      </c>
      <c r="E111" s="26" t="n">
        <v>1</v>
      </c>
      <c r="F111" s="26" t="n">
        <v>0</v>
      </c>
      <c r="G111" s="26" t="n">
        <v>1</v>
      </c>
      <c r="H111" s="26" t="n">
        <v>1</v>
      </c>
      <c r="I111" s="27">
        <f>IF(C111="",0,IFERROR(INDEX($E111:$H111,MATCH('Recepción'!$C$5,$E$1:$H$1,0)),0))</f>
        <v/>
      </c>
      <c r="J111" s="27">
        <f>IF(I111=0,0,IF(A111="S",1,IF(A111="BH",IF(COUNTIFS(A112:A501,"B",J112:J501,1)&gt;0,1,0),IF(OR(B111='Recepción'!$C$13,B111='Recepción'!$C$14,B111='Recepción'!$C$15,AND(B111="Contacto con líquido",'Recepción'!$D$29="Sí"),AND(B111="Golpe / Caída",'Recepción'!$D$28="Sí"),AND(B111="No enciende",'Recepción'!$D$31="No")),1,0))))</f>
        <v/>
      </c>
      <c r="K111" s="27">
        <f>IF(J111=1,COUNTIF($J$2:J111,1),0)</f>
        <v/>
      </c>
    </row>
    <row r="112">
      <c r="A112" s="24" t="inlineStr">
        <is>
          <t>B</t>
        </is>
      </c>
      <c r="B112" s="25" t="inlineStr">
        <is>
          <t>Audio / Cámara / Micrófono</t>
        </is>
      </c>
      <c r="C112" s="25" t="inlineStr">
        <is>
          <t>¿El micrófono no se escucha?</t>
        </is>
      </c>
      <c r="D112" s="24" t="inlineStr">
        <is>
          <t>YNS</t>
        </is>
      </c>
      <c r="E112" s="26" t="n">
        <v>1</v>
      </c>
      <c r="F112" s="26" t="n">
        <v>1</v>
      </c>
      <c r="G112" s="26" t="n">
        <v>1</v>
      </c>
      <c r="H112" s="26" t="n">
        <v>0</v>
      </c>
      <c r="I112" s="27">
        <f>IF(C112="",0,IFERROR(INDEX($E112:$H112,MATCH('Recepción'!$C$5,$E$1:$H$1,0)),0))</f>
        <v/>
      </c>
      <c r="J112" s="27">
        <f>IF(I112=0,0,IF(A112="S",1,IF(A112="BH",IF(COUNTIFS(A113:A501,"B",J113:J501,1)&gt;0,1,0),IF(OR(B112='Recepción'!$C$13,B112='Recepción'!$C$14,B112='Recepción'!$C$15,AND(B112="Contacto con líquido",'Recepción'!$D$29="Sí"),AND(B112="Golpe / Caída",'Recepción'!$D$28="Sí"),AND(B112="No enciende",'Recepción'!$D$31="No")),1,0))))</f>
        <v/>
      </c>
      <c r="K112" s="27">
        <f>IF(J112=1,COUNTIF($J$2:J112,1),0)</f>
        <v/>
      </c>
    </row>
    <row r="113">
      <c r="A113" s="24" t="inlineStr">
        <is>
          <t>B</t>
        </is>
      </c>
      <c r="B113" s="25" t="inlineStr">
        <is>
          <t>Audio / Cámara / Micrófono</t>
        </is>
      </c>
      <c r="C113" s="25" t="inlineStr">
        <is>
          <t>¿La cámara frontal o webcam falla?</t>
        </is>
      </c>
      <c r="D113" s="24" t="inlineStr">
        <is>
          <t>YNS</t>
        </is>
      </c>
      <c r="E113" s="26" t="n">
        <v>1</v>
      </c>
      <c r="F113" s="26" t="n">
        <v>0</v>
      </c>
      <c r="G113" s="26" t="n">
        <v>1</v>
      </c>
      <c r="H113" s="26" t="n">
        <v>0</v>
      </c>
      <c r="I113" s="27">
        <f>IF(C113="",0,IFERROR(INDEX($E113:$H113,MATCH('Recepción'!$C$5,$E$1:$H$1,0)),0))</f>
        <v/>
      </c>
      <c r="J113" s="27">
        <f>IF(I113=0,0,IF(A113="S",1,IF(A113="BH",IF(COUNTIFS(A114:A501,"B",J114:J501,1)&gt;0,1,0),IF(OR(B113='Recepción'!$C$13,B113='Recepción'!$C$14,B113='Recepción'!$C$15,AND(B113="Contacto con líquido",'Recepción'!$D$29="Sí"),AND(B113="Golpe / Caída",'Recepción'!$D$28="Sí"),AND(B113="No enciende",'Recepción'!$D$31="No")),1,0))))</f>
        <v/>
      </c>
      <c r="K113" s="27">
        <f>IF(J113=1,COUNTIF($J$2:J113,1),0)</f>
        <v/>
      </c>
    </row>
    <row r="114">
      <c r="A114" s="24" t="inlineStr">
        <is>
          <t>B</t>
        </is>
      </c>
      <c r="B114" s="25" t="inlineStr">
        <is>
          <t>Audio / Cámara / Micrófono</t>
        </is>
      </c>
      <c r="C114" s="25" t="inlineStr">
        <is>
          <t>¿La cámara trasera falla o sale borrosa?</t>
        </is>
      </c>
      <c r="D114" s="24" t="inlineStr">
        <is>
          <t>YNS</t>
        </is>
      </c>
      <c r="E114" s="26" t="n">
        <v>1</v>
      </c>
      <c r="F114" s="26" t="n">
        <v>0</v>
      </c>
      <c r="G114" s="26" t="n">
        <v>0</v>
      </c>
      <c r="H114" s="26" t="n">
        <v>0</v>
      </c>
      <c r="I114" s="27">
        <f>IF(C114="",0,IFERROR(INDEX($E114:$H114,MATCH('Recepción'!$C$5,$E$1:$H$1,0)),0))</f>
        <v/>
      </c>
      <c r="J114" s="27">
        <f>IF(I114=0,0,IF(A114="S",1,IF(A114="BH",IF(COUNTIFS(A115:A501,"B",J115:J501,1)&gt;0,1,0),IF(OR(B114='Recepción'!$C$13,B114='Recepción'!$C$14,B114='Recepción'!$C$15,AND(B114="Contacto con líquido",'Recepción'!$D$29="Sí"),AND(B114="Golpe / Caída",'Recepción'!$D$28="Sí"),AND(B114="No enciende",'Recepción'!$D$31="No")),1,0))))</f>
        <v/>
      </c>
      <c r="K114" s="27">
        <f>IF(J114=1,COUNTIF($J$2:J114,1),0)</f>
        <v/>
      </c>
    </row>
    <row r="115">
      <c r="A115" s="24" t="inlineStr">
        <is>
          <t>B</t>
        </is>
      </c>
      <c r="B115" s="25" t="inlineStr">
        <is>
          <t>Audio / Cámara / Micrófono</t>
        </is>
      </c>
      <c r="C115" s="25" t="inlineStr">
        <is>
          <t>¿El puerto de audífonos no funciona?</t>
        </is>
      </c>
      <c r="D115" s="24" t="inlineStr">
        <is>
          <t>YNS</t>
        </is>
      </c>
      <c r="E115" s="26" t="n">
        <v>1</v>
      </c>
      <c r="F115" s="26" t="n">
        <v>0</v>
      </c>
      <c r="G115" s="26" t="n">
        <v>1</v>
      </c>
      <c r="H115" s="26" t="n">
        <v>0</v>
      </c>
      <c r="I115" s="27">
        <f>IF(C115="",0,IFERROR(INDEX($E115:$H115,MATCH('Recepción'!$C$5,$E$1:$H$1,0)),0))</f>
        <v/>
      </c>
      <c r="J115" s="27">
        <f>IF(I115=0,0,IF(A115="S",1,IF(A115="BH",IF(COUNTIFS(A116:A501,"B",J116:J501,1)&gt;0,1,0),IF(OR(B115='Recepción'!$C$13,B115='Recepción'!$C$14,B115='Recepción'!$C$15,AND(B115="Contacto con líquido",'Recepción'!$D$29="Sí"),AND(B115="Golpe / Caída",'Recepción'!$D$28="Sí"),AND(B115="No enciende",'Recepción'!$D$31="No")),1,0))))</f>
        <v/>
      </c>
      <c r="K115" s="27">
        <f>IF(J115=1,COUNTIF($J$2:J115,1),0)</f>
        <v/>
      </c>
    </row>
    <row r="116">
      <c r="A116" s="24" t="inlineStr">
        <is>
          <t>B</t>
        </is>
      </c>
      <c r="B116" s="25" t="inlineStr">
        <is>
          <t>Audio / Cámara / Micrófono</t>
        </is>
      </c>
      <c r="C116" s="25" t="inlineStr">
        <is>
          <t>¿La vibración no funciona?</t>
        </is>
      </c>
      <c r="D116" s="24" t="inlineStr">
        <is>
          <t>YNS</t>
        </is>
      </c>
      <c r="E116" s="26" t="n">
        <v>1</v>
      </c>
      <c r="F116" s="26" t="n">
        <v>1</v>
      </c>
      <c r="G116" s="26" t="n">
        <v>0</v>
      </c>
      <c r="H116" s="26" t="n">
        <v>0</v>
      </c>
      <c r="I116" s="27">
        <f>IF(C116="",0,IFERROR(INDEX($E116:$H116,MATCH('Recepción'!$C$5,$E$1:$H$1,0)),0))</f>
        <v/>
      </c>
      <c r="J116" s="27">
        <f>IF(I116=0,0,IF(A116="S",1,IF(A116="BH",IF(COUNTIFS(A117:A501,"B",J117:J501,1)&gt;0,1,0),IF(OR(B116='Recepción'!$C$13,B116='Recepción'!$C$14,B116='Recepción'!$C$15,AND(B116="Contacto con líquido",'Recepción'!$D$29="Sí"),AND(B116="Golpe / Caída",'Recepción'!$D$28="Sí"),AND(B116="No enciende",'Recepción'!$D$31="No")),1,0))))</f>
        <v/>
      </c>
      <c r="K116" s="27">
        <f>IF(J116=1,COUNTIF($J$2:J116,1),0)</f>
        <v/>
      </c>
    </row>
    <row r="117">
      <c r="A117" s="24" t="inlineStr">
        <is>
          <t>B</t>
        </is>
      </c>
      <c r="B117" s="25" t="inlineStr">
        <is>
          <t>Red / Señal / Conectividad</t>
        </is>
      </c>
      <c r="C117" s="25" t="inlineStr">
        <is>
          <t>¿Aparece «sin servicio» o no detecta la SIM?</t>
        </is>
      </c>
      <c r="D117" s="24" t="inlineStr">
        <is>
          <t>YNS</t>
        </is>
      </c>
      <c r="E117" s="26" t="n">
        <v>1</v>
      </c>
      <c r="F117" s="26" t="n">
        <v>0</v>
      </c>
      <c r="G117" s="26" t="n">
        <v>0</v>
      </c>
      <c r="H117" s="26" t="n">
        <v>0</v>
      </c>
      <c r="I117" s="27">
        <f>IF(C117="",0,IFERROR(INDEX($E117:$H117,MATCH('Recepción'!$C$5,$E$1:$H$1,0)),0))</f>
        <v/>
      </c>
      <c r="J117" s="27">
        <f>IF(I117=0,0,IF(A117="S",1,IF(A117="BH",IF(COUNTIFS(A118:A501,"B",J118:J501,1)&gt;0,1,0),IF(OR(B117='Recepción'!$C$13,B117='Recepción'!$C$14,B117='Recepción'!$C$15,AND(B117="Contacto con líquido",'Recepción'!$D$29="Sí"),AND(B117="Golpe / Caída",'Recepción'!$D$28="Sí"),AND(B117="No enciende",'Recepción'!$D$31="No")),1,0))))</f>
        <v/>
      </c>
      <c r="K117" s="27">
        <f>IF(J117=1,COUNTIF($J$2:J117,1),0)</f>
        <v/>
      </c>
    </row>
    <row r="118">
      <c r="A118" s="24" t="inlineStr">
        <is>
          <t>B</t>
        </is>
      </c>
      <c r="B118" s="25" t="inlineStr">
        <is>
          <t>Red / Señal / Conectividad</t>
        </is>
      </c>
      <c r="C118" s="25" t="inlineStr">
        <is>
          <t>¿Las llamadas se cortan o no entran?</t>
        </is>
      </c>
      <c r="D118" s="24" t="inlineStr">
        <is>
          <t>YNS</t>
        </is>
      </c>
      <c r="E118" s="26" t="n">
        <v>1</v>
      </c>
      <c r="F118" s="26" t="n">
        <v>0</v>
      </c>
      <c r="G118" s="26" t="n">
        <v>0</v>
      </c>
      <c r="H118" s="26" t="n">
        <v>0</v>
      </c>
      <c r="I118" s="27">
        <f>IF(C118="",0,IFERROR(INDEX($E118:$H118,MATCH('Recepción'!$C$5,$E$1:$H$1,0)),0))</f>
        <v/>
      </c>
      <c r="J118" s="27">
        <f>IF(I118=0,0,IF(A118="S",1,IF(A118="BH",IF(COUNTIFS(A119:A501,"B",J119:J501,1)&gt;0,1,0),IF(OR(B118='Recepción'!$C$13,B118='Recepción'!$C$14,B118='Recepción'!$C$15,AND(B118="Contacto con líquido",'Recepción'!$D$29="Sí"),AND(B118="Golpe / Caída",'Recepción'!$D$28="Sí"),AND(B118="No enciende",'Recepción'!$D$31="No")),1,0))))</f>
        <v/>
      </c>
      <c r="K118" s="27">
        <f>IF(J118=1,COUNTIF($J$2:J118,1),0)</f>
        <v/>
      </c>
    </row>
    <row r="119">
      <c r="A119" s="24" t="inlineStr">
        <is>
          <t>B</t>
        </is>
      </c>
      <c r="B119" s="25" t="inlineStr">
        <is>
          <t>Red / Señal / Conectividad</t>
        </is>
      </c>
      <c r="C119" s="25" t="inlineStr">
        <is>
          <t>¿Los datos móviles no funcionan?</t>
        </is>
      </c>
      <c r="D119" s="24" t="inlineStr">
        <is>
          <t>YNS</t>
        </is>
      </c>
      <c r="E119" s="26" t="n">
        <v>1</v>
      </c>
      <c r="F119" s="26" t="n">
        <v>0</v>
      </c>
      <c r="G119" s="26" t="n">
        <v>0</v>
      </c>
      <c r="H119" s="26" t="n">
        <v>0</v>
      </c>
      <c r="I119" s="27">
        <f>IF(C119="",0,IFERROR(INDEX($E119:$H119,MATCH('Recepción'!$C$5,$E$1:$H$1,0)),0))</f>
        <v/>
      </c>
      <c r="J119" s="27">
        <f>IF(I119=0,0,IF(A119="S",1,IF(A119="BH",IF(COUNTIFS(A120:A501,"B",J120:J501,1)&gt;0,1,0),IF(OR(B119='Recepción'!$C$13,B119='Recepción'!$C$14,B119='Recepción'!$C$15,AND(B119="Contacto con líquido",'Recepción'!$D$29="Sí"),AND(B119="Golpe / Caída",'Recepción'!$D$28="Sí"),AND(B119="No enciende",'Recepción'!$D$31="No")),1,0))))</f>
        <v/>
      </c>
      <c r="K119" s="27">
        <f>IF(J119=1,COUNTIF($J$2:J119,1),0)</f>
        <v/>
      </c>
    </row>
    <row r="120">
      <c r="A120" s="24" t="inlineStr">
        <is>
          <t>B</t>
        </is>
      </c>
      <c r="B120" s="25" t="inlineStr">
        <is>
          <t>Red / Señal / Conectividad</t>
        </is>
      </c>
      <c r="C120" s="25" t="inlineStr">
        <is>
          <t>¿Ha probado la SIM en otro equipo?</t>
        </is>
      </c>
      <c r="D120" s="24" t="inlineStr">
        <is>
          <t>YNS</t>
        </is>
      </c>
      <c r="E120" s="26" t="n">
        <v>1</v>
      </c>
      <c r="F120" s="26" t="n">
        <v>0</v>
      </c>
      <c r="G120" s="26" t="n">
        <v>0</v>
      </c>
      <c r="H120" s="26" t="n">
        <v>0</v>
      </c>
      <c r="I120" s="27">
        <f>IF(C120="",0,IFERROR(INDEX($E120:$H120,MATCH('Recepción'!$C$5,$E$1:$H$1,0)),0))</f>
        <v/>
      </c>
      <c r="J120" s="27">
        <f>IF(I120=0,0,IF(A120="S",1,IF(A120="BH",IF(COUNTIFS(A121:A501,"B",J121:J501,1)&gt;0,1,0),IF(OR(B120='Recepción'!$C$13,B120='Recepción'!$C$14,B120='Recepción'!$C$15,AND(B120="Contacto con líquido",'Recepción'!$D$29="Sí"),AND(B120="Golpe / Caída",'Recepción'!$D$28="Sí"),AND(B120="No enciende",'Recepción'!$D$31="No")),1,0))))</f>
        <v/>
      </c>
      <c r="K120" s="27">
        <f>IF(J120=1,COUNTIF($J$2:J120,1),0)</f>
        <v/>
      </c>
    </row>
    <row r="121">
      <c r="A121" s="24" t="inlineStr">
        <is>
          <t>B</t>
        </is>
      </c>
      <c r="B121" s="25" t="inlineStr">
        <is>
          <t>Red / Señal / Conectividad</t>
        </is>
      </c>
      <c r="C121" s="25" t="inlineStr">
        <is>
          <t>¿El Wi-Fi no conecta o se desconecta?</t>
        </is>
      </c>
      <c r="D121" s="24" t="inlineStr">
        <is>
          <t>YNS</t>
        </is>
      </c>
      <c r="E121" s="26" t="n">
        <v>1</v>
      </c>
      <c r="F121" s="26" t="n">
        <v>0</v>
      </c>
      <c r="G121" s="26" t="n">
        <v>1</v>
      </c>
      <c r="H121" s="26" t="n">
        <v>1</v>
      </c>
      <c r="I121" s="27">
        <f>IF(C121="",0,IFERROR(INDEX($E121:$H121,MATCH('Recepción'!$C$5,$E$1:$H$1,0)),0))</f>
        <v/>
      </c>
      <c r="J121" s="27">
        <f>IF(I121=0,0,IF(A121="S",1,IF(A121="BH",IF(COUNTIFS(A122:A501,"B",J122:J501,1)&gt;0,1,0),IF(OR(B121='Recepción'!$C$13,B121='Recepción'!$C$14,B121='Recepción'!$C$15,AND(B121="Contacto con líquido",'Recepción'!$D$29="Sí"),AND(B121="Golpe / Caída",'Recepción'!$D$28="Sí"),AND(B121="No enciende",'Recepción'!$D$31="No")),1,0))))</f>
        <v/>
      </c>
      <c r="K121" s="27">
        <f>IF(J121=1,COUNTIF($J$2:J121,1),0)</f>
        <v/>
      </c>
    </row>
    <row r="122">
      <c r="A122" s="24" t="inlineStr">
        <is>
          <t>B</t>
        </is>
      </c>
      <c r="B122" s="25" t="inlineStr">
        <is>
          <t>Red / Señal / Conectividad</t>
        </is>
      </c>
      <c r="C122" s="25" t="inlineStr">
        <is>
          <t>¿El Bluetooth no funciona?</t>
        </is>
      </c>
      <c r="D122" s="24" t="inlineStr">
        <is>
          <t>YNS</t>
        </is>
      </c>
      <c r="E122" s="26" t="n">
        <v>1</v>
      </c>
      <c r="F122" s="26" t="n">
        <v>1</v>
      </c>
      <c r="G122" s="26" t="n">
        <v>1</v>
      </c>
      <c r="H122" s="26" t="n">
        <v>1</v>
      </c>
      <c r="I122" s="27">
        <f>IF(C122="",0,IFERROR(INDEX($E122:$H122,MATCH('Recepción'!$C$5,$E$1:$H$1,0)),0))</f>
        <v/>
      </c>
      <c r="J122" s="27">
        <f>IF(I122=0,0,IF(A122="S",1,IF(A122="BH",IF(COUNTIFS(A123:A501,"B",J123:J501,1)&gt;0,1,0),IF(OR(B122='Recepción'!$C$13,B122='Recepción'!$C$14,B122='Recepción'!$C$15,AND(B122="Contacto con líquido",'Recepción'!$D$29="Sí"),AND(B122="Golpe / Caída",'Recepción'!$D$28="Sí"),AND(B122="No enciende",'Recepción'!$D$31="No")),1,0))))</f>
        <v/>
      </c>
      <c r="K122" s="27">
        <f>IF(J122=1,COUNTIF($J$2:J122,1),0)</f>
        <v/>
      </c>
    </row>
    <row r="123">
      <c r="A123" s="24" t="inlineStr">
        <is>
          <t>B</t>
        </is>
      </c>
      <c r="B123" s="25" t="inlineStr">
        <is>
          <t>Red / Señal / Conectividad</t>
        </is>
      </c>
      <c r="C123" s="25" t="inlineStr">
        <is>
          <t>¿El GPS falla?</t>
        </is>
      </c>
      <c r="D123" s="24" t="inlineStr">
        <is>
          <t>YNS</t>
        </is>
      </c>
      <c r="E123" s="26" t="n">
        <v>1</v>
      </c>
      <c r="F123" s="26" t="n">
        <v>1</v>
      </c>
      <c r="G123" s="26" t="n">
        <v>0</v>
      </c>
      <c r="H123" s="26" t="n">
        <v>0</v>
      </c>
      <c r="I123" s="27">
        <f>IF(C123="",0,IFERROR(INDEX($E123:$H123,MATCH('Recepción'!$C$5,$E$1:$H$1,0)),0))</f>
        <v/>
      </c>
      <c r="J123" s="27">
        <f>IF(I123=0,0,IF(A123="S",1,IF(A123="BH",IF(COUNTIFS(A124:A501,"B",J124:J501,1)&gt;0,1,0),IF(OR(B123='Recepción'!$C$13,B123='Recepción'!$C$14,B123='Recepción'!$C$15,AND(B123="Contacto con líquido",'Recepción'!$D$29="Sí"),AND(B123="Golpe / Caída",'Recepción'!$D$28="Sí"),AND(B123="No enciende",'Recepción'!$D$31="No")),1,0))))</f>
        <v/>
      </c>
      <c r="K123" s="27">
        <f>IF(J123=1,COUNTIF($J$2:J123,1),0)</f>
        <v/>
      </c>
    </row>
    <row r="124">
      <c r="A124" s="24" t="inlineStr">
        <is>
          <t>B</t>
        </is>
      </c>
      <c r="B124" s="25" t="inlineStr">
        <is>
          <t>Red / Señal / Conectividad</t>
        </is>
      </c>
      <c r="C124" s="25" t="inlineStr">
        <is>
          <t>¿No sincroniza con el teléfono?</t>
        </is>
      </c>
      <c r="D124" s="24" t="inlineStr">
        <is>
          <t>YNS</t>
        </is>
      </c>
      <c r="E124" s="26" t="n">
        <v>0</v>
      </c>
      <c r="F124" s="26" t="n">
        <v>1</v>
      </c>
      <c r="G124" s="26" t="n">
        <v>0</v>
      </c>
      <c r="H124" s="26" t="n">
        <v>0</v>
      </c>
      <c r="I124" s="27">
        <f>IF(C124="",0,IFERROR(INDEX($E124:$H124,MATCH('Recepción'!$C$5,$E$1:$H$1,0)),0))</f>
        <v/>
      </c>
      <c r="J124" s="27">
        <f>IF(I124=0,0,IF(A124="S",1,IF(A124="BH",IF(COUNTIFS(A125:A501,"B",J125:J501,1)&gt;0,1,0),IF(OR(B124='Recepción'!$C$13,B124='Recepción'!$C$14,B124='Recepción'!$C$15,AND(B124="Contacto con líquido",'Recepción'!$D$29="Sí"),AND(B124="Golpe / Caída",'Recepción'!$D$28="Sí"),AND(B124="No enciende",'Recepción'!$D$31="No")),1,0))))</f>
        <v/>
      </c>
      <c r="K124" s="27">
        <f>IF(J124=1,COUNTIF($J$2:J124,1),0)</f>
        <v/>
      </c>
    </row>
    <row r="125">
      <c r="A125" s="24" t="inlineStr">
        <is>
          <t>B</t>
        </is>
      </c>
      <c r="B125" s="25" t="inlineStr">
        <is>
          <t>Red / Señal / Conectividad</t>
        </is>
      </c>
      <c r="C125" s="25" t="inlineStr">
        <is>
          <t>¿Con qué teléfono está vinculado?</t>
        </is>
      </c>
      <c r="D125" s="24" t="inlineStr">
        <is>
          <t>TEL</t>
        </is>
      </c>
      <c r="E125" s="26" t="n">
        <v>0</v>
      </c>
      <c r="F125" s="26" t="n">
        <v>1</v>
      </c>
      <c r="G125" s="26" t="n">
        <v>0</v>
      </c>
      <c r="H125" s="26" t="n">
        <v>0</v>
      </c>
      <c r="I125" s="27">
        <f>IF(C125="",0,IFERROR(INDEX($E125:$H125,MATCH('Recepción'!$C$5,$E$1:$H$1,0)),0))</f>
        <v/>
      </c>
      <c r="J125" s="27">
        <f>IF(I125=0,0,IF(A125="S",1,IF(A125="BH",IF(COUNTIFS(A126:A501,"B",J126:J501,1)&gt;0,1,0),IF(OR(B125='Recepción'!$C$13,B125='Recepción'!$C$14,B125='Recepción'!$C$15,AND(B125="Contacto con líquido",'Recepción'!$D$29="Sí"),AND(B125="Golpe / Caída",'Recepción'!$D$28="Sí"),AND(B125="No enciende",'Recepción'!$D$31="No")),1,0))))</f>
        <v/>
      </c>
      <c r="K125" s="27">
        <f>IF(J125=1,COUNTIF($J$2:J125,1),0)</f>
        <v/>
      </c>
    </row>
    <row r="126">
      <c r="A126" s="24" t="inlineStr">
        <is>
          <t>B</t>
        </is>
      </c>
      <c r="B126" s="25" t="inlineStr">
        <is>
          <t>Red / Señal / Conectividad</t>
        </is>
      </c>
      <c r="C126" s="25" t="inlineStr">
        <is>
          <t>¿No le llegan las notificaciones?</t>
        </is>
      </c>
      <c r="D126" s="24" t="inlineStr">
        <is>
          <t>YNS</t>
        </is>
      </c>
      <c r="E126" s="26" t="n">
        <v>0</v>
      </c>
      <c r="F126" s="26" t="n">
        <v>1</v>
      </c>
      <c r="G126" s="26" t="n">
        <v>0</v>
      </c>
      <c r="H126" s="26" t="n">
        <v>0</v>
      </c>
      <c r="I126" s="27">
        <f>IF(C126="",0,IFERROR(INDEX($E126:$H126,MATCH('Recepción'!$C$5,$E$1:$H$1,0)),0))</f>
        <v/>
      </c>
      <c r="J126" s="27">
        <f>IF(I126=0,0,IF(A126="S",1,IF(A126="BH",IF(COUNTIFS(A127:A501,"B",J127:J501,1)&gt;0,1,0),IF(OR(B126='Recepción'!$C$13,B126='Recepción'!$C$14,B126='Recepción'!$C$15,AND(B126="Contacto con líquido",'Recepción'!$D$29="Sí"),AND(B126="Golpe / Caída",'Recepción'!$D$28="Sí"),AND(B126="No enciende",'Recepción'!$D$31="No")),1,0))))</f>
        <v/>
      </c>
      <c r="K126" s="27">
        <f>IF(J126=1,COUNTIF($J$2:J126,1),0)</f>
        <v/>
      </c>
    </row>
    <row r="127">
      <c r="A127" s="24" t="inlineStr">
        <is>
          <t>B</t>
        </is>
      </c>
      <c r="B127" s="25" t="inlineStr">
        <is>
          <t>Red / Señal / Conectividad</t>
        </is>
      </c>
      <c r="C127" s="25" t="inlineStr">
        <is>
          <t>¿El puerto de red (Ethernet) no funciona?</t>
        </is>
      </c>
      <c r="D127" s="24" t="inlineStr">
        <is>
          <t>YNS</t>
        </is>
      </c>
      <c r="E127" s="26" t="n">
        <v>0</v>
      </c>
      <c r="F127" s="26" t="n">
        <v>0</v>
      </c>
      <c r="G127" s="26" t="n">
        <v>1</v>
      </c>
      <c r="H127" s="26" t="n">
        <v>0</v>
      </c>
      <c r="I127" s="27">
        <f>IF(C127="",0,IFERROR(INDEX($E127:$H127,MATCH('Recepción'!$C$5,$E$1:$H$1,0)),0))</f>
        <v/>
      </c>
      <c r="J127" s="27">
        <f>IF(I127=0,0,IF(A127="S",1,IF(A127="BH",IF(COUNTIFS(A128:A501,"B",J128:J501,1)&gt;0,1,0),IF(OR(B127='Recepción'!$C$13,B127='Recepción'!$C$14,B127='Recepción'!$C$15,AND(B127="Contacto con líquido",'Recepción'!$D$29="Sí"),AND(B127="Golpe / Caída",'Recepción'!$D$28="Sí"),AND(B127="No enciende",'Recepción'!$D$31="No")),1,0))))</f>
        <v/>
      </c>
      <c r="K127" s="27">
        <f>IF(J127=1,COUNTIF($J$2:J127,1),0)</f>
        <v/>
      </c>
    </row>
    <row r="128">
      <c r="A128" s="24" t="inlineStr">
        <is>
          <t>B</t>
        </is>
      </c>
      <c r="B128" s="25" t="inlineStr">
        <is>
          <t>Red / Señal / Conectividad</t>
        </is>
      </c>
      <c r="C128" s="25" t="inlineStr">
        <is>
          <t>¿No conecta a los servicios en línea (PSN, Xbox Live, Nintendo)?</t>
        </is>
      </c>
      <c r="D128" s="24" t="inlineStr">
        <is>
          <t>YNS</t>
        </is>
      </c>
      <c r="E128" s="26" t="n">
        <v>0</v>
      </c>
      <c r="F128" s="26" t="n">
        <v>0</v>
      </c>
      <c r="G128" s="26" t="n">
        <v>0</v>
      </c>
      <c r="H128" s="26" t="n">
        <v>1</v>
      </c>
      <c r="I128" s="27">
        <f>IF(C128="",0,IFERROR(INDEX($E128:$H128,MATCH('Recepción'!$C$5,$E$1:$H$1,0)),0))</f>
        <v/>
      </c>
      <c r="J128" s="27">
        <f>IF(I128=0,0,IF(A128="S",1,IF(A128="BH",IF(COUNTIFS(A129:A501,"B",J129:J501,1)&gt;0,1,0),IF(OR(B128='Recepción'!$C$13,B128='Recepción'!$C$14,B128='Recepción'!$C$15,AND(B128="Contacto con líquido",'Recepción'!$D$29="Sí"),AND(B128="Golpe / Caída",'Recepción'!$D$28="Sí"),AND(B128="No enciende",'Recepción'!$D$31="No")),1,0))))</f>
        <v/>
      </c>
      <c r="K128" s="27">
        <f>IF(J128=1,COUNTIF($J$2:J128,1),0)</f>
        <v/>
      </c>
    </row>
    <row r="129">
      <c r="A129" s="24" t="inlineStr">
        <is>
          <t>B</t>
        </is>
      </c>
      <c r="B129" s="25" t="inlineStr">
        <is>
          <t>Teclado / Touchpad / Puertos</t>
        </is>
      </c>
      <c r="C129" s="25" t="inlineStr">
        <is>
          <t>¿Hay teclas que no funcionan?</t>
        </is>
      </c>
      <c r="D129" s="24" t="inlineStr">
        <is>
          <t>YNS</t>
        </is>
      </c>
      <c r="E129" s="26" t="n">
        <v>0</v>
      </c>
      <c r="F129" s="26" t="n">
        <v>0</v>
      </c>
      <c r="G129" s="26" t="n">
        <v>1</v>
      </c>
      <c r="H129" s="26" t="n">
        <v>0</v>
      </c>
      <c r="I129" s="27">
        <f>IF(C129="",0,IFERROR(INDEX($E129:$H129,MATCH('Recepción'!$C$5,$E$1:$H$1,0)),0))</f>
        <v/>
      </c>
      <c r="J129" s="27">
        <f>IF(I129=0,0,IF(A129="S",1,IF(A129="BH",IF(COUNTIFS(A130:A501,"B",J130:J501,1)&gt;0,1,0),IF(OR(B129='Recepción'!$C$13,B129='Recepción'!$C$14,B129='Recepción'!$C$15,AND(B129="Contacto con líquido",'Recepción'!$D$29="Sí"),AND(B129="Golpe / Caída",'Recepción'!$D$28="Sí"),AND(B129="No enciende",'Recepción'!$D$31="No")),1,0))))</f>
        <v/>
      </c>
      <c r="K129" s="27">
        <f>IF(J129=1,COUNTIF($J$2:J129,1),0)</f>
        <v/>
      </c>
    </row>
    <row r="130">
      <c r="A130" s="24" t="inlineStr">
        <is>
          <t>B</t>
        </is>
      </c>
      <c r="B130" s="25" t="inlineStr">
        <is>
          <t>Teclado / Touchpad / Puertos</t>
        </is>
      </c>
      <c r="C130" s="25" t="inlineStr">
        <is>
          <t>¿El touchpad falla o hace clic solo? (laptop)</t>
        </is>
      </c>
      <c r="D130" s="24" t="inlineStr">
        <is>
          <t>YNS</t>
        </is>
      </c>
      <c r="E130" s="26" t="n">
        <v>0</v>
      </c>
      <c r="F130" s="26" t="n">
        <v>0</v>
      </c>
      <c r="G130" s="26" t="n">
        <v>1</v>
      </c>
      <c r="H130" s="26" t="n">
        <v>0</v>
      </c>
      <c r="I130" s="27">
        <f>IF(C130="",0,IFERROR(INDEX($E130:$H130,MATCH('Recepción'!$C$5,$E$1:$H$1,0)),0))</f>
        <v/>
      </c>
      <c r="J130" s="27">
        <f>IF(I130=0,0,IF(A130="S",1,IF(A130="BH",IF(COUNTIFS(A131:A501,"B",J131:J501,1)&gt;0,1,0),IF(OR(B130='Recepción'!$C$13,B130='Recepción'!$C$14,B130='Recepción'!$C$15,AND(B130="Contacto con líquido",'Recepción'!$D$29="Sí"),AND(B130="Golpe / Caída",'Recepción'!$D$28="Sí"),AND(B130="No enciende",'Recepción'!$D$31="No")),1,0))))</f>
        <v/>
      </c>
      <c r="K130" s="27">
        <f>IF(J130=1,COUNTIF($J$2:J130,1),0)</f>
        <v/>
      </c>
    </row>
    <row r="131">
      <c r="A131" s="24" t="inlineStr">
        <is>
          <t>B</t>
        </is>
      </c>
      <c r="B131" s="25" t="inlineStr">
        <is>
          <t>Teclado / Touchpad / Puertos</t>
        </is>
      </c>
      <c r="C131" s="25" t="inlineStr">
        <is>
          <t>¿Teclado o mouse externos no son detectados?</t>
        </is>
      </c>
      <c r="D131" s="24" t="inlineStr">
        <is>
          <t>YNS</t>
        </is>
      </c>
      <c r="E131" s="26" t="n">
        <v>0</v>
      </c>
      <c r="F131" s="26" t="n">
        <v>0</v>
      </c>
      <c r="G131" s="26" t="n">
        <v>1</v>
      </c>
      <c r="H131" s="26" t="n">
        <v>0</v>
      </c>
      <c r="I131" s="27">
        <f>IF(C131="",0,IFERROR(INDEX($E131:$H131,MATCH('Recepción'!$C$5,$E$1:$H$1,0)),0))</f>
        <v/>
      </c>
      <c r="J131" s="27">
        <f>IF(I131=0,0,IF(A131="S",1,IF(A131="BH",IF(COUNTIFS(A132:A501,"B",J132:J501,1)&gt;0,1,0),IF(OR(B131='Recepción'!$C$13,B131='Recepción'!$C$14,B131='Recepción'!$C$15,AND(B131="Contacto con líquido",'Recepción'!$D$29="Sí"),AND(B131="Golpe / Caída",'Recepción'!$D$28="Sí"),AND(B131="No enciende",'Recepción'!$D$31="No")),1,0))))</f>
        <v/>
      </c>
      <c r="K131" s="27">
        <f>IF(J131=1,COUNTIF($J$2:J131,1),0)</f>
        <v/>
      </c>
    </row>
    <row r="132">
      <c r="A132" s="24" t="inlineStr">
        <is>
          <t>B</t>
        </is>
      </c>
      <c r="B132" s="25" t="inlineStr">
        <is>
          <t>Teclado / Touchpad / Puertos</t>
        </is>
      </c>
      <c r="C132" s="25" t="inlineStr">
        <is>
          <t>¿Algún puerto USB no funciona?</t>
        </is>
      </c>
      <c r="D132" s="24" t="inlineStr">
        <is>
          <t>YNS</t>
        </is>
      </c>
      <c r="E132" s="26" t="n">
        <v>0</v>
      </c>
      <c r="F132" s="26" t="n">
        <v>0</v>
      </c>
      <c r="G132" s="26" t="n">
        <v>1</v>
      </c>
      <c r="H132" s="26" t="n">
        <v>0</v>
      </c>
      <c r="I132" s="27">
        <f>IF(C132="",0,IFERROR(INDEX($E132:$H132,MATCH('Recepción'!$C$5,$E$1:$H$1,0)),0))</f>
        <v/>
      </c>
      <c r="J132" s="27">
        <f>IF(I132=0,0,IF(A132="S",1,IF(A132="BH",IF(COUNTIFS(A133:A501,"B",J133:J501,1)&gt;0,1,0),IF(OR(B132='Recepción'!$C$13,B132='Recepción'!$C$14,B132='Recepción'!$C$15,AND(B132="Contacto con líquido",'Recepción'!$D$29="Sí"),AND(B132="Golpe / Caída",'Recepción'!$D$28="Sí"),AND(B132="No enciende",'Recepción'!$D$31="No")),1,0))))</f>
        <v/>
      </c>
      <c r="K132" s="27">
        <f>IF(J132=1,COUNTIF($J$2:J132,1),0)</f>
        <v/>
      </c>
    </row>
    <row r="133">
      <c r="A133" s="24" t="inlineStr">
        <is>
          <t>B</t>
        </is>
      </c>
      <c r="B133" s="25" t="inlineStr">
        <is>
          <t>Teclado / Touchpad / Puertos</t>
        </is>
      </c>
      <c r="C133" s="25" t="inlineStr">
        <is>
          <t>¿Falla el puerto HDMI, USB-C o lector de tarjetas?</t>
        </is>
      </c>
      <c r="D133" s="24" t="inlineStr">
        <is>
          <t>YNS</t>
        </is>
      </c>
      <c r="E133" s="26" t="n">
        <v>0</v>
      </c>
      <c r="F133" s="26" t="n">
        <v>0</v>
      </c>
      <c r="G133" s="26" t="n">
        <v>1</v>
      </c>
      <c r="H133" s="26" t="n">
        <v>0</v>
      </c>
      <c r="I133" s="27">
        <f>IF(C133="",0,IFERROR(INDEX($E133:$H133,MATCH('Recepción'!$C$5,$E$1:$H$1,0)),0))</f>
        <v/>
      </c>
      <c r="J133" s="27">
        <f>IF(I133=0,0,IF(A133="S",1,IF(A133="BH",IF(COUNTIFS(A134:A501,"B",J134:J501,1)&gt;0,1,0),IF(OR(B133='Recepción'!$C$13,B133='Recepción'!$C$14,B133='Recepción'!$C$15,AND(B133="Contacto con líquido",'Recepción'!$D$29="Sí"),AND(B133="Golpe / Caída",'Recepción'!$D$28="Sí"),AND(B133="No enciende",'Recepción'!$D$31="No")),1,0))))</f>
        <v/>
      </c>
      <c r="K133" s="27">
        <f>IF(J133=1,COUNTIF($J$2:J133,1),0)</f>
        <v/>
      </c>
    </row>
    <row r="134">
      <c r="A134" s="24" t="inlineStr">
        <is>
          <t>B</t>
        </is>
      </c>
      <c r="B134" s="25" t="inlineStr">
        <is>
          <t>Teclado / Touchpad / Puertos</t>
        </is>
      </c>
      <c r="C134" s="25" t="inlineStr">
        <is>
          <t>¿El botón de encendido responde bien?</t>
        </is>
      </c>
      <c r="D134" s="24" t="inlineStr">
        <is>
          <t>YNS</t>
        </is>
      </c>
      <c r="E134" s="26" t="n">
        <v>0</v>
      </c>
      <c r="F134" s="26" t="n">
        <v>0</v>
      </c>
      <c r="G134" s="26" t="n">
        <v>1</v>
      </c>
      <c r="H134" s="26" t="n">
        <v>0</v>
      </c>
      <c r="I134" s="27">
        <f>IF(C134="",0,IFERROR(INDEX($E134:$H134,MATCH('Recepción'!$C$5,$E$1:$H$1,0)),0))</f>
        <v/>
      </c>
      <c r="J134" s="27">
        <f>IF(I134=0,0,IF(A134="S",1,IF(A134="BH",IF(COUNTIFS(A135:A501,"B",J135:J501,1)&gt;0,1,0),IF(OR(B134='Recepción'!$C$13,B134='Recepción'!$C$14,B134='Recepción'!$C$15,AND(B134="Contacto con líquido",'Recepción'!$D$29="Sí"),AND(B134="Golpe / Caída",'Recepción'!$D$28="Sí"),AND(B134="No enciende",'Recepción'!$D$31="No")),1,0))))</f>
        <v/>
      </c>
      <c r="K134" s="27">
        <f>IF(J134=1,COUNTIF($J$2:J134,1),0)</f>
        <v/>
      </c>
    </row>
    <row r="135">
      <c r="A135" s="24" t="inlineStr">
        <is>
          <t>B</t>
        </is>
      </c>
      <c r="B135" s="25" t="inlineStr">
        <is>
          <t>Lector de disco / Juegos</t>
        </is>
      </c>
      <c r="C135" s="25" t="inlineStr">
        <is>
          <t>¿No lee los discos?</t>
        </is>
      </c>
      <c r="D135" s="24" t="inlineStr">
        <is>
          <t>YNS</t>
        </is>
      </c>
      <c r="E135" s="26" t="n">
        <v>0</v>
      </c>
      <c r="F135" s="26" t="n">
        <v>0</v>
      </c>
      <c r="G135" s="26" t="n">
        <v>0</v>
      </c>
      <c r="H135" s="26" t="n">
        <v>1</v>
      </c>
      <c r="I135" s="27">
        <f>IF(C135="",0,IFERROR(INDEX($E135:$H135,MATCH('Recepción'!$C$5,$E$1:$H$1,0)),0))</f>
        <v/>
      </c>
      <c r="J135" s="27">
        <f>IF(I135=0,0,IF(A135="S",1,IF(A135="BH",IF(COUNTIFS(A136:A501,"B",J136:J501,1)&gt;0,1,0),IF(OR(B135='Recepción'!$C$13,B135='Recepción'!$C$14,B135='Recepción'!$C$15,AND(B135="Contacto con líquido",'Recepción'!$D$29="Sí"),AND(B135="Golpe / Caída",'Recepción'!$D$28="Sí"),AND(B135="No enciende",'Recepción'!$D$31="No")),1,0))))</f>
        <v/>
      </c>
      <c r="K135" s="27">
        <f>IF(J135=1,COUNTIF($J$2:J135,1),0)</f>
        <v/>
      </c>
    </row>
    <row r="136">
      <c r="A136" s="24" t="inlineStr">
        <is>
          <t>B</t>
        </is>
      </c>
      <c r="B136" s="25" t="inlineStr">
        <is>
          <t>Lector de disco / Juegos</t>
        </is>
      </c>
      <c r="C136" s="25" t="inlineStr">
        <is>
          <t>¿Expulsa el disco solo?</t>
        </is>
      </c>
      <c r="D136" s="24" t="inlineStr">
        <is>
          <t>YNS</t>
        </is>
      </c>
      <c r="E136" s="26" t="n">
        <v>0</v>
      </c>
      <c r="F136" s="26" t="n">
        <v>0</v>
      </c>
      <c r="G136" s="26" t="n">
        <v>0</v>
      </c>
      <c r="H136" s="26" t="n">
        <v>1</v>
      </c>
      <c r="I136" s="27">
        <f>IF(C136="",0,IFERROR(INDEX($E136:$H136,MATCH('Recepción'!$C$5,$E$1:$H$1,0)),0))</f>
        <v/>
      </c>
      <c r="J136" s="27">
        <f>IF(I136=0,0,IF(A136="S",1,IF(A136="BH",IF(COUNTIFS(A137:A501,"B",J137:J501,1)&gt;0,1,0),IF(OR(B136='Recepción'!$C$13,B136='Recepción'!$C$14,B136='Recepción'!$C$15,AND(B136="Contacto con líquido",'Recepción'!$D$29="Sí"),AND(B136="Golpe / Caída",'Recepción'!$D$28="Sí"),AND(B136="No enciende",'Recepción'!$D$31="No")),1,0))))</f>
        <v/>
      </c>
      <c r="K136" s="27">
        <f>IF(J136=1,COUNTIF($J$2:J136,1),0)</f>
        <v/>
      </c>
    </row>
    <row r="137">
      <c r="A137" s="24" t="inlineStr">
        <is>
          <t>B</t>
        </is>
      </c>
      <c r="B137" s="25" t="inlineStr">
        <is>
          <t>Lector de disco / Juegos</t>
        </is>
      </c>
      <c r="C137" s="25" t="inlineStr">
        <is>
          <t>¿Hace ruido al leer el disco?</t>
        </is>
      </c>
      <c r="D137" s="24" t="inlineStr">
        <is>
          <t>YNS</t>
        </is>
      </c>
      <c r="E137" s="26" t="n">
        <v>0</v>
      </c>
      <c r="F137" s="26" t="n">
        <v>0</v>
      </c>
      <c r="G137" s="26" t="n">
        <v>0</v>
      </c>
      <c r="H137" s="26" t="n">
        <v>1</v>
      </c>
      <c r="I137" s="27">
        <f>IF(C137="",0,IFERROR(INDEX($E137:$H137,MATCH('Recepción'!$C$5,$E$1:$H$1,0)),0))</f>
        <v/>
      </c>
      <c r="J137" s="27">
        <f>IF(I137=0,0,IF(A137="S",1,IF(A137="BH",IF(COUNTIFS(A138:A501,"B",J138:J501,1)&gt;0,1,0),IF(OR(B137='Recepción'!$C$13,B137='Recepción'!$C$14,B137='Recepción'!$C$15,AND(B137="Contacto con líquido",'Recepción'!$D$29="Sí"),AND(B137="Golpe / Caída",'Recepción'!$D$28="Sí"),AND(B137="No enciende",'Recepción'!$D$31="No")),1,0))))</f>
        <v/>
      </c>
      <c r="K137" s="27">
        <f>IF(J137=1,COUNTIF($J$2:J137,1),0)</f>
        <v/>
      </c>
    </row>
    <row r="138">
      <c r="A138" s="24" t="inlineStr">
        <is>
          <t>B</t>
        </is>
      </c>
      <c r="B138" s="25" t="inlineStr">
        <is>
          <t>Lector de disco / Juegos</t>
        </is>
      </c>
      <c r="C138" s="25" t="inlineStr">
        <is>
          <t>¿Falla con todos los discos o solo con algunos?</t>
        </is>
      </c>
      <c r="D138" s="24" t="inlineStr">
        <is>
          <t>JUE</t>
        </is>
      </c>
      <c r="E138" s="26" t="n">
        <v>0</v>
      </c>
      <c r="F138" s="26" t="n">
        <v>0</v>
      </c>
      <c r="G138" s="26" t="n">
        <v>0</v>
      </c>
      <c r="H138" s="26" t="n">
        <v>1</v>
      </c>
      <c r="I138" s="27">
        <f>IF(C138="",0,IFERROR(INDEX($E138:$H138,MATCH('Recepción'!$C$5,$E$1:$H$1,0)),0))</f>
        <v/>
      </c>
      <c r="J138" s="27">
        <f>IF(I138=0,0,IF(A138="S",1,IF(A138="BH",IF(COUNTIFS(A139:A501,"B",J139:J501,1)&gt;0,1,0),IF(OR(B138='Recepción'!$C$13,B138='Recepción'!$C$14,B138='Recepción'!$C$15,AND(B138="Contacto con líquido",'Recepción'!$D$29="Sí"),AND(B138="Golpe / Caída",'Recepción'!$D$28="Sí"),AND(B138="No enciende",'Recepción'!$D$31="No")),1,0))))</f>
        <v/>
      </c>
      <c r="K138" s="27">
        <f>IF(J138=1,COUNTIF($J$2:J138,1),0)</f>
        <v/>
      </c>
    </row>
    <row r="139">
      <c r="A139" s="24" t="inlineStr">
        <is>
          <t>B</t>
        </is>
      </c>
      <c r="B139" s="25" t="inlineStr">
        <is>
          <t>Lector de disco / Juegos</t>
        </is>
      </c>
      <c r="C139" s="25" t="inlineStr">
        <is>
          <t>¿Hay un disco dentro actualmente?</t>
        </is>
      </c>
      <c r="D139" s="24" t="inlineStr">
        <is>
          <t>YNS</t>
        </is>
      </c>
      <c r="E139" s="26" t="n">
        <v>0</v>
      </c>
      <c r="F139" s="26" t="n">
        <v>0</v>
      </c>
      <c r="G139" s="26" t="n">
        <v>0</v>
      </c>
      <c r="H139" s="26" t="n">
        <v>1</v>
      </c>
      <c r="I139" s="27">
        <f>IF(C139="",0,IFERROR(INDEX($E139:$H139,MATCH('Recepción'!$C$5,$E$1:$H$1,0)),0))</f>
        <v/>
      </c>
      <c r="J139" s="27">
        <f>IF(I139=0,0,IF(A139="S",1,IF(A139="BH",IF(COUNTIFS(A140:A501,"B",J140:J501,1)&gt;0,1,0),IF(OR(B139='Recepción'!$C$13,B139='Recepción'!$C$14,B139='Recepción'!$C$15,AND(B139="Contacto con líquido",'Recepción'!$D$29="Sí"),AND(B139="Golpe / Caída",'Recepción'!$D$28="Sí"),AND(B139="No enciende",'Recepción'!$D$31="No")),1,0))))</f>
        <v/>
      </c>
      <c r="K139" s="27">
        <f>IF(J139=1,COUNTIF($J$2:J139,1),0)</f>
        <v/>
      </c>
    </row>
    <row r="140">
      <c r="A140" s="24" t="inlineStr">
        <is>
          <t>B</t>
        </is>
      </c>
      <c r="B140" s="25" t="inlineStr">
        <is>
          <t>Control / Mando</t>
        </is>
      </c>
      <c r="C140" s="25" t="inlineStr">
        <is>
          <t>¿El control no carga?</t>
        </is>
      </c>
      <c r="D140" s="24" t="inlineStr">
        <is>
          <t>YNS</t>
        </is>
      </c>
      <c r="E140" s="26" t="n">
        <v>0</v>
      </c>
      <c r="F140" s="26" t="n">
        <v>0</v>
      </c>
      <c r="G140" s="26" t="n">
        <v>0</v>
      </c>
      <c r="H140" s="26" t="n">
        <v>1</v>
      </c>
      <c r="I140" s="27">
        <f>IF(C140="",0,IFERROR(INDEX($E140:$H140,MATCH('Recepción'!$C$5,$E$1:$H$1,0)),0))</f>
        <v/>
      </c>
      <c r="J140" s="27">
        <f>IF(I140=0,0,IF(A140="S",1,IF(A140="BH",IF(COUNTIFS(A141:A501,"B",J141:J501,1)&gt;0,1,0),IF(OR(B140='Recepción'!$C$13,B140='Recepción'!$C$14,B140='Recepción'!$C$15,AND(B140="Contacto con líquido",'Recepción'!$D$29="Sí"),AND(B140="Golpe / Caída",'Recepción'!$D$28="Sí"),AND(B140="No enciende",'Recepción'!$D$31="No")),1,0))))</f>
        <v/>
      </c>
      <c r="K140" s="27">
        <f>IF(J140=1,COUNTIF($J$2:J140,1),0)</f>
        <v/>
      </c>
    </row>
    <row r="141">
      <c r="A141" s="24" t="inlineStr">
        <is>
          <t>B</t>
        </is>
      </c>
      <c r="B141" s="25" t="inlineStr">
        <is>
          <t>Control / Mando</t>
        </is>
      </c>
      <c r="C141" s="25" t="inlineStr">
        <is>
          <t>¿El control no sincroniza?</t>
        </is>
      </c>
      <c r="D141" s="24" t="inlineStr">
        <is>
          <t>YNS</t>
        </is>
      </c>
      <c r="E141" s="26" t="n">
        <v>0</v>
      </c>
      <c r="F141" s="26" t="n">
        <v>0</v>
      </c>
      <c r="G141" s="26" t="n">
        <v>0</v>
      </c>
      <c r="H141" s="26" t="n">
        <v>1</v>
      </c>
      <c r="I141" s="27">
        <f>IF(C141="",0,IFERROR(INDEX($E141:$H141,MATCH('Recepción'!$C$5,$E$1:$H$1,0)),0))</f>
        <v/>
      </c>
      <c r="J141" s="27">
        <f>IF(I141=0,0,IF(A141="S",1,IF(A141="BH",IF(COUNTIFS(A142:A501,"B",J142:J501,1)&gt;0,1,0),IF(OR(B141='Recepción'!$C$13,B141='Recepción'!$C$14,B141='Recepción'!$C$15,AND(B141="Contacto con líquido",'Recepción'!$D$29="Sí"),AND(B141="Golpe / Caída",'Recepción'!$D$28="Sí"),AND(B141="No enciende",'Recepción'!$D$31="No")),1,0))))</f>
        <v/>
      </c>
      <c r="K141" s="27">
        <f>IF(J141=1,COUNTIF($J$2:J141,1),0)</f>
        <v/>
      </c>
    </row>
    <row r="142">
      <c r="A142" s="24" t="inlineStr">
        <is>
          <t>B</t>
        </is>
      </c>
      <c r="B142" s="25" t="inlineStr">
        <is>
          <t>Control / Mando</t>
        </is>
      </c>
      <c r="C142" s="25" t="inlineStr">
        <is>
          <t>¿Tiene «drift» (el stick se mueve solo)?</t>
        </is>
      </c>
      <c r="D142" s="24" t="inlineStr">
        <is>
          <t>YNS</t>
        </is>
      </c>
      <c r="E142" s="26" t="n">
        <v>0</v>
      </c>
      <c r="F142" s="26" t="n">
        <v>0</v>
      </c>
      <c r="G142" s="26" t="n">
        <v>0</v>
      </c>
      <c r="H142" s="26" t="n">
        <v>1</v>
      </c>
      <c r="I142" s="27">
        <f>IF(C142="",0,IFERROR(INDEX($E142:$H142,MATCH('Recepción'!$C$5,$E$1:$H$1,0)),0))</f>
        <v/>
      </c>
      <c r="J142" s="27">
        <f>IF(I142=0,0,IF(A142="S",1,IF(A142="BH",IF(COUNTIFS(A143:A501,"B",J143:J501,1)&gt;0,1,0),IF(OR(B142='Recepción'!$C$13,B142='Recepción'!$C$14,B142='Recepción'!$C$15,AND(B142="Contacto con líquido",'Recepción'!$D$29="Sí"),AND(B142="Golpe / Caída",'Recepción'!$D$28="Sí"),AND(B142="No enciende",'Recepción'!$D$31="No")),1,0))))</f>
        <v/>
      </c>
      <c r="K142" s="27">
        <f>IF(J142=1,COUNTIF($J$2:J142,1),0)</f>
        <v/>
      </c>
    </row>
    <row r="143">
      <c r="A143" s="24" t="inlineStr">
        <is>
          <t>B</t>
        </is>
      </c>
      <c r="B143" s="25" t="inlineStr">
        <is>
          <t>Control / Mando</t>
        </is>
      </c>
      <c r="C143" s="25" t="inlineStr">
        <is>
          <t>¿Fallan botones o gatillos?</t>
        </is>
      </c>
      <c r="D143" s="24" t="inlineStr">
        <is>
          <t>YNS</t>
        </is>
      </c>
      <c r="E143" s="26" t="n">
        <v>0</v>
      </c>
      <c r="F143" s="26" t="n">
        <v>0</v>
      </c>
      <c r="G143" s="26" t="n">
        <v>0</v>
      </c>
      <c r="H143" s="26" t="n">
        <v>1</v>
      </c>
      <c r="I143" s="27">
        <f>IF(C143="",0,IFERROR(INDEX($E143:$H143,MATCH('Recepción'!$C$5,$E$1:$H$1,0)),0))</f>
        <v/>
      </c>
      <c r="J143" s="27">
        <f>IF(I143=0,0,IF(A143="S",1,IF(A143="BH",IF(COUNTIFS(A144:A501,"B",J144:J501,1)&gt;0,1,0),IF(OR(B143='Recepción'!$C$13,B143='Recepción'!$C$14,B143='Recepción'!$C$15,AND(B143="Contacto con líquido",'Recepción'!$D$29="Sí"),AND(B143="Golpe / Caída",'Recepción'!$D$28="Sí"),AND(B143="No enciende",'Recepción'!$D$31="No")),1,0))))</f>
        <v/>
      </c>
      <c r="K143" s="27">
        <f>IF(J143=1,COUNTIF($J$2:J143,1),0)</f>
        <v/>
      </c>
    </row>
    <row r="144">
      <c r="A144" s="24" t="inlineStr">
        <is>
          <t>B</t>
        </is>
      </c>
      <c r="B144" s="25" t="inlineStr">
        <is>
          <t>Control / Mando</t>
        </is>
      </c>
      <c r="C144" s="25" t="inlineStr">
        <is>
          <t>¿Ha probado con otro control?</t>
        </is>
      </c>
      <c r="D144" s="24" t="inlineStr">
        <is>
          <t>YNS</t>
        </is>
      </c>
      <c r="E144" s="26" t="n">
        <v>0</v>
      </c>
      <c r="F144" s="26" t="n">
        <v>0</v>
      </c>
      <c r="G144" s="26" t="n">
        <v>0</v>
      </c>
      <c r="H144" s="26" t="n">
        <v>1</v>
      </c>
      <c r="I144" s="27">
        <f>IF(C144="",0,IFERROR(INDEX($E144:$H144,MATCH('Recepción'!$C$5,$E$1:$H$1,0)),0))</f>
        <v/>
      </c>
      <c r="J144" s="27">
        <f>IF(I144=0,0,IF(A144="S",1,IF(A144="BH",IF(COUNTIFS(A145:A501,"B",J145:J501,1)&gt;0,1,0),IF(OR(B144='Recepción'!$C$13,B144='Recepción'!$C$14,B144='Recepción'!$C$15,AND(B144="Contacto con líquido",'Recepción'!$D$29="Sí"),AND(B144="Golpe / Caída",'Recepción'!$D$28="Sí"),AND(B144="No enciende",'Recepción'!$D$31="No")),1,0))))</f>
        <v/>
      </c>
      <c r="K144" s="27">
        <f>IF(J144=1,COUNTIF($J$2:J144,1),0)</f>
        <v/>
      </c>
    </row>
    <row r="145">
      <c r="A145" s="24" t="inlineStr">
        <is>
          <t>B</t>
        </is>
      </c>
      <c r="B145" s="25" t="inlineStr">
        <is>
          <t>Control / Mando</t>
        </is>
      </c>
      <c r="C145" s="25" t="inlineStr">
        <is>
          <t>¿Cuántos controles trae?</t>
        </is>
      </c>
      <c r="D145" s="24" t="inlineStr">
        <is>
          <t>NCTRL</t>
        </is>
      </c>
      <c r="E145" s="26" t="n">
        <v>0</v>
      </c>
      <c r="F145" s="26" t="n">
        <v>0</v>
      </c>
      <c r="G145" s="26" t="n">
        <v>0</v>
      </c>
      <c r="H145" s="26" t="n">
        <v>1</v>
      </c>
      <c r="I145" s="27">
        <f>IF(C145="",0,IFERROR(INDEX($E145:$H145,MATCH('Recepción'!$C$5,$E$1:$H$1,0)),0))</f>
        <v/>
      </c>
      <c r="J145" s="27">
        <f>IF(I145=0,0,IF(A145="S",1,IF(A145="BH",IF(COUNTIFS(A146:A501,"B",J146:J501,1)&gt;0,1,0),IF(OR(B145='Recepción'!$C$13,B145='Recepción'!$C$14,B145='Recepción'!$C$15,AND(B145="Contacto con líquido",'Recepción'!$D$29="Sí"),AND(B145="Golpe / Caída",'Recepción'!$D$28="Sí"),AND(B145="No enciende",'Recepción'!$D$31="No")),1,0))))</f>
        <v/>
      </c>
      <c r="K145" s="27">
        <f>IF(J145=1,COUNTIF($J$2:J145,1),0)</f>
        <v/>
      </c>
    </row>
    <row r="146">
      <c r="A146" s="24" t="inlineStr">
        <is>
          <t>B</t>
        </is>
      </c>
      <c r="B146" s="25" t="inlineStr">
        <is>
          <t>Sensores / Botones / Correa</t>
        </is>
      </c>
      <c r="C146" s="25" t="inlineStr">
        <is>
          <t>¿El sensor de ritmo cardíaco u oxígeno falla?</t>
        </is>
      </c>
      <c r="D146" s="24" t="inlineStr">
        <is>
          <t>YNS</t>
        </is>
      </c>
      <c r="E146" s="26" t="n">
        <v>0</v>
      </c>
      <c r="F146" s="26" t="n">
        <v>1</v>
      </c>
      <c r="G146" s="26" t="n">
        <v>0</v>
      </c>
      <c r="H146" s="26" t="n">
        <v>0</v>
      </c>
      <c r="I146" s="27">
        <f>IF(C146="",0,IFERROR(INDEX($E146:$H146,MATCH('Recepción'!$C$5,$E$1:$H$1,0)),0))</f>
        <v/>
      </c>
      <c r="J146" s="27">
        <f>IF(I146=0,0,IF(A146="S",1,IF(A146="BH",IF(COUNTIFS(A147:A501,"B",J147:J501,1)&gt;0,1,0),IF(OR(B146='Recepción'!$C$13,B146='Recepción'!$C$14,B146='Recepción'!$C$15,AND(B146="Contacto con líquido",'Recepción'!$D$29="Sí"),AND(B146="Golpe / Caída",'Recepción'!$D$28="Sí"),AND(B146="No enciende",'Recepción'!$D$31="No")),1,0))))</f>
        <v/>
      </c>
      <c r="K146" s="27">
        <f>IF(J146=1,COUNTIF($J$2:J146,1),0)</f>
        <v/>
      </c>
    </row>
    <row r="147">
      <c r="A147" s="24" t="inlineStr">
        <is>
          <t>B</t>
        </is>
      </c>
      <c r="B147" s="25" t="inlineStr">
        <is>
          <t>Sensores / Botones / Correa</t>
        </is>
      </c>
      <c r="C147" s="25" t="inlineStr">
        <is>
          <t>¿Los botones o la corona no responden?</t>
        </is>
      </c>
      <c r="D147" s="24" t="inlineStr">
        <is>
          <t>YNS</t>
        </is>
      </c>
      <c r="E147" s="26" t="n">
        <v>0</v>
      </c>
      <c r="F147" s="26" t="n">
        <v>1</v>
      </c>
      <c r="G147" s="26" t="n">
        <v>0</v>
      </c>
      <c r="H147" s="26" t="n">
        <v>0</v>
      </c>
      <c r="I147" s="27">
        <f>IF(C147="",0,IFERROR(INDEX($E147:$H147,MATCH('Recepción'!$C$5,$E$1:$H$1,0)),0))</f>
        <v/>
      </c>
      <c r="J147" s="27">
        <f>IF(I147=0,0,IF(A147="S",1,IF(A147="BH",IF(COUNTIFS(A148:A501,"B",J148:J501,1)&gt;0,1,0),IF(OR(B147='Recepción'!$C$13,B147='Recepción'!$C$14,B147='Recepción'!$C$15,AND(B147="Contacto con líquido",'Recepción'!$D$29="Sí"),AND(B147="Golpe / Caída",'Recepción'!$D$28="Sí"),AND(B147="No enciende",'Recepción'!$D$31="No")),1,0))))</f>
        <v/>
      </c>
      <c r="K147" s="27">
        <f>IF(J147=1,COUNTIF($J$2:J147,1),0)</f>
        <v/>
      </c>
    </row>
    <row r="148">
      <c r="A148" s="24" t="inlineStr">
        <is>
          <t>B</t>
        </is>
      </c>
      <c r="B148" s="25" t="inlineStr">
        <is>
          <t>Sensores / Botones / Correa</t>
        </is>
      </c>
      <c r="C148" s="25" t="inlineStr">
        <is>
          <t>¿La correa o hebilla está dañada?</t>
        </is>
      </c>
      <c r="D148" s="24" t="inlineStr">
        <is>
          <t>YNS</t>
        </is>
      </c>
      <c r="E148" s="26" t="n">
        <v>0</v>
      </c>
      <c r="F148" s="26" t="n">
        <v>1</v>
      </c>
      <c r="G148" s="26" t="n">
        <v>0</v>
      </c>
      <c r="H148" s="26" t="n">
        <v>0</v>
      </c>
      <c r="I148" s="27">
        <f>IF(C148="",0,IFERROR(INDEX($E148:$H148,MATCH('Recepción'!$C$5,$E$1:$H$1,0)),0))</f>
        <v/>
      </c>
      <c r="J148" s="27">
        <f>IF(I148=0,0,IF(A148="S",1,IF(A148="BH",IF(COUNTIFS(A149:A501,"B",J149:J501,1)&gt;0,1,0),IF(OR(B148='Recepción'!$C$13,B148='Recepción'!$C$14,B148='Recepción'!$C$15,AND(B148="Contacto con líquido",'Recepción'!$D$29="Sí"),AND(B148="Golpe / Caída",'Recepción'!$D$28="Sí"),AND(B148="No enciende",'Recepción'!$D$31="No")),1,0))))</f>
        <v/>
      </c>
      <c r="K148" s="27">
        <f>IF(J148=1,COUNTIF($J$2:J148,1),0)</f>
        <v/>
      </c>
    </row>
    <row r="149">
      <c r="A149" s="24" t="inlineStr">
        <is>
          <t>B</t>
        </is>
      </c>
      <c r="B149" s="25" t="inlineStr">
        <is>
          <t>Sensores / Botones / Correa</t>
        </is>
      </c>
      <c r="C149" s="25" t="inlineStr">
        <is>
          <t>¿Se desvincula solo del teléfono?</t>
        </is>
      </c>
      <c r="D149" s="24" t="inlineStr">
        <is>
          <t>YNS</t>
        </is>
      </c>
      <c r="E149" s="26" t="n">
        <v>0</v>
      </c>
      <c r="F149" s="26" t="n">
        <v>1</v>
      </c>
      <c r="G149" s="26" t="n">
        <v>0</v>
      </c>
      <c r="H149" s="26" t="n">
        <v>0</v>
      </c>
      <c r="I149" s="27">
        <f>IF(C149="",0,IFERROR(INDEX($E149:$H149,MATCH('Recepción'!$C$5,$E$1:$H$1,0)),0))</f>
        <v/>
      </c>
      <c r="J149" s="27">
        <f>IF(I149=0,0,IF(A149="S",1,IF(A149="BH",IF(COUNTIFS(A150:A501,"B",J150:J501,1)&gt;0,1,0),IF(OR(B149='Recepción'!$C$13,B149='Recepción'!$C$14,B149='Recepción'!$C$15,AND(B149="Contacto con líquido",'Recepción'!$D$29="Sí"),AND(B149="Golpe / Caída",'Recepción'!$D$28="Sí"),AND(B149="No enciende",'Recepción'!$D$31="No")),1,0))))</f>
        <v/>
      </c>
      <c r="K149" s="27">
        <f>IF(J149=1,COUNTIF($J$2:J149,1),0)</f>
        <v/>
      </c>
    </row>
    <row r="150">
      <c r="A150" s="24" t="inlineStr">
        <is>
          <t>B</t>
        </is>
      </c>
      <c r="B150" s="25" t="inlineStr">
        <is>
          <t>Sensores / Botones / Correa</t>
        </is>
      </c>
      <c r="C150" s="25" t="inlineStr">
        <is>
          <t>¿Ya se le hizo restablecimiento de fábrica?</t>
        </is>
      </c>
      <c r="D150" s="24" t="inlineStr">
        <is>
          <t>YNS</t>
        </is>
      </c>
      <c r="E150" s="26" t="n">
        <v>0</v>
      </c>
      <c r="F150" s="26" t="n">
        <v>1</v>
      </c>
      <c r="G150" s="26" t="n">
        <v>0</v>
      </c>
      <c r="H150" s="26" t="n">
        <v>0</v>
      </c>
      <c r="I150" s="27">
        <f>IF(C150="",0,IFERROR(INDEX($E150:$H150,MATCH('Recepción'!$C$5,$E$1:$H$1,0)),0))</f>
        <v/>
      </c>
      <c r="J150" s="27">
        <f>IF(I150=0,0,IF(A150="S",1,IF(A150="BH",IF(COUNTIFS(A151:A501,"B",J151:J501,1)&gt;0,1,0),IF(OR(B150='Recepción'!$C$13,B150='Recepción'!$C$14,B150='Recepción'!$C$15,AND(B150="Contacto con líquido",'Recepción'!$D$29="Sí"),AND(B150="Golpe / Caída",'Recepción'!$D$28="Sí"),AND(B150="No enciende",'Recepción'!$D$31="No")),1,0))))</f>
        <v/>
      </c>
      <c r="K150" s="27">
        <f>IF(J150=1,COUNTIF($J$2:J150,1),0)</f>
        <v/>
      </c>
    </row>
    <row r="151">
      <c r="A151" s="24" t="inlineStr">
        <is>
          <t>B</t>
        </is>
      </c>
      <c r="B151" s="25" t="inlineStr">
        <is>
          <t>Otra falla</t>
        </is>
      </c>
      <c r="C151" s="25" t="inlineStr">
        <is>
          <t>¿Cuál es la otra falla o condición?</t>
        </is>
      </c>
      <c r="D151" s="24" t="inlineStr">
        <is>
          <t>OTRAF</t>
        </is>
      </c>
      <c r="E151" s="26" t="n">
        <v>1</v>
      </c>
      <c r="F151" s="26" t="n">
        <v>1</v>
      </c>
      <c r="G151" s="26" t="n">
        <v>1</v>
      </c>
      <c r="H151" s="26" t="n">
        <v>1</v>
      </c>
      <c r="I151" s="27">
        <f>IF(C151="",0,IFERROR(INDEX($E151:$H151,MATCH('Recepción'!$C$5,$E$1:$H$1,0)),0))</f>
        <v/>
      </c>
      <c r="J151" s="27">
        <f>IF(I151=0,0,IF(A151="S",1,IF(A151="BH",IF(COUNTIFS(A152:A501,"B",J152:J501,1)&gt;0,1,0),IF(OR(B151='Recepción'!$C$13,B151='Recepción'!$C$14,B151='Recepción'!$C$15,AND(B151="Contacto con líquido",'Recepción'!$D$29="Sí"),AND(B151="Golpe / Caída",'Recepción'!$D$28="Sí"),AND(B151="No enciende",'Recepción'!$D$31="No")),1,0))))</f>
        <v/>
      </c>
      <c r="K151" s="27">
        <f>IF(J151=1,COUNTIF($J$2:J151,1),0)</f>
        <v/>
      </c>
    </row>
    <row r="152">
      <c r="A152" s="24" t="inlineStr">
        <is>
          <t>B</t>
        </is>
      </c>
      <c r="B152" s="25" t="inlineStr">
        <is>
          <t>Otra falla</t>
        </is>
      </c>
      <c r="C152" s="25" t="inlineStr">
        <is>
          <t>¿Qué solución ya intentó el cliente?</t>
        </is>
      </c>
      <c r="D152" s="24" t="inlineStr">
        <is>
          <t>SOL</t>
        </is>
      </c>
      <c r="E152" s="26" t="n">
        <v>1</v>
      </c>
      <c r="F152" s="26" t="n">
        <v>1</v>
      </c>
      <c r="G152" s="26" t="n">
        <v>1</v>
      </c>
      <c r="H152" s="26" t="n">
        <v>1</v>
      </c>
      <c r="I152" s="27">
        <f>IF(C152="",0,IFERROR(INDEX($E152:$H152,MATCH('Recepción'!$C$5,$E$1:$H$1,0)),0))</f>
        <v/>
      </c>
      <c r="J152" s="27">
        <f>IF(I152=0,0,IF(A152="S",1,IF(A152="BH",IF(COUNTIFS(A153:A501,"B",J153:J501,1)&gt;0,1,0),IF(OR(B152='Recepción'!$C$13,B152='Recepción'!$C$14,B152='Recepción'!$C$15,AND(B152="Contacto con líquido",'Recepción'!$D$29="Sí"),AND(B152="Golpe / Caída",'Recepción'!$D$28="Sí"),AND(B152="No enciende",'Recepción'!$D$31="No")),1,0))))</f>
        <v/>
      </c>
      <c r="K152" s="27">
        <f>IF(J152=1,COUNTIF($J$2:J152,1),0)</f>
        <v/>
      </c>
    </row>
    <row r="153">
      <c r="A153" s="24" t="inlineStr">
        <is>
          <t>S</t>
        </is>
      </c>
      <c r="B153" s="25" t="inlineStr"/>
      <c r="C153" s="25" t="inlineStr">
        <is>
          <t>C. VERIFICACIÓN DE RECEPCIÓN RCP (colaborador)</t>
        </is>
      </c>
      <c r="D153" s="24" t="inlineStr">
        <is>
          <t>HEAD</t>
        </is>
      </c>
      <c r="E153" s="26" t="n">
        <v>1</v>
      </c>
      <c r="F153" s="26" t="n">
        <v>1</v>
      </c>
      <c r="G153" s="26" t="n">
        <v>1</v>
      </c>
      <c r="H153" s="26" t="n">
        <v>1</v>
      </c>
      <c r="I153" s="27">
        <f>IF(C153="",0,IFERROR(INDEX($E153:$H153,MATCH('Recepción'!$C$5,$E$1:$H$1,0)),0))</f>
        <v/>
      </c>
      <c r="J153" s="27">
        <f>IF(I153=0,0,IF(A153="S",1,IF(A153="BH",IF(COUNTIFS(A154:A501,"B",J154:J501,1)&gt;0,1,0),IF(OR(B153='Recepción'!$C$13,B153='Recepción'!$C$14,B153='Recepción'!$C$15,AND(B153="Contacto con líquido",'Recepción'!$D$29="Sí"),AND(B153="Golpe / Caída",'Recepción'!$D$28="Sí"),AND(B153="No enciende",'Recepción'!$D$31="No")),1,0))))</f>
        <v/>
      </c>
      <c r="K153" s="27">
        <f>IF(J153=1,COUNTIF($J$2:J153,1),0)</f>
        <v/>
      </c>
    </row>
    <row r="154">
      <c r="A154" s="24" t="inlineStr">
        <is>
          <t>S</t>
        </is>
      </c>
      <c r="B154" s="25" t="inlineStr">
        <is>
          <t>Estado físico</t>
        </is>
      </c>
      <c r="C154" s="25" t="inlineStr">
        <is>
          <t>Estado de la pantalla</t>
        </is>
      </c>
      <c r="D154" s="24" t="inlineStr">
        <is>
          <t>E_PANT</t>
        </is>
      </c>
      <c r="E154" s="26" t="n">
        <v>1</v>
      </c>
      <c r="F154" s="26" t="n">
        <v>1</v>
      </c>
      <c r="G154" s="26" t="n">
        <v>1</v>
      </c>
      <c r="H154" s="26" t="n">
        <v>0</v>
      </c>
      <c r="I154" s="27">
        <f>IF(C154="",0,IFERROR(INDEX($E154:$H154,MATCH('Recepción'!$C$5,$E$1:$H$1,0)),0))</f>
        <v/>
      </c>
      <c r="J154" s="27">
        <f>IF(I154=0,0,IF(A154="S",1,IF(A154="BH",IF(COUNTIFS(A155:A501,"B",J155:J501,1)&gt;0,1,0),IF(OR(B154='Recepción'!$C$13,B154='Recepción'!$C$14,B154='Recepción'!$C$15,AND(B154="Contacto con líquido",'Recepción'!$D$29="Sí"),AND(B154="Golpe / Caída",'Recepción'!$D$28="Sí"),AND(B154="No enciende",'Recepción'!$D$31="No")),1,0))))</f>
        <v/>
      </c>
      <c r="K154" s="27">
        <f>IF(J154=1,COUNTIF($J$2:J154,1),0)</f>
        <v/>
      </c>
    </row>
    <row r="155">
      <c r="A155" s="24" t="inlineStr">
        <is>
          <t>S</t>
        </is>
      </c>
      <c r="B155" s="25" t="inlineStr">
        <is>
          <t>Estado físico</t>
        </is>
      </c>
      <c r="C155" s="25" t="inlineStr">
        <is>
          <t>Estado de la carcasa / chasis</t>
        </is>
      </c>
      <c r="D155" s="24" t="inlineStr">
        <is>
          <t>E_CARC</t>
        </is>
      </c>
      <c r="E155" s="26" t="n">
        <v>1</v>
      </c>
      <c r="F155" s="26" t="n">
        <v>1</v>
      </c>
      <c r="G155" s="26" t="n">
        <v>1</v>
      </c>
      <c r="H155" s="26" t="n">
        <v>1</v>
      </c>
      <c r="I155" s="27">
        <f>IF(C155="",0,IFERROR(INDEX($E155:$H155,MATCH('Recepción'!$C$5,$E$1:$H$1,0)),0))</f>
        <v/>
      </c>
      <c r="J155" s="27">
        <f>IF(I155=0,0,IF(A155="S",1,IF(A155="BH",IF(COUNTIFS(A156:A501,"B",J156:J501,1)&gt;0,1,0),IF(OR(B155='Recepción'!$C$13,B155='Recepción'!$C$14,B155='Recepción'!$C$15,AND(B155="Contacto con líquido",'Recepción'!$D$29="Sí"),AND(B155="Golpe / Caída",'Recepción'!$D$28="Sí"),AND(B155="No enciende",'Recepción'!$D$31="No")),1,0))))</f>
        <v/>
      </c>
      <c r="K155" s="27">
        <f>IF(J155=1,COUNTIF($J$2:J155,1),0)</f>
        <v/>
      </c>
    </row>
    <row r="156">
      <c r="A156" s="24" t="inlineStr">
        <is>
          <t>S</t>
        </is>
      </c>
      <c r="B156" s="25" t="inlineStr">
        <is>
          <t>Estado físico</t>
        </is>
      </c>
      <c r="C156" s="25" t="inlineStr">
        <is>
          <t>¿Faltan tornillos?</t>
        </is>
      </c>
      <c r="D156" s="24" t="inlineStr">
        <is>
          <t>YN</t>
        </is>
      </c>
      <c r="E156" s="26" t="n">
        <v>1</v>
      </c>
      <c r="F156" s="26" t="n">
        <v>1</v>
      </c>
      <c r="G156" s="26" t="n">
        <v>1</v>
      </c>
      <c r="H156" s="26" t="n">
        <v>1</v>
      </c>
      <c r="I156" s="27">
        <f>IF(C156="",0,IFERROR(INDEX($E156:$H156,MATCH('Recepción'!$C$5,$E$1:$H$1,0)),0))</f>
        <v/>
      </c>
      <c r="J156" s="27">
        <f>IF(I156=0,0,IF(A156="S",1,IF(A156="BH",IF(COUNTIFS(A157:A501,"B",J157:J501,1)&gt;0,1,0),IF(OR(B156='Recepción'!$C$13,B156='Recepción'!$C$14,B156='Recepción'!$C$15,AND(B156="Contacto con líquido",'Recepción'!$D$29="Sí"),AND(B156="Golpe / Caída",'Recepción'!$D$28="Sí"),AND(B156="No enciende",'Recepción'!$D$31="No")),1,0))))</f>
        <v/>
      </c>
      <c r="K156" s="27">
        <f>IF(J156=1,COUNTIF($J$2:J156,1),0)</f>
        <v/>
      </c>
    </row>
    <row r="157">
      <c r="A157" s="24" t="inlineStr">
        <is>
          <t>S</t>
        </is>
      </c>
      <c r="B157" s="25" t="inlineStr">
        <is>
          <t>Estado físico</t>
        </is>
      </c>
      <c r="C157" s="25" t="inlineStr">
        <is>
          <t>¿Las bisagras están dañadas? (laptop)</t>
        </is>
      </c>
      <c r="D157" s="24" t="inlineStr">
        <is>
          <t>YN</t>
        </is>
      </c>
      <c r="E157" s="26" t="n">
        <v>0</v>
      </c>
      <c r="F157" s="26" t="n">
        <v>0</v>
      </c>
      <c r="G157" s="26" t="n">
        <v>1</v>
      </c>
      <c r="H157" s="26" t="n">
        <v>0</v>
      </c>
      <c r="I157" s="27">
        <f>IF(C157="",0,IFERROR(INDEX($E157:$H157,MATCH('Recepción'!$C$5,$E$1:$H$1,0)),0))</f>
        <v/>
      </c>
      <c r="J157" s="27">
        <f>IF(I157=0,0,IF(A157="S",1,IF(A157="BH",IF(COUNTIFS(A158:A501,"B",J158:J501,1)&gt;0,1,0),IF(OR(B157='Recepción'!$C$13,B157='Recepción'!$C$14,B157='Recepción'!$C$15,AND(B157="Contacto con líquido",'Recepción'!$D$29="Sí"),AND(B157="Golpe / Caída",'Recepción'!$D$28="Sí"),AND(B157="No enciende",'Recepción'!$D$31="No")),1,0))))</f>
        <v/>
      </c>
      <c r="K157" s="27">
        <f>IF(J157=1,COUNTIF($J$2:J157,1),0)</f>
        <v/>
      </c>
    </row>
    <row r="158">
      <c r="A158" s="24" t="inlineStr">
        <is>
          <t>S</t>
        </is>
      </c>
      <c r="B158" s="25" t="inlineStr">
        <is>
          <t>Estado físico</t>
        </is>
      </c>
      <c r="C158" s="25" t="inlineStr">
        <is>
          <t>¿Hay botones o puertos dañados?</t>
        </is>
      </c>
      <c r="D158" s="24" t="inlineStr">
        <is>
          <t>YN</t>
        </is>
      </c>
      <c r="E158" s="26" t="n">
        <v>1</v>
      </c>
      <c r="F158" s="26" t="n">
        <v>1</v>
      </c>
      <c r="G158" s="26" t="n">
        <v>1</v>
      </c>
      <c r="H158" s="26" t="n">
        <v>1</v>
      </c>
      <c r="I158" s="27">
        <f>IF(C158="",0,IFERROR(INDEX($E158:$H158,MATCH('Recepción'!$C$5,$E$1:$H$1,0)),0))</f>
        <v/>
      </c>
      <c r="J158" s="27">
        <f>IF(I158=0,0,IF(A158="S",1,IF(A158="BH",IF(COUNTIFS(A159:A501,"B",J159:J501,1)&gt;0,1,0),IF(OR(B158='Recepción'!$C$13,B158='Recepción'!$C$14,B158='Recepción'!$C$15,AND(B158="Contacto con líquido",'Recepción'!$D$29="Sí"),AND(B158="Golpe / Caída",'Recepción'!$D$28="Sí"),AND(B158="No enciende",'Recepción'!$D$31="No")),1,0))))</f>
        <v/>
      </c>
      <c r="K158" s="27">
        <f>IF(J158=1,COUNTIF($J$2:J158,1),0)</f>
        <v/>
      </c>
    </row>
    <row r="159">
      <c r="A159" s="24" t="inlineStr">
        <is>
          <t>S</t>
        </is>
      </c>
      <c r="B159" s="25" t="inlineStr">
        <is>
          <t>Estado físico</t>
        </is>
      </c>
      <c r="C159" s="25" t="inlineStr">
        <is>
          <t>¿La correa o hebilla está dañada?</t>
        </is>
      </c>
      <c r="D159" s="24" t="inlineStr">
        <is>
          <t>YN</t>
        </is>
      </c>
      <c r="E159" s="26" t="n">
        <v>0</v>
      </c>
      <c r="F159" s="26" t="n">
        <v>1</v>
      </c>
      <c r="G159" s="26" t="n">
        <v>0</v>
      </c>
      <c r="H159" s="26" t="n">
        <v>0</v>
      </c>
      <c r="I159" s="27">
        <f>IF(C159="",0,IFERROR(INDEX($E159:$H159,MATCH('Recepción'!$C$5,$E$1:$H$1,0)),0))</f>
        <v/>
      </c>
      <c r="J159" s="27">
        <f>IF(I159=0,0,IF(A159="S",1,IF(A159="BH",IF(COUNTIFS(A160:A501,"B",J160:J501,1)&gt;0,1,0),IF(OR(B159='Recepción'!$C$13,B159='Recepción'!$C$14,B159='Recepción'!$C$15,AND(B159="Contacto con líquido",'Recepción'!$D$29="Sí"),AND(B159="Golpe / Caída",'Recepción'!$D$28="Sí"),AND(B159="No enciende",'Recepción'!$D$31="No")),1,0))))</f>
        <v/>
      </c>
      <c r="K159" s="27">
        <f>IF(J159=1,COUNTIF($J$2:J159,1),0)</f>
        <v/>
      </c>
    </row>
    <row r="160">
      <c r="A160" s="24" t="inlineStr">
        <is>
          <t>S</t>
        </is>
      </c>
      <c r="B160" s="25" t="inlineStr">
        <is>
          <t>Estado físico</t>
        </is>
      </c>
      <c r="C160" s="25" t="inlineStr">
        <is>
          <t>¿La ventilación / rejillas están tapadas o dañadas?</t>
        </is>
      </c>
      <c r="D160" s="24" t="inlineStr">
        <is>
          <t>YN</t>
        </is>
      </c>
      <c r="E160" s="26" t="n">
        <v>0</v>
      </c>
      <c r="F160" s="26" t="n">
        <v>0</v>
      </c>
      <c r="G160" s="26" t="n">
        <v>1</v>
      </c>
      <c r="H160" s="26" t="n">
        <v>1</v>
      </c>
      <c r="I160" s="27">
        <f>IF(C160="",0,IFERROR(INDEX($E160:$H160,MATCH('Recepción'!$C$5,$E$1:$H$1,0)),0))</f>
        <v/>
      </c>
      <c r="J160" s="27">
        <f>IF(I160=0,0,IF(A160="S",1,IF(A160="BH",IF(COUNTIFS(A161:A501,"B",J161:J501,1)&gt;0,1,0),IF(OR(B160='Recepción'!$C$13,B160='Recepción'!$C$14,B160='Recepción'!$C$15,AND(B160="Contacto con líquido",'Recepción'!$D$29="Sí"),AND(B160="Golpe / Caída",'Recepción'!$D$28="Sí"),AND(B160="No enciende",'Recepción'!$D$31="No")),1,0))))</f>
        <v/>
      </c>
      <c r="K160" s="27">
        <f>IF(J160=1,COUNTIF($J$2:J160,1),0)</f>
        <v/>
      </c>
    </row>
    <row r="161">
      <c r="A161" s="24" t="inlineStr">
        <is>
          <t>S</t>
        </is>
      </c>
      <c r="B161" s="25" t="inlineStr">
        <is>
          <t>Estado físico</t>
        </is>
      </c>
      <c r="C161" s="25" t="inlineStr">
        <is>
          <t>¿Hay señales de apertura previa?</t>
        </is>
      </c>
      <c r="D161" s="24" t="inlineStr">
        <is>
          <t>YN</t>
        </is>
      </c>
      <c r="E161" s="26" t="n">
        <v>1</v>
      </c>
      <c r="F161" s="26" t="n">
        <v>1</v>
      </c>
      <c r="G161" s="26" t="n">
        <v>1</v>
      </c>
      <c r="H161" s="26" t="n">
        <v>1</v>
      </c>
      <c r="I161" s="27">
        <f>IF(C161="",0,IFERROR(INDEX($E161:$H161,MATCH('Recepción'!$C$5,$E$1:$H$1,0)),0))</f>
        <v/>
      </c>
      <c r="J161" s="27">
        <f>IF(I161=0,0,IF(A161="S",1,IF(A161="BH",IF(COUNTIFS(A162:A501,"B",J162:J501,1)&gt;0,1,0),IF(OR(B161='Recepción'!$C$13,B161='Recepción'!$C$14,B161='Recepción'!$C$15,AND(B161="Contacto con líquido",'Recepción'!$D$29="Sí"),AND(B161="Golpe / Caída",'Recepción'!$D$28="Sí"),AND(B161="No enciende",'Recepción'!$D$31="No")),1,0))))</f>
        <v/>
      </c>
      <c r="K161" s="27">
        <f>IF(J161=1,COUNTIF($J$2:J161,1),0)</f>
        <v/>
      </c>
    </row>
    <row r="162">
      <c r="A162" s="24" t="inlineStr">
        <is>
          <t>S</t>
        </is>
      </c>
      <c r="B162" s="25" t="inlineStr">
        <is>
          <t>Estado físico</t>
        </is>
      </c>
      <c r="C162" s="25" t="inlineStr">
        <is>
          <t>¿Hay señales visibles de humedad?</t>
        </is>
      </c>
      <c r="D162" s="24" t="inlineStr">
        <is>
          <t>YN</t>
        </is>
      </c>
      <c r="E162" s="26" t="n">
        <v>1</v>
      </c>
      <c r="F162" s="26" t="n">
        <v>1</v>
      </c>
      <c r="G162" s="26" t="n">
        <v>1</v>
      </c>
      <c r="H162" s="26" t="n">
        <v>1</v>
      </c>
      <c r="I162" s="27">
        <f>IF(C162="",0,IFERROR(INDEX($E162:$H162,MATCH('Recepción'!$C$5,$E$1:$H$1,0)),0))</f>
        <v/>
      </c>
      <c r="J162" s="27">
        <f>IF(I162=0,0,IF(A162="S",1,IF(A162="BH",IF(COUNTIFS(A163:A501,"B",J163:J501,1)&gt;0,1,0),IF(OR(B162='Recepción'!$C$13,B162='Recepción'!$C$14,B162='Recepción'!$C$15,AND(B162="Contacto con líquido",'Recepción'!$D$29="Sí"),AND(B162="Golpe / Caída",'Recepción'!$D$28="Sí"),AND(B162="No enciende",'Recepción'!$D$31="No")),1,0))))</f>
        <v/>
      </c>
      <c r="K162" s="27">
        <f>IF(J162=1,COUNTIF($J$2:J162,1),0)</f>
        <v/>
      </c>
    </row>
    <row r="163">
      <c r="A163" s="24" t="inlineStr">
        <is>
          <t>S</t>
        </is>
      </c>
      <c r="B163" s="25" t="inlineStr">
        <is>
          <t>Estado físico</t>
        </is>
      </c>
      <c r="C163" s="25" t="inlineStr">
        <is>
          <t>¿La batería está inflada?</t>
        </is>
      </c>
      <c r="D163" s="24" t="inlineStr">
        <is>
          <t>YN</t>
        </is>
      </c>
      <c r="E163" s="26" t="n">
        <v>1</v>
      </c>
      <c r="F163" s="26" t="n">
        <v>1</v>
      </c>
      <c r="G163" s="26" t="n">
        <v>1</v>
      </c>
      <c r="H163" s="26" t="n">
        <v>0</v>
      </c>
      <c r="I163" s="27">
        <f>IF(C163="",0,IFERROR(INDEX($E163:$H163,MATCH('Recepción'!$C$5,$E$1:$H$1,0)),0))</f>
        <v/>
      </c>
      <c r="J163" s="27">
        <f>IF(I163=0,0,IF(A163="S",1,IF(A163="BH",IF(COUNTIFS(A164:A501,"B",J164:J501,1)&gt;0,1,0),IF(OR(B163='Recepción'!$C$13,B163='Recepción'!$C$14,B163='Recepción'!$C$15,AND(B163="Contacto con líquido",'Recepción'!$D$29="Sí"),AND(B163="Golpe / Caída",'Recepción'!$D$28="Sí"),AND(B163="No enciende",'Recepción'!$D$31="No")),1,0))))</f>
        <v/>
      </c>
      <c r="K163" s="27">
        <f>IF(J163=1,COUNTIF($J$2:J163,1),0)</f>
        <v/>
      </c>
    </row>
    <row r="164">
      <c r="A164" s="24" t="inlineStr">
        <is>
          <t>S</t>
        </is>
      </c>
      <c r="B164" s="25" t="inlineStr">
        <is>
          <t>Estado físico</t>
        </is>
      </c>
      <c r="C164" s="25" t="inlineStr">
        <is>
          <t>¿Qué otro daño visible tiene?</t>
        </is>
      </c>
      <c r="D164" s="24" t="inlineStr">
        <is>
          <t>DANO</t>
        </is>
      </c>
      <c r="E164" s="26" t="n">
        <v>1</v>
      </c>
      <c r="F164" s="26" t="n">
        <v>1</v>
      </c>
      <c r="G164" s="26" t="n">
        <v>1</v>
      </c>
      <c r="H164" s="26" t="n">
        <v>1</v>
      </c>
      <c r="I164" s="27">
        <f>IF(C164="",0,IFERROR(INDEX($E164:$H164,MATCH('Recepción'!$C$5,$E$1:$H$1,0)),0))</f>
        <v/>
      </c>
      <c r="J164" s="27">
        <f>IF(I164=0,0,IF(A164="S",1,IF(A164="BH",IF(COUNTIFS(A165:A501,"B",J165:J501,1)&gt;0,1,0),IF(OR(B164='Recepción'!$C$13,B164='Recepción'!$C$14,B164='Recepción'!$C$15,AND(B164="Contacto con líquido",'Recepción'!$D$29="Sí"),AND(B164="Golpe / Caída",'Recepción'!$D$28="Sí"),AND(B164="No enciende",'Recepción'!$D$31="No")),1,0))))</f>
        <v/>
      </c>
      <c r="K164" s="27">
        <f>IF(J164=1,COUNTIF($J$2:J164,1),0)</f>
        <v/>
      </c>
    </row>
    <row r="165">
      <c r="A165" s="24" t="inlineStr">
        <is>
          <t>S</t>
        </is>
      </c>
      <c r="B165" s="25" t="inlineStr">
        <is>
          <t>Estado al ingresar</t>
        </is>
      </c>
      <c r="C165" s="25" t="inlineStr">
        <is>
          <t>¿Enciende?</t>
        </is>
      </c>
      <c r="D165" s="24" t="inlineStr">
        <is>
          <t>YNC</t>
        </is>
      </c>
      <c r="E165" s="26" t="n">
        <v>1</v>
      </c>
      <c r="F165" s="26" t="n">
        <v>1</v>
      </c>
      <c r="G165" s="26" t="n">
        <v>1</v>
      </c>
      <c r="H165" s="26" t="n">
        <v>1</v>
      </c>
      <c r="I165" s="27">
        <f>IF(C165="",0,IFERROR(INDEX($E165:$H165,MATCH('Recepción'!$C$5,$E$1:$H$1,0)),0))</f>
        <v/>
      </c>
      <c r="J165" s="27">
        <f>IF(I165=0,0,IF(A165="S",1,IF(A165="BH",IF(COUNTIFS(A166:A501,"B",J166:J501,1)&gt;0,1,0),IF(OR(B165='Recepción'!$C$13,B165='Recepción'!$C$14,B165='Recepción'!$C$15,AND(B165="Contacto con líquido",'Recepción'!$D$29="Sí"),AND(B165="Golpe / Caída",'Recepción'!$D$28="Sí"),AND(B165="No enciende",'Recepción'!$D$31="No")),1,0))))</f>
        <v/>
      </c>
      <c r="K165" s="27">
        <f>IF(J165=1,COUNTIF($J$2:J165,1),0)</f>
        <v/>
      </c>
    </row>
    <row r="166">
      <c r="A166" s="24" t="inlineStr">
        <is>
          <t>S</t>
        </is>
      </c>
      <c r="B166" s="25" t="inlineStr">
        <is>
          <t>Estado al ingresar</t>
        </is>
      </c>
      <c r="C166" s="25" t="inlineStr">
        <is>
          <t>¿Da imagen?</t>
        </is>
      </c>
      <c r="D166" s="24" t="inlineStr">
        <is>
          <t>YNC</t>
        </is>
      </c>
      <c r="E166" s="26" t="n">
        <v>1</v>
      </c>
      <c r="F166" s="26" t="n">
        <v>0</v>
      </c>
      <c r="G166" s="26" t="n">
        <v>1</v>
      </c>
      <c r="H166" s="26" t="n">
        <v>1</v>
      </c>
      <c r="I166" s="27">
        <f>IF(C166="",0,IFERROR(INDEX($E166:$H166,MATCH('Recepción'!$C$5,$E$1:$H$1,0)),0))</f>
        <v/>
      </c>
      <c r="J166" s="27">
        <f>IF(I166=0,0,IF(A166="S",1,IF(A166="BH",IF(COUNTIFS(A167:A501,"B",J167:J501,1)&gt;0,1,0),IF(OR(B166='Recepción'!$C$13,B166='Recepción'!$C$14,B166='Recepción'!$C$15,AND(B166="Contacto con líquido",'Recepción'!$D$29="Sí"),AND(B166="Golpe / Caída",'Recepción'!$D$28="Sí"),AND(B166="No enciende",'Recepción'!$D$31="No")),1,0))))</f>
        <v/>
      </c>
      <c r="K166" s="27">
        <f>IF(J166=1,COUNTIF($J$2:J166,1),0)</f>
        <v/>
      </c>
    </row>
    <row r="167">
      <c r="A167" s="24" t="inlineStr">
        <is>
          <t>S</t>
        </is>
      </c>
      <c r="B167" s="25" t="inlineStr">
        <is>
          <t>Estado al ingresar</t>
        </is>
      </c>
      <c r="C167" s="25" t="inlineStr">
        <is>
          <t>¿Inicia el sistema operativo?</t>
        </is>
      </c>
      <c r="D167" s="24" t="inlineStr">
        <is>
          <t>YNC</t>
        </is>
      </c>
      <c r="E167" s="26" t="n">
        <v>1</v>
      </c>
      <c r="F167" s="26" t="n">
        <v>0</v>
      </c>
      <c r="G167" s="26" t="n">
        <v>1</v>
      </c>
      <c r="H167" s="26" t="n">
        <v>1</v>
      </c>
      <c r="I167" s="27">
        <f>IF(C167="",0,IFERROR(INDEX($E167:$H167,MATCH('Recepción'!$C$5,$E$1:$H$1,0)),0))</f>
        <v/>
      </c>
      <c r="J167" s="27">
        <f>IF(I167=0,0,IF(A167="S",1,IF(A167="BH",IF(COUNTIFS(A168:A501,"B",J168:J501,1)&gt;0,1,0),IF(OR(B167='Recepción'!$C$13,B167='Recepción'!$C$14,B167='Recepción'!$C$15,AND(B167="Contacto con líquido",'Recepción'!$D$29="Sí"),AND(B167="Golpe / Caída",'Recepción'!$D$28="Sí"),AND(B167="No enciende",'Recepción'!$D$31="No")),1,0))))</f>
        <v/>
      </c>
      <c r="K167" s="27">
        <f>IF(J167=1,COUNTIF($J$2:J167,1),0)</f>
        <v/>
      </c>
    </row>
    <row r="168">
      <c r="A168" s="24" t="inlineStr">
        <is>
          <t>S</t>
        </is>
      </c>
      <c r="B168" s="25" t="inlineStr">
        <is>
          <t>Estado al ingresar</t>
        </is>
      </c>
      <c r="C168" s="25" t="inlineStr">
        <is>
          <t>¿Muestra la hora y responde?</t>
        </is>
      </c>
      <c r="D168" s="24" t="inlineStr">
        <is>
          <t>YNC</t>
        </is>
      </c>
      <c r="E168" s="26" t="n">
        <v>0</v>
      </c>
      <c r="F168" s="26" t="n">
        <v>1</v>
      </c>
      <c r="G168" s="26" t="n">
        <v>0</v>
      </c>
      <c r="H168" s="26" t="n">
        <v>0</v>
      </c>
      <c r="I168" s="27">
        <f>IF(C168="",0,IFERROR(INDEX($E168:$H168,MATCH('Recepción'!$C$5,$E$1:$H$1,0)),0))</f>
        <v/>
      </c>
      <c r="J168" s="27">
        <f>IF(I168=0,0,IF(A168="S",1,IF(A168="BH",IF(COUNTIFS(A169:A501,"B",J169:J501,1)&gt;0,1,0),IF(OR(B168='Recepción'!$C$13,B168='Recepción'!$C$14,B168='Recepción'!$C$15,AND(B168="Contacto con líquido",'Recepción'!$D$29="Sí"),AND(B168="Golpe / Caída",'Recepción'!$D$28="Sí"),AND(B168="No enciende",'Recepción'!$D$31="No")),1,0))))</f>
        <v/>
      </c>
      <c r="K168" s="27">
        <f>IF(J168=1,COUNTIF($J$2:J168,1),0)</f>
        <v/>
      </c>
    </row>
    <row r="169">
      <c r="A169" s="24" t="inlineStr">
        <is>
          <t>S</t>
        </is>
      </c>
      <c r="B169" s="25" t="inlineStr">
        <is>
          <t>Accesorios entregados</t>
        </is>
      </c>
      <c r="C169" s="25" t="inlineStr">
        <is>
          <t>¿Entregó cargador?</t>
        </is>
      </c>
      <c r="D169" s="24" t="inlineStr">
        <is>
          <t>YN</t>
        </is>
      </c>
      <c r="E169" s="26" t="n">
        <v>1</v>
      </c>
      <c r="F169" s="26" t="n">
        <v>0</v>
      </c>
      <c r="G169" s="26" t="n">
        <v>0</v>
      </c>
      <c r="H169" s="26" t="n">
        <v>0</v>
      </c>
      <c r="I169" s="27">
        <f>IF(C169="",0,IFERROR(INDEX($E169:$H169,MATCH('Recepción'!$C$5,$E$1:$H$1,0)),0))</f>
        <v/>
      </c>
      <c r="J169" s="27">
        <f>IF(I169=0,0,IF(A169="S",1,IF(A169="BH",IF(COUNTIFS(A170:A501,"B",J170:J501,1)&gt;0,1,0),IF(OR(B169='Recepción'!$C$13,B169='Recepción'!$C$14,B169='Recepción'!$C$15,AND(B169="Contacto con líquido",'Recepción'!$D$29="Sí"),AND(B169="Golpe / Caída",'Recepción'!$D$28="Sí"),AND(B169="No enciende",'Recepción'!$D$31="No")),1,0))))</f>
        <v/>
      </c>
      <c r="K169" s="27">
        <f>IF(J169=1,COUNTIF($J$2:J169,1),0)</f>
        <v/>
      </c>
    </row>
    <row r="170">
      <c r="A170" s="24" t="inlineStr">
        <is>
          <t>S</t>
        </is>
      </c>
      <c r="B170" s="25" t="inlineStr">
        <is>
          <t>Accesorios entregados</t>
        </is>
      </c>
      <c r="C170" s="25" t="inlineStr">
        <is>
          <t>¿Entregó cable?</t>
        </is>
      </c>
      <c r="D170" s="24" t="inlineStr">
        <is>
          <t>YN</t>
        </is>
      </c>
      <c r="E170" s="26" t="n">
        <v>1</v>
      </c>
      <c r="F170" s="26" t="n">
        <v>0</v>
      </c>
      <c r="G170" s="26" t="n">
        <v>0</v>
      </c>
      <c r="H170" s="26" t="n">
        <v>0</v>
      </c>
      <c r="I170" s="27">
        <f>IF(C170="",0,IFERROR(INDEX($E170:$H170,MATCH('Recepción'!$C$5,$E$1:$H$1,0)),0))</f>
        <v/>
      </c>
      <c r="J170" s="27">
        <f>IF(I170=0,0,IF(A170="S",1,IF(A170="BH",IF(COUNTIFS(A171:A501,"B",J171:J501,1)&gt;0,1,0),IF(OR(B170='Recepción'!$C$13,B170='Recepción'!$C$14,B170='Recepción'!$C$15,AND(B170="Contacto con líquido",'Recepción'!$D$29="Sí"),AND(B170="Golpe / Caída",'Recepción'!$D$28="Sí"),AND(B170="No enciende",'Recepción'!$D$31="No")),1,0))))</f>
        <v/>
      </c>
      <c r="K170" s="27">
        <f>IF(J170=1,COUNTIF($J$2:J170,1),0)</f>
        <v/>
      </c>
    </row>
    <row r="171">
      <c r="A171" s="24" t="inlineStr">
        <is>
          <t>S</t>
        </is>
      </c>
      <c r="B171" s="25" t="inlineStr">
        <is>
          <t>Accesorios entregados</t>
        </is>
      </c>
      <c r="C171" s="25" t="inlineStr">
        <is>
          <t>¿Entregó funda?</t>
        </is>
      </c>
      <c r="D171" s="24" t="inlineStr">
        <is>
          <t>YN</t>
        </is>
      </c>
      <c r="E171" s="26" t="n">
        <v>1</v>
      </c>
      <c r="F171" s="26" t="n">
        <v>0</v>
      </c>
      <c r="G171" s="26" t="n">
        <v>0</v>
      </c>
      <c r="H171" s="26" t="n">
        <v>0</v>
      </c>
      <c r="I171" s="27">
        <f>IF(C171="",0,IFERROR(INDEX($E171:$H171,MATCH('Recepción'!$C$5,$E$1:$H$1,0)),0))</f>
        <v/>
      </c>
      <c r="J171" s="27">
        <f>IF(I171=0,0,IF(A171="S",1,IF(A171="BH",IF(COUNTIFS(A172:A501,"B",J172:J501,1)&gt;0,1,0),IF(OR(B171='Recepción'!$C$13,B171='Recepción'!$C$14,B171='Recepción'!$C$15,AND(B171="Contacto con líquido",'Recepción'!$D$29="Sí"),AND(B171="Golpe / Caída",'Recepción'!$D$28="Sí"),AND(B171="No enciende",'Recepción'!$D$31="No")),1,0))))</f>
        <v/>
      </c>
      <c r="K171" s="27">
        <f>IF(J171=1,COUNTIF($J$2:J171,1),0)</f>
        <v/>
      </c>
    </row>
    <row r="172">
      <c r="A172" s="24" t="inlineStr">
        <is>
          <t>S</t>
        </is>
      </c>
      <c r="B172" s="25" t="inlineStr">
        <is>
          <t>Accesorios entregados</t>
        </is>
      </c>
      <c r="C172" s="25" t="inlineStr">
        <is>
          <t>¿Entregó SIM?</t>
        </is>
      </c>
      <c r="D172" s="24" t="inlineStr">
        <is>
          <t>YN</t>
        </is>
      </c>
      <c r="E172" s="26" t="n">
        <v>1</v>
      </c>
      <c r="F172" s="26" t="n">
        <v>0</v>
      </c>
      <c r="G172" s="26" t="n">
        <v>0</v>
      </c>
      <c r="H172" s="26" t="n">
        <v>0</v>
      </c>
      <c r="I172" s="27">
        <f>IF(C172="",0,IFERROR(INDEX($E172:$H172,MATCH('Recepción'!$C$5,$E$1:$H$1,0)),0))</f>
        <v/>
      </c>
      <c r="J172" s="27">
        <f>IF(I172=0,0,IF(A172="S",1,IF(A172="BH",IF(COUNTIFS(A173:A501,"B",J173:J501,1)&gt;0,1,0),IF(OR(B172='Recepción'!$C$13,B172='Recepción'!$C$14,B172='Recepción'!$C$15,AND(B172="Contacto con líquido",'Recepción'!$D$29="Sí"),AND(B172="Golpe / Caída",'Recepción'!$D$28="Sí"),AND(B172="No enciende",'Recepción'!$D$31="No")),1,0))))</f>
        <v/>
      </c>
      <c r="K172" s="27">
        <f>IF(J172=1,COUNTIF($J$2:J172,1),0)</f>
        <v/>
      </c>
    </row>
    <row r="173">
      <c r="A173" s="24" t="inlineStr">
        <is>
          <t>S</t>
        </is>
      </c>
      <c r="B173" s="25" t="inlineStr">
        <is>
          <t>Accesorios entregados</t>
        </is>
      </c>
      <c r="C173" s="25" t="inlineStr">
        <is>
          <t>¿Entregó MicroSD?</t>
        </is>
      </c>
      <c r="D173" s="24" t="inlineStr">
        <is>
          <t>YN</t>
        </is>
      </c>
      <c r="E173" s="26" t="n">
        <v>1</v>
      </c>
      <c r="F173" s="26" t="n">
        <v>0</v>
      </c>
      <c r="G173" s="26" t="n">
        <v>0</v>
      </c>
      <c r="H173" s="26" t="n">
        <v>0</v>
      </c>
      <c r="I173" s="27">
        <f>IF(C173="",0,IFERROR(INDEX($E173:$H173,MATCH('Recepción'!$C$5,$E$1:$H$1,0)),0))</f>
        <v/>
      </c>
      <c r="J173" s="27">
        <f>IF(I173=0,0,IF(A173="S",1,IF(A173="BH",IF(COUNTIFS(A174:A501,"B",J174:J501,1)&gt;0,1,0),IF(OR(B173='Recepción'!$C$13,B173='Recepción'!$C$14,B173='Recepción'!$C$15,AND(B173="Contacto con líquido",'Recepción'!$D$29="Sí"),AND(B173="Golpe / Caída",'Recepción'!$D$28="Sí"),AND(B173="No enciende",'Recepción'!$D$31="No")),1,0))))</f>
        <v/>
      </c>
      <c r="K173" s="27">
        <f>IF(J173=1,COUNTIF($J$2:J173,1),0)</f>
        <v/>
      </c>
    </row>
    <row r="174">
      <c r="A174" s="24" t="inlineStr">
        <is>
          <t>S</t>
        </is>
      </c>
      <c r="B174" s="25" t="inlineStr">
        <is>
          <t>Accesorios entregados</t>
        </is>
      </c>
      <c r="C174" s="25" t="inlineStr">
        <is>
          <t>¿Entregó adaptador?</t>
        </is>
      </c>
      <c r="D174" s="24" t="inlineStr">
        <is>
          <t>YN</t>
        </is>
      </c>
      <c r="E174" s="26" t="n">
        <v>1</v>
      </c>
      <c r="F174" s="26" t="n">
        <v>0</v>
      </c>
      <c r="G174" s="26" t="n">
        <v>0</v>
      </c>
      <c r="H174" s="26" t="n">
        <v>0</v>
      </c>
      <c r="I174" s="27">
        <f>IF(C174="",0,IFERROR(INDEX($E174:$H174,MATCH('Recepción'!$C$5,$E$1:$H$1,0)),0))</f>
        <v/>
      </c>
      <c r="J174" s="27">
        <f>IF(I174=0,0,IF(A174="S",1,IF(A174="BH",IF(COUNTIFS(A175:A501,"B",J175:J501,1)&gt;0,1,0),IF(OR(B174='Recepción'!$C$13,B174='Recepción'!$C$14,B174='Recepción'!$C$15,AND(B174="Contacto con líquido",'Recepción'!$D$29="Sí"),AND(B174="Golpe / Caída",'Recepción'!$D$28="Sí"),AND(B174="No enciende",'Recepción'!$D$31="No")),1,0))))</f>
        <v/>
      </c>
      <c r="K174" s="27">
        <f>IF(J174=1,COUNTIF($J$2:J174,1),0)</f>
        <v/>
      </c>
    </row>
    <row r="175">
      <c r="A175" s="24" t="inlineStr">
        <is>
          <t>S</t>
        </is>
      </c>
      <c r="B175" s="25" t="inlineStr">
        <is>
          <t>Accesorios entregados</t>
        </is>
      </c>
      <c r="C175" s="25" t="inlineStr">
        <is>
          <t>¿Entregó cargador magnético?</t>
        </is>
      </c>
      <c r="D175" s="24" t="inlineStr">
        <is>
          <t>YN</t>
        </is>
      </c>
      <c r="E175" s="26" t="n">
        <v>0</v>
      </c>
      <c r="F175" s="26" t="n">
        <v>1</v>
      </c>
      <c r="G175" s="26" t="n">
        <v>0</v>
      </c>
      <c r="H175" s="26" t="n">
        <v>0</v>
      </c>
      <c r="I175" s="27">
        <f>IF(C175="",0,IFERROR(INDEX($E175:$H175,MATCH('Recepción'!$C$5,$E$1:$H$1,0)),0))</f>
        <v/>
      </c>
      <c r="J175" s="27">
        <f>IF(I175=0,0,IF(A175="S",1,IF(A175="BH",IF(COUNTIFS(A176:A501,"B",J176:J501,1)&gt;0,1,0),IF(OR(B175='Recepción'!$C$13,B175='Recepción'!$C$14,B175='Recepción'!$C$15,AND(B175="Contacto con líquido",'Recepción'!$D$29="Sí"),AND(B175="Golpe / Caída",'Recepción'!$D$28="Sí"),AND(B175="No enciende",'Recepción'!$D$31="No")),1,0))))</f>
        <v/>
      </c>
      <c r="K175" s="27">
        <f>IF(J175=1,COUNTIF($J$2:J175,1),0)</f>
        <v/>
      </c>
    </row>
    <row r="176">
      <c r="A176" s="24" t="inlineStr">
        <is>
          <t>S</t>
        </is>
      </c>
      <c r="B176" s="25" t="inlineStr">
        <is>
          <t>Accesorios entregados</t>
        </is>
      </c>
      <c r="C176" s="25" t="inlineStr">
        <is>
          <t>¿Entregó correa adicional?</t>
        </is>
      </c>
      <c r="D176" s="24" t="inlineStr">
        <is>
          <t>YN</t>
        </is>
      </c>
      <c r="E176" s="26" t="n">
        <v>0</v>
      </c>
      <c r="F176" s="26" t="n">
        <v>1</v>
      </c>
      <c r="G176" s="26" t="n">
        <v>0</v>
      </c>
      <c r="H176" s="26" t="n">
        <v>0</v>
      </c>
      <c r="I176" s="27">
        <f>IF(C176="",0,IFERROR(INDEX($E176:$H176,MATCH('Recepción'!$C$5,$E$1:$H$1,0)),0))</f>
        <v/>
      </c>
      <c r="J176" s="27">
        <f>IF(I176=0,0,IF(A176="S",1,IF(A176="BH",IF(COUNTIFS(A177:A501,"B",J177:J501,1)&gt;0,1,0),IF(OR(B176='Recepción'!$C$13,B176='Recepción'!$C$14,B176='Recepción'!$C$15,AND(B176="Contacto con líquido",'Recepción'!$D$29="Sí"),AND(B176="Golpe / Caída",'Recepción'!$D$28="Sí"),AND(B176="No enciende",'Recepción'!$D$31="No")),1,0))))</f>
        <v/>
      </c>
      <c r="K176" s="27">
        <f>IF(J176=1,COUNTIF($J$2:J176,1),0)</f>
        <v/>
      </c>
    </row>
    <row r="177">
      <c r="A177" s="24" t="inlineStr">
        <is>
          <t>S</t>
        </is>
      </c>
      <c r="B177" s="25" t="inlineStr">
        <is>
          <t>Accesorios entregados</t>
        </is>
      </c>
      <c r="C177" s="25" t="inlineStr">
        <is>
          <t>¿Entregó cargador / cable de poder?</t>
        </is>
      </c>
      <c r="D177" s="24" t="inlineStr">
        <is>
          <t>YN</t>
        </is>
      </c>
      <c r="E177" s="26" t="n">
        <v>0</v>
      </c>
      <c r="F177" s="26" t="n">
        <v>0</v>
      </c>
      <c r="G177" s="26" t="n">
        <v>1</v>
      </c>
      <c r="H177" s="26" t="n">
        <v>0</v>
      </c>
      <c r="I177" s="27">
        <f>IF(C177="",0,IFERROR(INDEX($E177:$H177,MATCH('Recepción'!$C$5,$E$1:$H$1,0)),0))</f>
        <v/>
      </c>
      <c r="J177" s="27">
        <f>IF(I177=0,0,IF(A177="S",1,IF(A177="BH",IF(COUNTIFS(A178:A501,"B",J178:J501,1)&gt;0,1,0),IF(OR(B177='Recepción'!$C$13,B177='Recepción'!$C$14,B177='Recepción'!$C$15,AND(B177="Contacto con líquido",'Recepción'!$D$29="Sí"),AND(B177="Golpe / Caída",'Recepción'!$D$28="Sí"),AND(B177="No enciende",'Recepción'!$D$31="No")),1,0))))</f>
        <v/>
      </c>
      <c r="K177" s="27">
        <f>IF(J177=1,COUNTIF($J$2:J177,1),0)</f>
        <v/>
      </c>
    </row>
    <row r="178">
      <c r="A178" s="24" t="inlineStr">
        <is>
          <t>S</t>
        </is>
      </c>
      <c r="B178" s="25" t="inlineStr">
        <is>
          <t>Accesorios entregados</t>
        </is>
      </c>
      <c r="C178" s="25" t="inlineStr">
        <is>
          <t>¿Entregó funda o maletín?</t>
        </is>
      </c>
      <c r="D178" s="24" t="inlineStr">
        <is>
          <t>YN</t>
        </is>
      </c>
      <c r="E178" s="26" t="n">
        <v>0</v>
      </c>
      <c r="F178" s="26" t="n">
        <v>0</v>
      </c>
      <c r="G178" s="26" t="n">
        <v>1</v>
      </c>
      <c r="H178" s="26" t="n">
        <v>0</v>
      </c>
      <c r="I178" s="27">
        <f>IF(C178="",0,IFERROR(INDEX($E178:$H178,MATCH('Recepción'!$C$5,$E$1:$H$1,0)),0))</f>
        <v/>
      </c>
      <c r="J178" s="27">
        <f>IF(I178=0,0,IF(A178="S",1,IF(A178="BH",IF(COUNTIFS(A179:A501,"B",J179:J501,1)&gt;0,1,0),IF(OR(B178='Recepción'!$C$13,B178='Recepción'!$C$14,B178='Recepción'!$C$15,AND(B178="Contacto con líquido",'Recepción'!$D$29="Sí"),AND(B178="Golpe / Caída",'Recepción'!$D$28="Sí"),AND(B178="No enciende",'Recepción'!$D$31="No")),1,0))))</f>
        <v/>
      </c>
      <c r="K178" s="27">
        <f>IF(J178=1,COUNTIF($J$2:J178,1),0)</f>
        <v/>
      </c>
    </row>
    <row r="179">
      <c r="A179" s="24" t="inlineStr">
        <is>
          <t>S</t>
        </is>
      </c>
      <c r="B179" s="25" t="inlineStr">
        <is>
          <t>Accesorios entregados</t>
        </is>
      </c>
      <c r="C179" s="25" t="inlineStr">
        <is>
          <t>¿Entregó mouse?</t>
        </is>
      </c>
      <c r="D179" s="24" t="inlineStr">
        <is>
          <t>YN</t>
        </is>
      </c>
      <c r="E179" s="26" t="n">
        <v>0</v>
      </c>
      <c r="F179" s="26" t="n">
        <v>0</v>
      </c>
      <c r="G179" s="26" t="n">
        <v>1</v>
      </c>
      <c r="H179" s="26" t="n">
        <v>0</v>
      </c>
      <c r="I179" s="27">
        <f>IF(C179="",0,IFERROR(INDEX($E179:$H179,MATCH('Recepción'!$C$5,$E$1:$H$1,0)),0))</f>
        <v/>
      </c>
      <c r="J179" s="27">
        <f>IF(I179=0,0,IF(A179="S",1,IF(A179="BH",IF(COUNTIFS(A180:A501,"B",J180:J501,1)&gt;0,1,0),IF(OR(B179='Recepción'!$C$13,B179='Recepción'!$C$14,B179='Recepción'!$C$15,AND(B179="Contacto con líquido",'Recepción'!$D$29="Sí"),AND(B179="Golpe / Caída",'Recepción'!$D$28="Sí"),AND(B179="No enciende",'Recepción'!$D$31="No")),1,0))))</f>
        <v/>
      </c>
      <c r="K179" s="27">
        <f>IF(J179=1,COUNTIF($J$2:J179,1),0)</f>
        <v/>
      </c>
    </row>
    <row r="180">
      <c r="A180" s="24" t="inlineStr">
        <is>
          <t>S</t>
        </is>
      </c>
      <c r="B180" s="25" t="inlineStr">
        <is>
          <t>Accesorios entregados</t>
        </is>
      </c>
      <c r="C180" s="25" t="inlineStr">
        <is>
          <t>¿Entregó teclado externo?</t>
        </is>
      </c>
      <c r="D180" s="24" t="inlineStr">
        <is>
          <t>YN</t>
        </is>
      </c>
      <c r="E180" s="26" t="n">
        <v>0</v>
      </c>
      <c r="F180" s="26" t="n">
        <v>0</v>
      </c>
      <c r="G180" s="26" t="n">
        <v>1</v>
      </c>
      <c r="H180" s="26" t="n">
        <v>0</v>
      </c>
      <c r="I180" s="27">
        <f>IF(C180="",0,IFERROR(INDEX($E180:$H180,MATCH('Recepción'!$C$5,$E$1:$H$1,0)),0))</f>
        <v/>
      </c>
      <c r="J180" s="27">
        <f>IF(I180=0,0,IF(A180="S",1,IF(A180="BH",IF(COUNTIFS(A181:A501,"B",J181:J501,1)&gt;0,1,0),IF(OR(B180='Recepción'!$C$13,B180='Recepción'!$C$14,B180='Recepción'!$C$15,AND(B180="Contacto con líquido",'Recepción'!$D$29="Sí"),AND(B180="Golpe / Caída",'Recepción'!$D$28="Sí"),AND(B180="No enciende",'Recepción'!$D$31="No")),1,0))))</f>
        <v/>
      </c>
      <c r="K180" s="27">
        <f>IF(J180=1,COUNTIF($J$2:J180,1),0)</f>
        <v/>
      </c>
    </row>
    <row r="181">
      <c r="A181" s="24" t="inlineStr">
        <is>
          <t>S</t>
        </is>
      </c>
      <c r="B181" s="25" t="inlineStr">
        <is>
          <t>Accesorios entregados</t>
        </is>
      </c>
      <c r="C181" s="25" t="inlineStr">
        <is>
          <t>¿Entregó monitor?</t>
        </is>
      </c>
      <c r="D181" s="24" t="inlineStr">
        <is>
          <t>YN</t>
        </is>
      </c>
      <c r="E181" s="26" t="n">
        <v>0</v>
      </c>
      <c r="F181" s="26" t="n">
        <v>0</v>
      </c>
      <c r="G181" s="26" t="n">
        <v>1</v>
      </c>
      <c r="H181" s="26" t="n">
        <v>0</v>
      </c>
      <c r="I181" s="27">
        <f>IF(C181="",0,IFERROR(INDEX($E181:$H181,MATCH('Recepción'!$C$5,$E$1:$H$1,0)),0))</f>
        <v/>
      </c>
      <c r="J181" s="27">
        <f>IF(I181=0,0,IF(A181="S",1,IF(A181="BH",IF(COUNTIFS(A182:A501,"B",J182:J501,1)&gt;0,1,0),IF(OR(B181='Recepción'!$C$13,B181='Recepción'!$C$14,B181='Recepción'!$C$15,AND(B181="Contacto con líquido",'Recepción'!$D$29="Sí"),AND(B181="Golpe / Caída",'Recepción'!$D$28="Sí"),AND(B181="No enciende",'Recepción'!$D$31="No")),1,0))))</f>
        <v/>
      </c>
      <c r="K181" s="27">
        <f>IF(J181=1,COUNTIF($J$2:J181,1),0)</f>
        <v/>
      </c>
    </row>
    <row r="182">
      <c r="A182" s="24" t="inlineStr">
        <is>
          <t>S</t>
        </is>
      </c>
      <c r="B182" s="25" t="inlineStr">
        <is>
          <t>Accesorios entregados</t>
        </is>
      </c>
      <c r="C182" s="25" t="inlineStr">
        <is>
          <t>¿Entregó cable de poder?</t>
        </is>
      </c>
      <c r="D182" s="24" t="inlineStr">
        <is>
          <t>YN</t>
        </is>
      </c>
      <c r="E182" s="26" t="n">
        <v>0</v>
      </c>
      <c r="F182" s="26" t="n">
        <v>0</v>
      </c>
      <c r="G182" s="26" t="n">
        <v>0</v>
      </c>
      <c r="H182" s="26" t="n">
        <v>1</v>
      </c>
      <c r="I182" s="27">
        <f>IF(C182="",0,IFERROR(INDEX($E182:$H182,MATCH('Recepción'!$C$5,$E$1:$H$1,0)),0))</f>
        <v/>
      </c>
      <c r="J182" s="27">
        <f>IF(I182=0,0,IF(A182="S",1,IF(A182="BH",IF(COUNTIFS(A183:A501,"B",J183:J501,1)&gt;0,1,0),IF(OR(B182='Recepción'!$C$13,B182='Recepción'!$C$14,B182='Recepción'!$C$15,AND(B182="Contacto con líquido",'Recepción'!$D$29="Sí"),AND(B182="Golpe / Caída",'Recepción'!$D$28="Sí"),AND(B182="No enciende",'Recepción'!$D$31="No")),1,0))))</f>
        <v/>
      </c>
      <c r="K182" s="27">
        <f>IF(J182=1,COUNTIF($J$2:J182,1),0)</f>
        <v/>
      </c>
    </row>
    <row r="183">
      <c r="A183" s="24" t="inlineStr">
        <is>
          <t>S</t>
        </is>
      </c>
      <c r="B183" s="25" t="inlineStr">
        <is>
          <t>Accesorios entregados</t>
        </is>
      </c>
      <c r="C183" s="25" t="inlineStr">
        <is>
          <t>¿Entregó cable HDMI?</t>
        </is>
      </c>
      <c r="D183" s="24" t="inlineStr">
        <is>
          <t>YN</t>
        </is>
      </c>
      <c r="E183" s="26" t="n">
        <v>0</v>
      </c>
      <c r="F183" s="26" t="n">
        <v>0</v>
      </c>
      <c r="G183" s="26" t="n">
        <v>0</v>
      </c>
      <c r="H183" s="26" t="n">
        <v>1</v>
      </c>
      <c r="I183" s="27">
        <f>IF(C183="",0,IFERROR(INDEX($E183:$H183,MATCH('Recepción'!$C$5,$E$1:$H$1,0)),0))</f>
        <v/>
      </c>
      <c r="J183" s="27">
        <f>IF(I183=0,0,IF(A183="S",1,IF(A183="BH",IF(COUNTIFS(A184:A501,"B",J184:J501,1)&gt;0,1,0),IF(OR(B183='Recepción'!$C$13,B183='Recepción'!$C$14,B183='Recepción'!$C$15,AND(B183="Contacto con líquido",'Recepción'!$D$29="Sí"),AND(B183="Golpe / Caída",'Recepción'!$D$28="Sí"),AND(B183="No enciende",'Recepción'!$D$31="No")),1,0))))</f>
        <v/>
      </c>
      <c r="K183" s="27">
        <f>IF(J183=1,COUNTIF($J$2:J183,1),0)</f>
        <v/>
      </c>
    </row>
    <row r="184">
      <c r="A184" s="24" t="inlineStr">
        <is>
          <t>S</t>
        </is>
      </c>
      <c r="B184" s="25" t="inlineStr">
        <is>
          <t>Accesorios entregados</t>
        </is>
      </c>
      <c r="C184" s="25" t="inlineStr">
        <is>
          <t>¿Entregó control(es)?</t>
        </is>
      </c>
      <c r="D184" s="24" t="inlineStr">
        <is>
          <t>YN</t>
        </is>
      </c>
      <c r="E184" s="26" t="n">
        <v>0</v>
      </c>
      <c r="F184" s="26" t="n">
        <v>0</v>
      </c>
      <c r="G184" s="26" t="n">
        <v>0</v>
      </c>
      <c r="H184" s="26" t="n">
        <v>1</v>
      </c>
      <c r="I184" s="27">
        <f>IF(C184="",0,IFERROR(INDEX($E184:$H184,MATCH('Recepción'!$C$5,$E$1:$H$1,0)),0))</f>
        <v/>
      </c>
      <c r="J184" s="27">
        <f>IF(I184=0,0,IF(A184="S",1,IF(A184="BH",IF(COUNTIFS(A185:A501,"B",J185:J501,1)&gt;0,1,0),IF(OR(B184='Recepción'!$C$13,B184='Recepción'!$C$14,B184='Recepción'!$C$15,AND(B184="Contacto con líquido",'Recepción'!$D$29="Sí"),AND(B184="Golpe / Caída",'Recepción'!$D$28="Sí"),AND(B184="No enciende",'Recepción'!$D$31="No")),1,0))))</f>
        <v/>
      </c>
      <c r="K184" s="27">
        <f>IF(J184=1,COUNTIF($J$2:J184,1),0)</f>
        <v/>
      </c>
    </row>
    <row r="185">
      <c r="A185" s="24" t="inlineStr">
        <is>
          <t>S</t>
        </is>
      </c>
      <c r="B185" s="25" t="inlineStr">
        <is>
          <t>Accesorios entregados</t>
        </is>
      </c>
      <c r="C185" s="25" t="inlineStr">
        <is>
          <t>¿Entregó base / dock?</t>
        </is>
      </c>
      <c r="D185" s="24" t="inlineStr">
        <is>
          <t>YN</t>
        </is>
      </c>
      <c r="E185" s="26" t="n">
        <v>0</v>
      </c>
      <c r="F185" s="26" t="n">
        <v>0</v>
      </c>
      <c r="G185" s="26" t="n">
        <v>0</v>
      </c>
      <c r="H185" s="26" t="n">
        <v>1</v>
      </c>
      <c r="I185" s="27">
        <f>IF(C185="",0,IFERROR(INDEX($E185:$H185,MATCH('Recepción'!$C$5,$E$1:$H$1,0)),0))</f>
        <v/>
      </c>
      <c r="J185" s="27">
        <f>IF(I185=0,0,IF(A185="S",1,IF(A185="BH",IF(COUNTIFS(A186:A501,"B",J186:J501,1)&gt;0,1,0),IF(OR(B185='Recepción'!$C$13,B185='Recepción'!$C$14,B185='Recepción'!$C$15,AND(B185="Contacto con líquido",'Recepción'!$D$29="Sí"),AND(B185="Golpe / Caída",'Recepción'!$D$28="Sí"),AND(B185="No enciende",'Recepción'!$D$31="No")),1,0))))</f>
        <v/>
      </c>
      <c r="K185" s="27">
        <f>IF(J185=1,COUNTIF($J$2:J185,1),0)</f>
        <v/>
      </c>
    </row>
    <row r="186">
      <c r="A186" s="24" t="inlineStr">
        <is>
          <t>S</t>
        </is>
      </c>
      <c r="B186" s="25" t="inlineStr">
        <is>
          <t>Accesorios entregados</t>
        </is>
      </c>
      <c r="C186" s="25" t="inlineStr">
        <is>
          <t>¿Entregó discos o juegos?</t>
        </is>
      </c>
      <c r="D186" s="24" t="inlineStr">
        <is>
          <t>YN</t>
        </is>
      </c>
      <c r="E186" s="26" t="n">
        <v>0</v>
      </c>
      <c r="F186" s="26" t="n">
        <v>0</v>
      </c>
      <c r="G186" s="26" t="n">
        <v>0</v>
      </c>
      <c r="H186" s="26" t="n">
        <v>1</v>
      </c>
      <c r="I186" s="27">
        <f>IF(C186="",0,IFERROR(INDEX($E186:$H186,MATCH('Recepción'!$C$5,$E$1:$H$1,0)),0))</f>
        <v/>
      </c>
      <c r="J186" s="27">
        <f>IF(I186=0,0,IF(A186="S",1,IF(A186="BH",IF(COUNTIFS(A187:A501,"B",J187:J501,1)&gt;0,1,0),IF(OR(B186='Recepción'!$C$13,B186='Recepción'!$C$14,B186='Recepción'!$C$15,AND(B186="Contacto con líquido",'Recepción'!$D$29="Sí"),AND(B186="Golpe / Caída",'Recepción'!$D$28="Sí"),AND(B186="No enciende",'Recepción'!$D$31="No")),1,0))))</f>
        <v/>
      </c>
      <c r="K186" s="27">
        <f>IF(J186=1,COUNTIF($J$2:J186,1),0)</f>
        <v/>
      </c>
    </row>
    <row r="187">
      <c r="A187" s="24" t="inlineStr">
        <is>
          <t>S</t>
        </is>
      </c>
      <c r="B187" s="25" t="inlineStr">
        <is>
          <t>Accesorios entregados</t>
        </is>
      </c>
      <c r="C187" s="25" t="inlineStr">
        <is>
          <t>¿Entregó cable USB / carga?</t>
        </is>
      </c>
      <c r="D187" s="24" t="inlineStr">
        <is>
          <t>YN</t>
        </is>
      </c>
      <c r="E187" s="26" t="n">
        <v>0</v>
      </c>
      <c r="F187" s="26" t="n">
        <v>0</v>
      </c>
      <c r="G187" s="26" t="n">
        <v>0</v>
      </c>
      <c r="H187" s="26" t="n">
        <v>1</v>
      </c>
      <c r="I187" s="27">
        <f>IF(C187="",0,IFERROR(INDEX($E187:$H187,MATCH('Recepción'!$C$5,$E$1:$H$1,0)),0))</f>
        <v/>
      </c>
      <c r="J187" s="27">
        <f>IF(I187=0,0,IF(A187="S",1,IF(A187="BH",IF(COUNTIFS(A188:A501,"B",J188:J501,1)&gt;0,1,0),IF(OR(B187='Recepción'!$C$13,B187='Recepción'!$C$14,B187='Recepción'!$C$15,AND(B187="Contacto con líquido",'Recepción'!$D$29="Sí"),AND(B187="Golpe / Caída",'Recepción'!$D$28="Sí"),AND(B187="No enciende",'Recepción'!$D$31="No")),1,0))))</f>
        <v/>
      </c>
      <c r="K187" s="27">
        <f>IF(J187=1,COUNTIF($J$2:J187,1),0)</f>
        <v/>
      </c>
    </row>
    <row r="188">
      <c r="A188" s="24" t="inlineStr">
        <is>
          <t>S</t>
        </is>
      </c>
      <c r="B188" s="25" t="inlineStr">
        <is>
          <t>Accesorios entregados</t>
        </is>
      </c>
      <c r="C188" s="25" t="inlineStr">
        <is>
          <t>¿Entregó otro accesorio?</t>
        </is>
      </c>
      <c r="D188" s="24" t="inlineStr">
        <is>
          <t>YN</t>
        </is>
      </c>
      <c r="E188" s="26" t="n">
        <v>1</v>
      </c>
      <c r="F188" s="26" t="n">
        <v>1</v>
      </c>
      <c r="G188" s="26" t="n">
        <v>1</v>
      </c>
      <c r="H188" s="26" t="n">
        <v>1</v>
      </c>
      <c r="I188" s="27">
        <f>IF(C188="",0,IFERROR(INDEX($E188:$H188,MATCH('Recepción'!$C$5,$E$1:$H$1,0)),0))</f>
        <v/>
      </c>
      <c r="J188" s="27">
        <f>IF(I188=0,0,IF(A188="S",1,IF(A188="BH",IF(COUNTIFS(A189:A501,"B",J189:J501,1)&gt;0,1,0),IF(OR(B188='Recepción'!$C$13,B188='Recepción'!$C$14,B188='Recepción'!$C$15,AND(B188="Contacto con líquido",'Recepción'!$D$29="Sí"),AND(B188="Golpe / Caída",'Recepción'!$D$28="Sí"),AND(B188="No enciende",'Recepción'!$D$31="No")),1,0))))</f>
        <v/>
      </c>
      <c r="K188" s="27">
        <f>IF(J188=1,COUNTIF($J$2:J188,1),0)</f>
        <v/>
      </c>
    </row>
    <row r="189">
      <c r="A189" s="24" t="inlineStr">
        <is>
          <t>S</t>
        </is>
      </c>
      <c r="B189" s="25" t="inlineStr">
        <is>
          <t>Fotografías de recepción</t>
        </is>
      </c>
      <c r="C189" s="25" t="inlineStr">
        <is>
          <t>¿Se tomó la foto frontal?</t>
        </is>
      </c>
      <c r="D189" s="24" t="inlineStr">
        <is>
          <t>YN</t>
        </is>
      </c>
      <c r="E189" s="26" t="n">
        <v>1</v>
      </c>
      <c r="F189" s="26" t="n">
        <v>1</v>
      </c>
      <c r="G189" s="26" t="n">
        <v>1</v>
      </c>
      <c r="H189" s="26" t="n">
        <v>1</v>
      </c>
      <c r="I189" s="27">
        <f>IF(C189="",0,IFERROR(INDEX($E189:$H189,MATCH('Recepción'!$C$5,$E$1:$H$1,0)),0))</f>
        <v/>
      </c>
      <c r="J189" s="27">
        <f>IF(I189=0,0,IF(A189="S",1,IF(A189="BH",IF(COUNTIFS(A190:A501,"B",J190:J501,1)&gt;0,1,0),IF(OR(B189='Recepción'!$C$13,B189='Recepción'!$C$14,B189='Recepción'!$C$15,AND(B189="Contacto con líquido",'Recepción'!$D$29="Sí"),AND(B189="Golpe / Caída",'Recepción'!$D$28="Sí"),AND(B189="No enciende",'Recepción'!$D$31="No")),1,0))))</f>
        <v/>
      </c>
      <c r="K189" s="27">
        <f>IF(J189=1,COUNTIF($J$2:J189,1),0)</f>
        <v/>
      </c>
    </row>
    <row r="190">
      <c r="A190" s="24" t="inlineStr">
        <is>
          <t>S</t>
        </is>
      </c>
      <c r="B190" s="25" t="inlineStr">
        <is>
          <t>Fotografías de recepción</t>
        </is>
      </c>
      <c r="C190" s="25" t="inlineStr">
        <is>
          <t>¿Se tomó la foto posterior?</t>
        </is>
      </c>
      <c r="D190" s="24" t="inlineStr">
        <is>
          <t>YN</t>
        </is>
      </c>
      <c r="E190" s="26" t="n">
        <v>1</v>
      </c>
      <c r="F190" s="26" t="n">
        <v>1</v>
      </c>
      <c r="G190" s="26" t="n">
        <v>1</v>
      </c>
      <c r="H190" s="26" t="n">
        <v>1</v>
      </c>
      <c r="I190" s="27">
        <f>IF(C190="",0,IFERROR(INDEX($E190:$H190,MATCH('Recepción'!$C$5,$E$1:$H$1,0)),0))</f>
        <v/>
      </c>
      <c r="J190" s="27">
        <f>IF(I190=0,0,IF(A190="S",1,IF(A190="BH",IF(COUNTIFS(A191:A501,"B",J191:J501,1)&gt;0,1,0),IF(OR(B190='Recepción'!$C$13,B190='Recepción'!$C$14,B190='Recepción'!$C$15,AND(B190="Contacto con líquido",'Recepción'!$D$29="Sí"),AND(B190="Golpe / Caída",'Recepción'!$D$28="Sí"),AND(B190="No enciende",'Recepción'!$D$31="No")),1,0))))</f>
        <v/>
      </c>
      <c r="K190" s="27">
        <f>IF(J190=1,COUNTIF($J$2:J190,1),0)</f>
        <v/>
      </c>
    </row>
    <row r="191">
      <c r="A191" s="24" t="inlineStr">
        <is>
          <t>S</t>
        </is>
      </c>
      <c r="B191" s="25" t="inlineStr">
        <is>
          <t>Fotografías de recepción</t>
        </is>
      </c>
      <c r="C191" s="25" t="inlineStr">
        <is>
          <t>¿Se tomaron las fotos laterales?</t>
        </is>
      </c>
      <c r="D191" s="24" t="inlineStr">
        <is>
          <t>YN</t>
        </is>
      </c>
      <c r="E191" s="26" t="n">
        <v>1</v>
      </c>
      <c r="F191" s="26" t="n">
        <v>1</v>
      </c>
      <c r="G191" s="26" t="n">
        <v>1</v>
      </c>
      <c r="H191" s="26" t="n">
        <v>1</v>
      </c>
      <c r="I191" s="27">
        <f>IF(C191="",0,IFERROR(INDEX($E191:$H191,MATCH('Recepción'!$C$5,$E$1:$H$1,0)),0))</f>
        <v/>
      </c>
      <c r="J191" s="27">
        <f>IF(I191=0,0,IF(A191="S",1,IF(A191="BH",IF(COUNTIFS(A192:A501,"B",J192:J501,1)&gt;0,1,0),IF(OR(B191='Recepción'!$C$13,B191='Recepción'!$C$14,B191='Recepción'!$C$15,AND(B191="Contacto con líquido",'Recepción'!$D$29="Sí"),AND(B191="Golpe / Caída",'Recepción'!$D$28="Sí"),AND(B191="No enciende",'Recepción'!$D$31="No")),1,0))))</f>
        <v/>
      </c>
      <c r="K191" s="27">
        <f>IF(J191=1,COUNTIF($J$2:J191,1),0)</f>
        <v/>
      </c>
    </row>
    <row r="192">
      <c r="A192" s="24" t="inlineStr">
        <is>
          <t>S</t>
        </is>
      </c>
      <c r="B192" s="25" t="inlineStr">
        <is>
          <t>Fotografías de recepción</t>
        </is>
      </c>
      <c r="C192" s="25" t="inlineStr">
        <is>
          <t>¿Se tomó la foto de la pantalla?</t>
        </is>
      </c>
      <c r="D192" s="24" t="inlineStr">
        <is>
          <t>YN</t>
        </is>
      </c>
      <c r="E192" s="26" t="n">
        <v>1</v>
      </c>
      <c r="F192" s="26" t="n">
        <v>1</v>
      </c>
      <c r="G192" s="26" t="n">
        <v>1</v>
      </c>
      <c r="H192" s="26" t="n">
        <v>0</v>
      </c>
      <c r="I192" s="27">
        <f>IF(C192="",0,IFERROR(INDEX($E192:$H192,MATCH('Recepción'!$C$5,$E$1:$H$1,0)),0))</f>
        <v/>
      </c>
      <c r="J192" s="27">
        <f>IF(I192=0,0,IF(A192="S",1,IF(A192="BH",IF(COUNTIFS(A193:A501,"B",J193:J501,1)&gt;0,1,0),IF(OR(B192='Recepción'!$C$13,B192='Recepción'!$C$14,B192='Recepción'!$C$15,AND(B192="Contacto con líquido",'Recepción'!$D$29="Sí"),AND(B192="Golpe / Caída",'Recepción'!$D$28="Sí"),AND(B192="No enciende",'Recepción'!$D$31="No")),1,0))))</f>
        <v/>
      </c>
      <c r="K192" s="27">
        <f>IF(J192=1,COUNTIF($J$2:J192,1),0)</f>
        <v/>
      </c>
    </row>
    <row r="193">
      <c r="A193" s="24" t="inlineStr">
        <is>
          <t>S</t>
        </is>
      </c>
      <c r="B193" s="25" t="inlineStr">
        <is>
          <t>Fotografías de recepción</t>
        </is>
      </c>
      <c r="C193" s="25" t="inlineStr">
        <is>
          <t>¿Se tomó la foto del serial / IMEI?</t>
        </is>
      </c>
      <c r="D193" s="24" t="inlineStr">
        <is>
          <t>YN</t>
        </is>
      </c>
      <c r="E193" s="26" t="n">
        <v>1</v>
      </c>
      <c r="F193" s="26" t="n">
        <v>1</v>
      </c>
      <c r="G193" s="26" t="n">
        <v>1</v>
      </c>
      <c r="H193" s="26" t="n">
        <v>1</v>
      </c>
      <c r="I193" s="27">
        <f>IF(C193="",0,IFERROR(INDEX($E193:$H193,MATCH('Recepción'!$C$5,$E$1:$H$1,0)),0))</f>
        <v/>
      </c>
      <c r="J193" s="27">
        <f>IF(I193=0,0,IF(A193="S",1,IF(A193="BH",IF(COUNTIFS(A194:A501,"B",J194:J501,1)&gt;0,1,0),IF(OR(B193='Recepción'!$C$13,B193='Recepción'!$C$14,B193='Recepción'!$C$15,AND(B193="Contacto con líquido",'Recepción'!$D$29="Sí"),AND(B193="Golpe / Caída",'Recepción'!$D$28="Sí"),AND(B193="No enciende",'Recepción'!$D$31="No")),1,0))))</f>
        <v/>
      </c>
      <c r="K193" s="27">
        <f>IF(J193=1,COUNTIF($J$2:J193,1),0)</f>
        <v/>
      </c>
    </row>
    <row r="194">
      <c r="A194" s="24" t="inlineStr">
        <is>
          <t>S</t>
        </is>
      </c>
      <c r="B194" s="25" t="inlineStr">
        <is>
          <t>Fotografías de recepción</t>
        </is>
      </c>
      <c r="C194" s="25" t="inlineStr">
        <is>
          <t>¿Se tomó la foto de los daños existentes?</t>
        </is>
      </c>
      <c r="D194" s="24" t="inlineStr">
        <is>
          <t>YN</t>
        </is>
      </c>
      <c r="E194" s="26" t="n">
        <v>1</v>
      </c>
      <c r="F194" s="26" t="n">
        <v>1</v>
      </c>
      <c r="G194" s="26" t="n">
        <v>1</v>
      </c>
      <c r="H194" s="26" t="n">
        <v>1</v>
      </c>
      <c r="I194" s="27">
        <f>IF(C194="",0,IFERROR(INDEX($E194:$H194,MATCH('Recepción'!$C$5,$E$1:$H$1,0)),0))</f>
        <v/>
      </c>
      <c r="J194" s="27">
        <f>IF(I194=0,0,IF(A194="S",1,IF(A194="BH",IF(COUNTIFS(A195:A501,"B",J195:J501,1)&gt;0,1,0),IF(OR(B194='Recepción'!$C$13,B194='Recepción'!$C$14,B194='Recepción'!$C$15,AND(B194="Contacto con líquido",'Recepción'!$D$29="Sí"),AND(B194="Golpe / Caída",'Recepción'!$D$28="Sí"),AND(B194="No enciende",'Recepción'!$D$31="No")),1,0))))</f>
        <v/>
      </c>
      <c r="K194" s="27">
        <f>IF(J194=1,COUNTIF($J$2:J194,1),0)</f>
        <v/>
      </c>
    </row>
    <row r="195">
      <c r="A195" s="24" t="inlineStr">
        <is>
          <t>S</t>
        </is>
      </c>
      <c r="B195" s="25" t="inlineStr">
        <is>
          <t>Pruebas funcionales de ingreso</t>
        </is>
      </c>
      <c r="C195" s="25" t="inlineStr">
        <is>
          <t>¿Funciona: pantalla táctil?</t>
        </is>
      </c>
      <c r="D195" s="24" t="inlineStr">
        <is>
          <t>FUN</t>
        </is>
      </c>
      <c r="E195" s="26" t="n">
        <v>1</v>
      </c>
      <c r="F195" s="26" t="n">
        <v>0</v>
      </c>
      <c r="G195" s="26" t="n">
        <v>0</v>
      </c>
      <c r="H195" s="26" t="n">
        <v>0</v>
      </c>
      <c r="I195" s="27">
        <f>IF(C195="",0,IFERROR(INDEX($E195:$H195,MATCH('Recepción'!$C$5,$E$1:$H$1,0)),0))</f>
        <v/>
      </c>
      <c r="J195" s="27">
        <f>IF(I195=0,0,IF(A195="S",1,IF(A195="BH",IF(COUNTIFS(A196:A501,"B",J196:J501,1)&gt;0,1,0),IF(OR(B195='Recepción'!$C$13,B195='Recepción'!$C$14,B195='Recepción'!$C$15,AND(B195="Contacto con líquido",'Recepción'!$D$29="Sí"),AND(B195="Golpe / Caída",'Recepción'!$D$28="Sí"),AND(B195="No enciende",'Recepción'!$D$31="No")),1,0))))</f>
        <v/>
      </c>
      <c r="K195" s="27">
        <f>IF(J195=1,COUNTIF($J$2:J195,1),0)</f>
        <v/>
      </c>
    </row>
    <row r="196">
      <c r="A196" s="24" t="inlineStr">
        <is>
          <t>S</t>
        </is>
      </c>
      <c r="B196" s="25" t="inlineStr">
        <is>
          <t>Pruebas funcionales de ingreso</t>
        </is>
      </c>
      <c r="C196" s="25" t="inlineStr">
        <is>
          <t>¿Funciona: botones (encendido / volumen)?</t>
        </is>
      </c>
      <c r="D196" s="24" t="inlineStr">
        <is>
          <t>FUN</t>
        </is>
      </c>
      <c r="E196" s="26" t="n">
        <v>1</v>
      </c>
      <c r="F196" s="26" t="n">
        <v>0</v>
      </c>
      <c r="G196" s="26" t="n">
        <v>0</v>
      </c>
      <c r="H196" s="26" t="n">
        <v>0</v>
      </c>
      <c r="I196" s="27">
        <f>IF(C196="",0,IFERROR(INDEX($E196:$H196,MATCH('Recepción'!$C$5,$E$1:$H$1,0)),0))</f>
        <v/>
      </c>
      <c r="J196" s="27">
        <f>IF(I196=0,0,IF(A196="S",1,IF(A196="BH",IF(COUNTIFS(A197:A501,"B",J197:J501,1)&gt;0,1,0),IF(OR(B196='Recepción'!$C$13,B196='Recepción'!$C$14,B196='Recepción'!$C$15,AND(B196="Contacto con líquido",'Recepción'!$D$29="Sí"),AND(B196="Golpe / Caída",'Recepción'!$D$28="Sí"),AND(B196="No enciende",'Recepción'!$D$31="No")),1,0))))</f>
        <v/>
      </c>
      <c r="K196" s="27">
        <f>IF(J196=1,COUNTIF($J$2:J196,1),0)</f>
        <v/>
      </c>
    </row>
    <row r="197">
      <c r="A197" s="24" t="inlineStr">
        <is>
          <t>S</t>
        </is>
      </c>
      <c r="B197" s="25" t="inlineStr">
        <is>
          <t>Pruebas funcionales de ingreso</t>
        </is>
      </c>
      <c r="C197" s="25" t="inlineStr">
        <is>
          <t>¿Funciona: bocina y micrófono?</t>
        </is>
      </c>
      <c r="D197" s="24" t="inlineStr">
        <is>
          <t>FUN</t>
        </is>
      </c>
      <c r="E197" s="26" t="n">
        <v>1</v>
      </c>
      <c r="F197" s="26" t="n">
        <v>0</v>
      </c>
      <c r="G197" s="26" t="n">
        <v>0</v>
      </c>
      <c r="H197" s="26" t="n">
        <v>0</v>
      </c>
      <c r="I197" s="27">
        <f>IF(C197="",0,IFERROR(INDEX($E197:$H197,MATCH('Recepción'!$C$5,$E$1:$H$1,0)),0))</f>
        <v/>
      </c>
      <c r="J197" s="27">
        <f>IF(I197=0,0,IF(A197="S",1,IF(A197="BH",IF(COUNTIFS(A198:A501,"B",J198:J501,1)&gt;0,1,0),IF(OR(B197='Recepción'!$C$13,B197='Recepción'!$C$14,B197='Recepción'!$C$15,AND(B197="Contacto con líquido",'Recepción'!$D$29="Sí"),AND(B197="Golpe / Caída",'Recepción'!$D$28="Sí"),AND(B197="No enciende",'Recepción'!$D$31="No")),1,0))))</f>
        <v/>
      </c>
      <c r="K197" s="27">
        <f>IF(J197=1,COUNTIF($J$2:J197,1),0)</f>
        <v/>
      </c>
    </row>
    <row r="198">
      <c r="A198" s="24" t="inlineStr">
        <is>
          <t>S</t>
        </is>
      </c>
      <c r="B198" s="25" t="inlineStr">
        <is>
          <t>Pruebas funcionales de ingreso</t>
        </is>
      </c>
      <c r="C198" s="25" t="inlineStr">
        <is>
          <t>¿Funciona: cámaras?</t>
        </is>
      </c>
      <c r="D198" s="24" t="inlineStr">
        <is>
          <t>FUN</t>
        </is>
      </c>
      <c r="E198" s="26" t="n">
        <v>1</v>
      </c>
      <c r="F198" s="26" t="n">
        <v>0</v>
      </c>
      <c r="G198" s="26" t="n">
        <v>0</v>
      </c>
      <c r="H198" s="26" t="n">
        <v>0</v>
      </c>
      <c r="I198" s="27">
        <f>IF(C198="",0,IFERROR(INDEX($E198:$H198,MATCH('Recepción'!$C$5,$E$1:$H$1,0)),0))</f>
        <v/>
      </c>
      <c r="J198" s="27">
        <f>IF(I198=0,0,IF(A198="S",1,IF(A198="BH",IF(COUNTIFS(A199:A501,"B",J199:J501,1)&gt;0,1,0),IF(OR(B198='Recepción'!$C$13,B198='Recepción'!$C$14,B198='Recepción'!$C$15,AND(B198="Contacto con líquido",'Recepción'!$D$29="Sí"),AND(B198="Golpe / Caída",'Recepción'!$D$28="Sí"),AND(B198="No enciende",'Recepción'!$D$31="No")),1,0))))</f>
        <v/>
      </c>
      <c r="K198" s="27">
        <f>IF(J198=1,COUNTIF($J$2:J198,1),0)</f>
        <v/>
      </c>
    </row>
    <row r="199">
      <c r="A199" s="24" t="inlineStr">
        <is>
          <t>S</t>
        </is>
      </c>
      <c r="B199" s="25" t="inlineStr">
        <is>
          <t>Pruebas funcionales de ingreso</t>
        </is>
      </c>
      <c r="C199" s="25" t="inlineStr">
        <is>
          <t>¿Funciona: Wi-Fi / Bluetooth?</t>
        </is>
      </c>
      <c r="D199" s="24" t="inlineStr">
        <is>
          <t>FUN</t>
        </is>
      </c>
      <c r="E199" s="26" t="n">
        <v>1</v>
      </c>
      <c r="F199" s="26" t="n">
        <v>0</v>
      </c>
      <c r="G199" s="26" t="n">
        <v>0</v>
      </c>
      <c r="H199" s="26" t="n">
        <v>0</v>
      </c>
      <c r="I199" s="27">
        <f>IF(C199="",0,IFERROR(INDEX($E199:$H199,MATCH('Recepción'!$C$5,$E$1:$H$1,0)),0))</f>
        <v/>
      </c>
      <c r="J199" s="27">
        <f>IF(I199=0,0,IF(A199="S",1,IF(A199="BH",IF(COUNTIFS(A200:A501,"B",J200:J501,1)&gt;0,1,0),IF(OR(B199='Recepción'!$C$13,B199='Recepción'!$C$14,B199='Recepción'!$C$15,AND(B199="Contacto con líquido",'Recepción'!$D$29="Sí"),AND(B199="Golpe / Caída",'Recepción'!$D$28="Sí"),AND(B199="No enciende",'Recepción'!$D$31="No")),1,0))))</f>
        <v/>
      </c>
      <c r="K199" s="27">
        <f>IF(J199=1,COUNTIF($J$2:J199,1),0)</f>
        <v/>
      </c>
    </row>
    <row r="200">
      <c r="A200" s="24" t="inlineStr">
        <is>
          <t>S</t>
        </is>
      </c>
      <c r="B200" s="25" t="inlineStr">
        <is>
          <t>Pruebas funcionales de ingreso</t>
        </is>
      </c>
      <c r="C200" s="25" t="inlineStr">
        <is>
          <t>¿Funciona: carga?</t>
        </is>
      </c>
      <c r="D200" s="24" t="inlineStr">
        <is>
          <t>FUN</t>
        </is>
      </c>
      <c r="E200" s="26" t="n">
        <v>1</v>
      </c>
      <c r="F200" s="26" t="n">
        <v>0</v>
      </c>
      <c r="G200" s="26" t="n">
        <v>0</v>
      </c>
      <c r="H200" s="26" t="n">
        <v>0</v>
      </c>
      <c r="I200" s="27">
        <f>IF(C200="",0,IFERROR(INDEX($E200:$H200,MATCH('Recepción'!$C$5,$E$1:$H$1,0)),0))</f>
        <v/>
      </c>
      <c r="J200" s="27">
        <f>IF(I200=0,0,IF(A200="S",1,IF(A200="BH",IF(COUNTIFS(A201:A501,"B",J201:J501,1)&gt;0,1,0),IF(OR(B200='Recepción'!$C$13,B200='Recepción'!$C$14,B200='Recepción'!$C$15,AND(B200="Contacto con líquido",'Recepción'!$D$29="Sí"),AND(B200="Golpe / Caída",'Recepción'!$D$28="Sí"),AND(B200="No enciende",'Recepción'!$D$31="No")),1,0))))</f>
        <v/>
      </c>
      <c r="K200" s="27">
        <f>IF(J200=1,COUNTIF($J$2:J200,1),0)</f>
        <v/>
      </c>
    </row>
    <row r="201">
      <c r="A201" s="24" t="inlineStr">
        <is>
          <t>S</t>
        </is>
      </c>
      <c r="B201" s="25" t="inlineStr">
        <is>
          <t>Pruebas funcionales de ingreso</t>
        </is>
      </c>
      <c r="C201" s="25" t="inlineStr">
        <is>
          <t>¿Funciona: huella / Face ID?</t>
        </is>
      </c>
      <c r="D201" s="24" t="inlineStr">
        <is>
          <t>FUN</t>
        </is>
      </c>
      <c r="E201" s="26" t="n">
        <v>1</v>
      </c>
      <c r="F201" s="26" t="n">
        <v>0</v>
      </c>
      <c r="G201" s="26" t="n">
        <v>0</v>
      </c>
      <c r="H201" s="26" t="n">
        <v>0</v>
      </c>
      <c r="I201" s="27">
        <f>IF(C201="",0,IFERROR(INDEX($E201:$H201,MATCH('Recepción'!$C$5,$E$1:$H$1,0)),0))</f>
        <v/>
      </c>
      <c r="J201" s="27">
        <f>IF(I201=0,0,IF(A201="S",1,IF(A201="BH",IF(COUNTIFS(A202:A501,"B",J202:J501,1)&gt;0,1,0),IF(OR(B201='Recepción'!$C$13,B201='Recepción'!$C$14,B201='Recepción'!$C$15,AND(B201="Contacto con líquido",'Recepción'!$D$29="Sí"),AND(B201="Golpe / Caída",'Recepción'!$D$28="Sí"),AND(B201="No enciende",'Recepción'!$D$31="No")),1,0))))</f>
        <v/>
      </c>
      <c r="K201" s="27">
        <f>IF(J201=1,COUNTIF($J$2:J201,1),0)</f>
        <v/>
      </c>
    </row>
    <row r="202">
      <c r="A202" s="24" t="inlineStr">
        <is>
          <t>S</t>
        </is>
      </c>
      <c r="B202" s="25" t="inlineStr">
        <is>
          <t>Pruebas funcionales de ingreso</t>
        </is>
      </c>
      <c r="C202" s="25" t="inlineStr">
        <is>
          <t>¿Funciona: SIM / señal?</t>
        </is>
      </c>
      <c r="D202" s="24" t="inlineStr">
        <is>
          <t>FUN</t>
        </is>
      </c>
      <c r="E202" s="26" t="n">
        <v>1</v>
      </c>
      <c r="F202" s="26" t="n">
        <v>0</v>
      </c>
      <c r="G202" s="26" t="n">
        <v>0</v>
      </c>
      <c r="H202" s="26" t="n">
        <v>0</v>
      </c>
      <c r="I202" s="27">
        <f>IF(C202="",0,IFERROR(INDEX($E202:$H202,MATCH('Recepción'!$C$5,$E$1:$H$1,0)),0))</f>
        <v/>
      </c>
      <c r="J202" s="27">
        <f>IF(I202=0,0,IF(A202="S",1,IF(A202="BH",IF(COUNTIFS(A203:A501,"B",J203:J501,1)&gt;0,1,0),IF(OR(B202='Recepción'!$C$13,B202='Recepción'!$C$14,B202='Recepción'!$C$15,AND(B202="Contacto con líquido",'Recepción'!$D$29="Sí"),AND(B202="Golpe / Caída",'Recepción'!$D$28="Sí"),AND(B202="No enciende",'Recepción'!$D$31="No")),1,0))))</f>
        <v/>
      </c>
      <c r="K202" s="27">
        <f>IF(J202=1,COUNTIF($J$2:J202,1),0)</f>
        <v/>
      </c>
    </row>
    <row r="203">
      <c r="A203" s="24" t="inlineStr">
        <is>
          <t>S</t>
        </is>
      </c>
      <c r="B203" s="25" t="inlineStr">
        <is>
          <t>Pruebas funcionales de ingreso</t>
        </is>
      </c>
      <c r="C203" s="25" t="inlineStr">
        <is>
          <t>¿Funciona: pantalla táctil?</t>
        </is>
      </c>
      <c r="D203" s="24" t="inlineStr">
        <is>
          <t>FUN</t>
        </is>
      </c>
      <c r="E203" s="26" t="n">
        <v>0</v>
      </c>
      <c r="F203" s="26" t="n">
        <v>1</v>
      </c>
      <c r="G203" s="26" t="n">
        <v>0</v>
      </c>
      <c r="H203" s="26" t="n">
        <v>0</v>
      </c>
      <c r="I203" s="27">
        <f>IF(C203="",0,IFERROR(INDEX($E203:$H203,MATCH('Recepción'!$C$5,$E$1:$H$1,0)),0))</f>
        <v/>
      </c>
      <c r="J203" s="27">
        <f>IF(I203=0,0,IF(A203="S",1,IF(A203="BH",IF(COUNTIFS(A204:A501,"B",J204:J501,1)&gt;0,1,0),IF(OR(B203='Recepción'!$C$13,B203='Recepción'!$C$14,B203='Recepción'!$C$15,AND(B203="Contacto con líquido",'Recepción'!$D$29="Sí"),AND(B203="Golpe / Caída",'Recepción'!$D$28="Sí"),AND(B203="No enciende",'Recepción'!$D$31="No")),1,0))))</f>
        <v/>
      </c>
      <c r="K203" s="27">
        <f>IF(J203=1,COUNTIF($J$2:J203,1),0)</f>
        <v/>
      </c>
    </row>
    <row r="204">
      <c r="A204" s="24" t="inlineStr">
        <is>
          <t>S</t>
        </is>
      </c>
      <c r="B204" s="25" t="inlineStr">
        <is>
          <t>Pruebas funcionales de ingreso</t>
        </is>
      </c>
      <c r="C204" s="25" t="inlineStr">
        <is>
          <t>¿Funciona: botones / corona?</t>
        </is>
      </c>
      <c r="D204" s="24" t="inlineStr">
        <is>
          <t>FUN</t>
        </is>
      </c>
      <c r="E204" s="26" t="n">
        <v>0</v>
      </c>
      <c r="F204" s="26" t="n">
        <v>1</v>
      </c>
      <c r="G204" s="26" t="n">
        <v>0</v>
      </c>
      <c r="H204" s="26" t="n">
        <v>0</v>
      </c>
      <c r="I204" s="27">
        <f>IF(C204="",0,IFERROR(INDEX($E204:$H204,MATCH('Recepción'!$C$5,$E$1:$H$1,0)),0))</f>
        <v/>
      </c>
      <c r="J204" s="27">
        <f>IF(I204=0,0,IF(A204="S",1,IF(A204="BH",IF(COUNTIFS(A205:A501,"B",J205:J501,1)&gt;0,1,0),IF(OR(B204='Recepción'!$C$13,B204='Recepción'!$C$14,B204='Recepción'!$C$15,AND(B204="Contacto con líquido",'Recepción'!$D$29="Sí"),AND(B204="Golpe / Caída",'Recepción'!$D$28="Sí"),AND(B204="No enciende",'Recepción'!$D$31="No")),1,0))))</f>
        <v/>
      </c>
      <c r="K204" s="27">
        <f>IF(J204=1,COUNTIF($J$2:J204,1),0)</f>
        <v/>
      </c>
    </row>
    <row r="205">
      <c r="A205" s="24" t="inlineStr">
        <is>
          <t>S</t>
        </is>
      </c>
      <c r="B205" s="25" t="inlineStr">
        <is>
          <t>Pruebas funcionales de ingreso</t>
        </is>
      </c>
      <c r="C205" s="25" t="inlineStr">
        <is>
          <t>¿Funciona: sensor cardíaco?</t>
        </is>
      </c>
      <c r="D205" s="24" t="inlineStr">
        <is>
          <t>FUN</t>
        </is>
      </c>
      <c r="E205" s="26" t="n">
        <v>0</v>
      </c>
      <c r="F205" s="26" t="n">
        <v>1</v>
      </c>
      <c r="G205" s="26" t="n">
        <v>0</v>
      </c>
      <c r="H205" s="26" t="n">
        <v>0</v>
      </c>
      <c r="I205" s="27">
        <f>IF(C205="",0,IFERROR(INDEX($E205:$H205,MATCH('Recepción'!$C$5,$E$1:$H$1,0)),0))</f>
        <v/>
      </c>
      <c r="J205" s="27">
        <f>IF(I205=0,0,IF(A205="S",1,IF(A205="BH",IF(COUNTIFS(A206:A501,"B",J206:J501,1)&gt;0,1,0),IF(OR(B205='Recepción'!$C$13,B205='Recepción'!$C$14,B205='Recepción'!$C$15,AND(B205="Contacto con líquido",'Recepción'!$D$29="Sí"),AND(B205="Golpe / Caída",'Recepción'!$D$28="Sí"),AND(B205="No enciende",'Recepción'!$D$31="No")),1,0))))</f>
        <v/>
      </c>
      <c r="K205" s="27">
        <f>IF(J205=1,COUNTIF($J$2:J205,1),0)</f>
        <v/>
      </c>
    </row>
    <row r="206">
      <c r="A206" s="24" t="inlineStr">
        <is>
          <t>S</t>
        </is>
      </c>
      <c r="B206" s="25" t="inlineStr">
        <is>
          <t>Pruebas funcionales de ingreso</t>
        </is>
      </c>
      <c r="C206" s="25" t="inlineStr">
        <is>
          <t>¿Funciona: carga?</t>
        </is>
      </c>
      <c r="D206" s="24" t="inlineStr">
        <is>
          <t>FUN</t>
        </is>
      </c>
      <c r="E206" s="26" t="n">
        <v>0</v>
      </c>
      <c r="F206" s="26" t="n">
        <v>1</v>
      </c>
      <c r="G206" s="26" t="n">
        <v>0</v>
      </c>
      <c r="H206" s="26" t="n">
        <v>0</v>
      </c>
      <c r="I206" s="27">
        <f>IF(C206="",0,IFERROR(INDEX($E206:$H206,MATCH('Recepción'!$C$5,$E$1:$H$1,0)),0))</f>
        <v/>
      </c>
      <c r="J206" s="27">
        <f>IF(I206=0,0,IF(A206="S",1,IF(A206="BH",IF(COUNTIFS(A207:A501,"B",J207:J501,1)&gt;0,1,0),IF(OR(B206='Recepción'!$C$13,B206='Recepción'!$C$14,B206='Recepción'!$C$15,AND(B206="Contacto con líquido",'Recepción'!$D$29="Sí"),AND(B206="Golpe / Caída",'Recepción'!$D$28="Sí"),AND(B206="No enciende",'Recepción'!$D$31="No")),1,0))))</f>
        <v/>
      </c>
      <c r="K206" s="27">
        <f>IF(J206=1,COUNTIF($J$2:J206,1),0)</f>
        <v/>
      </c>
    </row>
    <row r="207">
      <c r="A207" s="24" t="inlineStr">
        <is>
          <t>S</t>
        </is>
      </c>
      <c r="B207" s="25" t="inlineStr">
        <is>
          <t>Pruebas funcionales de ingreso</t>
        </is>
      </c>
      <c r="C207" s="25" t="inlineStr">
        <is>
          <t>¿Funciona: vinculación con el teléfono?</t>
        </is>
      </c>
      <c r="D207" s="24" t="inlineStr">
        <is>
          <t>FUN</t>
        </is>
      </c>
      <c r="E207" s="26" t="n">
        <v>0</v>
      </c>
      <c r="F207" s="26" t="n">
        <v>1</v>
      </c>
      <c r="G207" s="26" t="n">
        <v>0</v>
      </c>
      <c r="H207" s="26" t="n">
        <v>0</v>
      </c>
      <c r="I207" s="27">
        <f>IF(C207="",0,IFERROR(INDEX($E207:$H207,MATCH('Recepción'!$C$5,$E$1:$H$1,0)),0))</f>
        <v/>
      </c>
      <c r="J207" s="27">
        <f>IF(I207=0,0,IF(A207="S",1,IF(A207="BH",IF(COUNTIFS(A208:A501,"B",J208:J501,1)&gt;0,1,0),IF(OR(B207='Recepción'!$C$13,B207='Recepción'!$C$14,B207='Recepción'!$C$15,AND(B207="Contacto con líquido",'Recepción'!$D$29="Sí"),AND(B207="Golpe / Caída",'Recepción'!$D$28="Sí"),AND(B207="No enciende",'Recepción'!$D$31="No")),1,0))))</f>
        <v/>
      </c>
      <c r="K207" s="27">
        <f>IF(J207=1,COUNTIF($J$2:J207,1),0)</f>
        <v/>
      </c>
    </row>
    <row r="208">
      <c r="A208" s="24" t="inlineStr">
        <is>
          <t>S</t>
        </is>
      </c>
      <c r="B208" s="25" t="inlineStr">
        <is>
          <t>Pruebas funcionales de ingreso</t>
        </is>
      </c>
      <c r="C208" s="25" t="inlineStr">
        <is>
          <t>¿Funciona: batería?</t>
        </is>
      </c>
      <c r="D208" s="24" t="inlineStr">
        <is>
          <t>FUN</t>
        </is>
      </c>
      <c r="E208" s="26" t="n">
        <v>0</v>
      </c>
      <c r="F208" s="26" t="n">
        <v>0</v>
      </c>
      <c r="G208" s="26" t="n">
        <v>1</v>
      </c>
      <c r="H208" s="26" t="n">
        <v>0</v>
      </c>
      <c r="I208" s="27">
        <f>IF(C208="",0,IFERROR(INDEX($E208:$H208,MATCH('Recepción'!$C$5,$E$1:$H$1,0)),0))</f>
        <v/>
      </c>
      <c r="J208" s="27">
        <f>IF(I208=0,0,IF(A208="S",1,IF(A208="BH",IF(COUNTIFS(A209:A501,"B",J209:J501,1)&gt;0,1,0),IF(OR(B208='Recepción'!$C$13,B208='Recepción'!$C$14,B208='Recepción'!$C$15,AND(B208="Contacto con líquido",'Recepción'!$D$29="Sí"),AND(B208="Golpe / Caída",'Recepción'!$D$28="Sí"),AND(B208="No enciende",'Recepción'!$D$31="No")),1,0))))</f>
        <v/>
      </c>
      <c r="K208" s="27">
        <f>IF(J208=1,COUNTIF($J$2:J208,1),0)</f>
        <v/>
      </c>
    </row>
    <row r="209">
      <c r="A209" s="24" t="inlineStr">
        <is>
          <t>S</t>
        </is>
      </c>
      <c r="B209" s="25" t="inlineStr">
        <is>
          <t>Pruebas funcionales de ingreso</t>
        </is>
      </c>
      <c r="C209" s="25" t="inlineStr">
        <is>
          <t>¿Funciona: cargador?</t>
        </is>
      </c>
      <c r="D209" s="24" t="inlineStr">
        <is>
          <t>FUN</t>
        </is>
      </c>
      <c r="E209" s="26" t="n">
        <v>0</v>
      </c>
      <c r="F209" s="26" t="n">
        <v>0</v>
      </c>
      <c r="G209" s="26" t="n">
        <v>1</v>
      </c>
      <c r="H209" s="26" t="n">
        <v>0</v>
      </c>
      <c r="I209" s="27">
        <f>IF(C209="",0,IFERROR(INDEX($E209:$H209,MATCH('Recepción'!$C$5,$E$1:$H$1,0)),0))</f>
        <v/>
      </c>
      <c r="J209" s="27">
        <f>IF(I209=0,0,IF(A209="S",1,IF(A209="BH",IF(COUNTIFS(A210:A501,"B",J210:J501,1)&gt;0,1,0),IF(OR(B209='Recepción'!$C$13,B209='Recepción'!$C$14,B209='Recepción'!$C$15,AND(B209="Contacto con líquido",'Recepción'!$D$29="Sí"),AND(B209="Golpe / Caída",'Recepción'!$D$28="Sí"),AND(B209="No enciende",'Recepción'!$D$31="No")),1,0))))</f>
        <v/>
      </c>
      <c r="K209" s="27">
        <f>IF(J209=1,COUNTIF($J$2:J209,1),0)</f>
        <v/>
      </c>
    </row>
    <row r="210">
      <c r="A210" s="24" t="inlineStr">
        <is>
          <t>S</t>
        </is>
      </c>
      <c r="B210" s="25" t="inlineStr">
        <is>
          <t>Pruebas funcionales de ingreso</t>
        </is>
      </c>
      <c r="C210" s="25" t="inlineStr">
        <is>
          <t>¿Funciona: teclado?</t>
        </is>
      </c>
      <c r="D210" s="24" t="inlineStr">
        <is>
          <t>FUN</t>
        </is>
      </c>
      <c r="E210" s="26" t="n">
        <v>0</v>
      </c>
      <c r="F210" s="26" t="n">
        <v>0</v>
      </c>
      <c r="G210" s="26" t="n">
        <v>1</v>
      </c>
      <c r="H210" s="26" t="n">
        <v>0</v>
      </c>
      <c r="I210" s="27">
        <f>IF(C210="",0,IFERROR(INDEX($E210:$H210,MATCH('Recepción'!$C$5,$E$1:$H$1,0)),0))</f>
        <v/>
      </c>
      <c r="J210" s="27">
        <f>IF(I210=0,0,IF(A210="S",1,IF(A210="BH",IF(COUNTIFS(A211:A501,"B",J211:J501,1)&gt;0,1,0),IF(OR(B210='Recepción'!$C$13,B210='Recepción'!$C$14,B210='Recepción'!$C$15,AND(B210="Contacto con líquido",'Recepción'!$D$29="Sí"),AND(B210="Golpe / Caída",'Recepción'!$D$28="Sí"),AND(B210="No enciende",'Recepción'!$D$31="No")),1,0))))</f>
        <v/>
      </c>
      <c r="K210" s="27">
        <f>IF(J210=1,COUNTIF($J$2:J210,1),0)</f>
        <v/>
      </c>
    </row>
    <row r="211">
      <c r="A211" s="24" t="inlineStr">
        <is>
          <t>S</t>
        </is>
      </c>
      <c r="B211" s="25" t="inlineStr">
        <is>
          <t>Pruebas funcionales de ingreso</t>
        </is>
      </c>
      <c r="C211" s="25" t="inlineStr">
        <is>
          <t>¿Funciona: touchpad / mouse?</t>
        </is>
      </c>
      <c r="D211" s="24" t="inlineStr">
        <is>
          <t>FUN</t>
        </is>
      </c>
      <c r="E211" s="26" t="n">
        <v>0</v>
      </c>
      <c r="F211" s="26" t="n">
        <v>0</v>
      </c>
      <c r="G211" s="26" t="n">
        <v>1</v>
      </c>
      <c r="H211" s="26" t="n">
        <v>0</v>
      </c>
      <c r="I211" s="27">
        <f>IF(C211="",0,IFERROR(INDEX($E211:$H211,MATCH('Recepción'!$C$5,$E$1:$H$1,0)),0))</f>
        <v/>
      </c>
      <c r="J211" s="27">
        <f>IF(I211=0,0,IF(A211="S",1,IF(A211="BH",IF(COUNTIFS(A212:A501,"B",J212:J501,1)&gt;0,1,0),IF(OR(B211='Recepción'!$C$13,B211='Recepción'!$C$14,B211='Recepción'!$C$15,AND(B211="Contacto con líquido",'Recepción'!$D$29="Sí"),AND(B211="Golpe / Caída",'Recepción'!$D$28="Sí"),AND(B211="No enciende",'Recepción'!$D$31="No")),1,0))))</f>
        <v/>
      </c>
      <c r="K211" s="27">
        <f>IF(J211=1,COUNTIF($J$2:J211,1),0)</f>
        <v/>
      </c>
    </row>
    <row r="212">
      <c r="A212" s="24" t="inlineStr">
        <is>
          <t>S</t>
        </is>
      </c>
      <c r="B212" s="25" t="inlineStr">
        <is>
          <t>Pruebas funcionales de ingreso</t>
        </is>
      </c>
      <c r="C212" s="25" t="inlineStr">
        <is>
          <t>¿Funciona: Wi-Fi?</t>
        </is>
      </c>
      <c r="D212" s="24" t="inlineStr">
        <is>
          <t>FUN</t>
        </is>
      </c>
      <c r="E212" s="26" t="n">
        <v>0</v>
      </c>
      <c r="F212" s="26" t="n">
        <v>0</v>
      </c>
      <c r="G212" s="26" t="n">
        <v>1</v>
      </c>
      <c r="H212" s="26" t="n">
        <v>0</v>
      </c>
      <c r="I212" s="27">
        <f>IF(C212="",0,IFERROR(INDEX($E212:$H212,MATCH('Recepción'!$C$5,$E$1:$H$1,0)),0))</f>
        <v/>
      </c>
      <c r="J212" s="27">
        <f>IF(I212=0,0,IF(A212="S",1,IF(A212="BH",IF(COUNTIFS(A213:A501,"B",J213:J501,1)&gt;0,1,0),IF(OR(B212='Recepción'!$C$13,B212='Recepción'!$C$14,B212='Recepción'!$C$15,AND(B212="Contacto con líquido",'Recepción'!$D$29="Sí"),AND(B212="Golpe / Caída",'Recepción'!$D$28="Sí"),AND(B212="No enciende",'Recepción'!$D$31="No")),1,0))))</f>
        <v/>
      </c>
      <c r="K212" s="27">
        <f>IF(J212=1,COUNTIF($J$2:J212,1),0)</f>
        <v/>
      </c>
    </row>
    <row r="213">
      <c r="A213" s="24" t="inlineStr">
        <is>
          <t>S</t>
        </is>
      </c>
      <c r="B213" s="25" t="inlineStr">
        <is>
          <t>Pruebas funcionales de ingreso</t>
        </is>
      </c>
      <c r="C213" s="25" t="inlineStr">
        <is>
          <t>¿Funciona: puertos USB?</t>
        </is>
      </c>
      <c r="D213" s="24" t="inlineStr">
        <is>
          <t>FUN</t>
        </is>
      </c>
      <c r="E213" s="26" t="n">
        <v>0</v>
      </c>
      <c r="F213" s="26" t="n">
        <v>0</v>
      </c>
      <c r="G213" s="26" t="n">
        <v>1</v>
      </c>
      <c r="H213" s="26" t="n">
        <v>0</v>
      </c>
      <c r="I213" s="27">
        <f>IF(C213="",0,IFERROR(INDEX($E213:$H213,MATCH('Recepción'!$C$5,$E$1:$H$1,0)),0))</f>
        <v/>
      </c>
      <c r="J213" s="27">
        <f>IF(I213=0,0,IF(A213="S",1,IF(A213="BH",IF(COUNTIFS(A214:A501,"B",J214:J501,1)&gt;0,1,0),IF(OR(B213='Recepción'!$C$13,B213='Recepción'!$C$14,B213='Recepción'!$C$15,AND(B213="Contacto con líquido",'Recepción'!$D$29="Sí"),AND(B213="Golpe / Caída",'Recepción'!$D$28="Sí"),AND(B213="No enciende",'Recepción'!$D$31="No")),1,0))))</f>
        <v/>
      </c>
      <c r="K213" s="27">
        <f>IF(J213=1,COUNTIF($J$2:J213,1),0)</f>
        <v/>
      </c>
    </row>
    <row r="214">
      <c r="A214" s="24" t="inlineStr">
        <is>
          <t>S</t>
        </is>
      </c>
      <c r="B214" s="25" t="inlineStr">
        <is>
          <t>Pruebas funcionales de ingreso</t>
        </is>
      </c>
      <c r="C214" s="25" t="inlineStr">
        <is>
          <t>¿Funciona: cámara?</t>
        </is>
      </c>
      <c r="D214" s="24" t="inlineStr">
        <is>
          <t>FUN</t>
        </is>
      </c>
      <c r="E214" s="26" t="n">
        <v>0</v>
      </c>
      <c r="F214" s="26" t="n">
        <v>0</v>
      </c>
      <c r="G214" s="26" t="n">
        <v>1</v>
      </c>
      <c r="H214" s="26" t="n">
        <v>0</v>
      </c>
      <c r="I214" s="27">
        <f>IF(C214="",0,IFERROR(INDEX($E214:$H214,MATCH('Recepción'!$C$5,$E$1:$H$1,0)),0))</f>
        <v/>
      </c>
      <c r="J214" s="27">
        <f>IF(I214=0,0,IF(A214="S",1,IF(A214="BH",IF(COUNTIFS(A215:A501,"B",J215:J501,1)&gt;0,1,0),IF(OR(B214='Recepción'!$C$13,B214='Recepción'!$C$14,B214='Recepción'!$C$15,AND(B214="Contacto con líquido",'Recepción'!$D$29="Sí"),AND(B214="Golpe / Caída",'Recepción'!$D$28="Sí"),AND(B214="No enciende",'Recepción'!$D$31="No")),1,0))))</f>
        <v/>
      </c>
      <c r="K214" s="27">
        <f>IF(J214=1,COUNTIF($J$2:J214,1),0)</f>
        <v/>
      </c>
    </row>
    <row r="215">
      <c r="A215" s="24" t="inlineStr">
        <is>
          <t>S</t>
        </is>
      </c>
      <c r="B215" s="25" t="inlineStr">
        <is>
          <t>Pruebas funcionales de ingreso</t>
        </is>
      </c>
      <c r="C215" s="25" t="inlineStr">
        <is>
          <t>¿Funciona: micrófono?</t>
        </is>
      </c>
      <c r="D215" s="24" t="inlineStr">
        <is>
          <t>FUN</t>
        </is>
      </c>
      <c r="E215" s="26" t="n">
        <v>0</v>
      </c>
      <c r="F215" s="26" t="n">
        <v>0</v>
      </c>
      <c r="G215" s="26" t="n">
        <v>1</v>
      </c>
      <c r="H215" s="26" t="n">
        <v>0</v>
      </c>
      <c r="I215" s="27">
        <f>IF(C215="",0,IFERROR(INDEX($E215:$H215,MATCH('Recepción'!$C$5,$E$1:$H$1,0)),0))</f>
        <v/>
      </c>
      <c r="J215" s="27">
        <f>IF(I215=0,0,IF(A215="S",1,IF(A215="BH",IF(COUNTIFS(A216:A501,"B",J216:J501,1)&gt;0,1,0),IF(OR(B215='Recepción'!$C$13,B215='Recepción'!$C$14,B215='Recepción'!$C$15,AND(B215="Contacto con líquido",'Recepción'!$D$29="Sí"),AND(B215="Golpe / Caída",'Recepción'!$D$28="Sí"),AND(B215="No enciende",'Recepción'!$D$31="No")),1,0))))</f>
        <v/>
      </c>
      <c r="K215" s="27">
        <f>IF(J215=1,COUNTIF($J$2:J215,1),0)</f>
        <v/>
      </c>
    </row>
    <row r="216">
      <c r="A216" s="24" t="inlineStr">
        <is>
          <t>S</t>
        </is>
      </c>
      <c r="B216" s="25" t="inlineStr">
        <is>
          <t>Pruebas funcionales de ingreso</t>
        </is>
      </c>
      <c r="C216" s="25" t="inlineStr">
        <is>
          <t>¿Funciona: audio?</t>
        </is>
      </c>
      <c r="D216" s="24" t="inlineStr">
        <is>
          <t>FUN</t>
        </is>
      </c>
      <c r="E216" s="26" t="n">
        <v>0</v>
      </c>
      <c r="F216" s="26" t="n">
        <v>0</v>
      </c>
      <c r="G216" s="26" t="n">
        <v>1</v>
      </c>
      <c r="H216" s="26" t="n">
        <v>0</v>
      </c>
      <c r="I216" s="27">
        <f>IF(C216="",0,IFERROR(INDEX($E216:$H216,MATCH('Recepción'!$C$5,$E$1:$H$1,0)),0))</f>
        <v/>
      </c>
      <c r="J216" s="27">
        <f>IF(I216=0,0,IF(A216="S",1,IF(A216="BH",IF(COUNTIFS(A217:A501,"B",J217:J501,1)&gt;0,1,0),IF(OR(B216='Recepción'!$C$13,B216='Recepción'!$C$14,B216='Recepción'!$C$15,AND(B216="Contacto con líquido",'Recepción'!$D$29="Sí"),AND(B216="Golpe / Caída",'Recepción'!$D$28="Sí"),AND(B216="No enciende",'Recepción'!$D$31="No")),1,0))))</f>
        <v/>
      </c>
      <c r="K216" s="27">
        <f>IF(J216=1,COUNTIF($J$2:J216,1),0)</f>
        <v/>
      </c>
    </row>
    <row r="217">
      <c r="A217" s="24" t="inlineStr">
        <is>
          <t>S</t>
        </is>
      </c>
      <c r="B217" s="25" t="inlineStr">
        <is>
          <t>Pruebas funcionales de ingreso</t>
        </is>
      </c>
      <c r="C217" s="25" t="inlineStr">
        <is>
          <t>¿Funciona: salida de video?</t>
        </is>
      </c>
      <c r="D217" s="24" t="inlineStr">
        <is>
          <t>FUN</t>
        </is>
      </c>
      <c r="E217" s="26" t="n">
        <v>0</v>
      </c>
      <c r="F217" s="26" t="n">
        <v>0</v>
      </c>
      <c r="G217" s="26" t="n">
        <v>1</v>
      </c>
      <c r="H217" s="26" t="n">
        <v>0</v>
      </c>
      <c r="I217" s="27">
        <f>IF(C217="",0,IFERROR(INDEX($E217:$H217,MATCH('Recepción'!$C$5,$E$1:$H$1,0)),0))</f>
        <v/>
      </c>
      <c r="J217" s="27">
        <f>IF(I217=0,0,IF(A217="S",1,IF(A217="BH",IF(COUNTIFS(A218:A501,"B",J218:J501,1)&gt;0,1,0),IF(OR(B217='Recepción'!$C$13,B217='Recepción'!$C$14,B217='Recepción'!$C$15,AND(B217="Contacto con líquido",'Recepción'!$D$29="Sí"),AND(B217="Golpe / Caída",'Recepción'!$D$28="Sí"),AND(B217="No enciende",'Recepción'!$D$31="No")),1,0))))</f>
        <v/>
      </c>
      <c r="K217" s="27">
        <f>IF(J217=1,COUNTIF($J$2:J217,1),0)</f>
        <v/>
      </c>
    </row>
    <row r="218">
      <c r="A218" s="24" t="inlineStr">
        <is>
          <t>S</t>
        </is>
      </c>
      <c r="B218" s="25" t="inlineStr">
        <is>
          <t>Pruebas funcionales de ingreso</t>
        </is>
      </c>
      <c r="C218" s="25" t="inlineStr">
        <is>
          <t>¿Funciona: lector de disco?</t>
        </is>
      </c>
      <c r="D218" s="24" t="inlineStr">
        <is>
          <t>FUN</t>
        </is>
      </c>
      <c r="E218" s="26" t="n">
        <v>0</v>
      </c>
      <c r="F218" s="26" t="n">
        <v>0</v>
      </c>
      <c r="G218" s="26" t="n">
        <v>0</v>
      </c>
      <c r="H218" s="26" t="n">
        <v>1</v>
      </c>
      <c r="I218" s="27">
        <f>IF(C218="",0,IFERROR(INDEX($E218:$H218,MATCH('Recepción'!$C$5,$E$1:$H$1,0)),0))</f>
        <v/>
      </c>
      <c r="J218" s="27">
        <f>IF(I218=0,0,IF(A218="S",1,IF(A218="BH",IF(COUNTIFS(A219:A501,"B",J219:J501,1)&gt;0,1,0),IF(OR(B218='Recepción'!$C$13,B218='Recepción'!$C$14,B218='Recepción'!$C$15,AND(B218="Contacto con líquido",'Recepción'!$D$29="Sí"),AND(B218="Golpe / Caída",'Recepción'!$D$28="Sí"),AND(B218="No enciende",'Recepción'!$D$31="No")),1,0))))</f>
        <v/>
      </c>
      <c r="K218" s="27">
        <f>IF(J218=1,COUNTIF($J$2:J218,1),0)</f>
        <v/>
      </c>
    </row>
    <row r="219">
      <c r="A219" s="24" t="inlineStr">
        <is>
          <t>S</t>
        </is>
      </c>
      <c r="B219" s="25" t="inlineStr">
        <is>
          <t>Pruebas funcionales de ingreso</t>
        </is>
      </c>
      <c r="C219" s="25" t="inlineStr">
        <is>
          <t>¿Funciona: salida HDMI / video?</t>
        </is>
      </c>
      <c r="D219" s="24" t="inlineStr">
        <is>
          <t>FUN</t>
        </is>
      </c>
      <c r="E219" s="26" t="n">
        <v>0</v>
      </c>
      <c r="F219" s="26" t="n">
        <v>0</v>
      </c>
      <c r="G219" s="26" t="n">
        <v>0</v>
      </c>
      <c r="H219" s="26" t="n">
        <v>1</v>
      </c>
      <c r="I219" s="27">
        <f>IF(C219="",0,IFERROR(INDEX($E219:$H219,MATCH('Recepción'!$C$5,$E$1:$H$1,0)),0))</f>
        <v/>
      </c>
      <c r="J219" s="27">
        <f>IF(I219=0,0,IF(A219="S",1,IF(A219="BH",IF(COUNTIFS(A220:A501,"B",J220:J501,1)&gt;0,1,0),IF(OR(B219='Recepción'!$C$13,B219='Recepción'!$C$14,B219='Recepción'!$C$15,AND(B219="Contacto con líquido",'Recepción'!$D$29="Sí"),AND(B219="Golpe / Caída",'Recepción'!$D$28="Sí"),AND(B219="No enciende",'Recepción'!$D$31="No")),1,0))))</f>
        <v/>
      </c>
      <c r="K219" s="27">
        <f>IF(J219=1,COUNTIF($J$2:J219,1),0)</f>
        <v/>
      </c>
    </row>
    <row r="220">
      <c r="A220" s="24" t="inlineStr">
        <is>
          <t>S</t>
        </is>
      </c>
      <c r="B220" s="25" t="inlineStr">
        <is>
          <t>Pruebas funcionales de ingreso</t>
        </is>
      </c>
      <c r="C220" s="25" t="inlineStr">
        <is>
          <t>¿Funciona: puertos USB?</t>
        </is>
      </c>
      <c r="D220" s="24" t="inlineStr">
        <is>
          <t>FUN</t>
        </is>
      </c>
      <c r="E220" s="26" t="n">
        <v>0</v>
      </c>
      <c r="F220" s="26" t="n">
        <v>0</v>
      </c>
      <c r="G220" s="26" t="n">
        <v>0</v>
      </c>
      <c r="H220" s="26" t="n">
        <v>1</v>
      </c>
      <c r="I220" s="27">
        <f>IF(C220="",0,IFERROR(INDEX($E220:$H220,MATCH('Recepción'!$C$5,$E$1:$H$1,0)),0))</f>
        <v/>
      </c>
      <c r="J220" s="27">
        <f>IF(I220=0,0,IF(A220="S",1,IF(A220="BH",IF(COUNTIFS(A221:A501,"B",J221:J501,1)&gt;0,1,0),IF(OR(B220='Recepción'!$C$13,B220='Recepción'!$C$14,B220='Recepción'!$C$15,AND(B220="Contacto con líquido",'Recepción'!$D$29="Sí"),AND(B220="Golpe / Caída",'Recepción'!$D$28="Sí"),AND(B220="No enciende",'Recepción'!$D$31="No")),1,0))))</f>
        <v/>
      </c>
      <c r="K220" s="27">
        <f>IF(J220=1,COUNTIF($J$2:J220,1),0)</f>
        <v/>
      </c>
    </row>
    <row r="221">
      <c r="A221" s="24" t="inlineStr">
        <is>
          <t>S</t>
        </is>
      </c>
      <c r="B221" s="25" t="inlineStr">
        <is>
          <t>Pruebas funcionales de ingreso</t>
        </is>
      </c>
      <c r="C221" s="25" t="inlineStr">
        <is>
          <t>¿Funciona: Wi-Fi?</t>
        </is>
      </c>
      <c r="D221" s="24" t="inlineStr">
        <is>
          <t>FUN</t>
        </is>
      </c>
      <c r="E221" s="26" t="n">
        <v>0</v>
      </c>
      <c r="F221" s="26" t="n">
        <v>0</v>
      </c>
      <c r="G221" s="26" t="n">
        <v>0</v>
      </c>
      <c r="H221" s="26" t="n">
        <v>1</v>
      </c>
      <c r="I221" s="27">
        <f>IF(C221="",0,IFERROR(INDEX($E221:$H221,MATCH('Recepción'!$C$5,$E$1:$H$1,0)),0))</f>
        <v/>
      </c>
      <c r="J221" s="27">
        <f>IF(I221=0,0,IF(A221="S",1,IF(A221="BH",IF(COUNTIFS(A222:A501,"B",J222:J501,1)&gt;0,1,0),IF(OR(B221='Recepción'!$C$13,B221='Recepción'!$C$14,B221='Recepción'!$C$15,AND(B221="Contacto con líquido",'Recepción'!$D$29="Sí"),AND(B221="Golpe / Caída",'Recepción'!$D$28="Sí"),AND(B221="No enciende",'Recepción'!$D$31="No")),1,0))))</f>
        <v/>
      </c>
      <c r="K221" s="27">
        <f>IF(J221=1,COUNTIF($J$2:J221,1),0)</f>
        <v/>
      </c>
    </row>
    <row r="222">
      <c r="A222" s="24" t="inlineStr">
        <is>
          <t>S</t>
        </is>
      </c>
      <c r="B222" s="25" t="inlineStr">
        <is>
          <t>Pruebas funcionales de ingreso</t>
        </is>
      </c>
      <c r="C222" s="25" t="inlineStr">
        <is>
          <t>¿Funciona: control(es)?</t>
        </is>
      </c>
      <c r="D222" s="24" t="inlineStr">
        <is>
          <t>FUN</t>
        </is>
      </c>
      <c r="E222" s="26" t="n">
        <v>0</v>
      </c>
      <c r="F222" s="26" t="n">
        <v>0</v>
      </c>
      <c r="G222" s="26" t="n">
        <v>0</v>
      </c>
      <c r="H222" s="26" t="n">
        <v>1</v>
      </c>
      <c r="I222" s="27">
        <f>IF(C222="",0,IFERROR(INDEX($E222:$H222,MATCH('Recepción'!$C$5,$E$1:$H$1,0)),0))</f>
        <v/>
      </c>
      <c r="J222" s="27">
        <f>IF(I222=0,0,IF(A222="S",1,IF(A222="BH",IF(COUNTIFS(A223:A501,"B",J223:J501,1)&gt;0,1,0),IF(OR(B222='Recepción'!$C$13,B222='Recepción'!$C$14,B222='Recepción'!$C$15,AND(B222="Contacto con líquido",'Recepción'!$D$29="Sí"),AND(B222="Golpe / Caída",'Recepción'!$D$28="Sí"),AND(B222="No enciende",'Recepción'!$D$31="No")),1,0))))</f>
        <v/>
      </c>
      <c r="K222" s="27">
        <f>IF(J222=1,COUNTIF($J$2:J222,1),0)</f>
        <v/>
      </c>
    </row>
    <row r="223">
      <c r="A223" s="24" t="inlineStr">
        <is>
          <t>S</t>
        </is>
      </c>
      <c r="B223" s="25" t="inlineStr">
        <is>
          <t>Pruebas funcionales de ingreso</t>
        </is>
      </c>
      <c r="C223" s="25" t="inlineStr">
        <is>
          <t>¿Funciona: ventilador (sin ruido anormal)?</t>
        </is>
      </c>
      <c r="D223" s="24" t="inlineStr">
        <is>
          <t>FUN</t>
        </is>
      </c>
      <c r="E223" s="26" t="n">
        <v>0</v>
      </c>
      <c r="F223" s="26" t="n">
        <v>0</v>
      </c>
      <c r="G223" s="26" t="n">
        <v>0</v>
      </c>
      <c r="H223" s="26" t="n">
        <v>1</v>
      </c>
      <c r="I223" s="27">
        <f>IF(C223="",0,IFERROR(INDEX($E223:$H223,MATCH('Recepción'!$C$5,$E$1:$H$1,0)),0))</f>
        <v/>
      </c>
      <c r="J223" s="27">
        <f>IF(I223=0,0,IF(A223="S",1,IF(A223="BH",IF(COUNTIFS(A224:A501,"B",J224:J501,1)&gt;0,1,0),IF(OR(B223='Recepción'!$C$13,B223='Recepción'!$C$14,B223='Recepción'!$C$15,AND(B223="Contacto con líquido",'Recepción'!$D$29="Sí"),AND(B223="Golpe / Caída",'Recepción'!$D$28="Sí"),AND(B223="No enciende",'Recepción'!$D$31="No")),1,0))))</f>
        <v/>
      </c>
      <c r="K223" s="27">
        <f>IF(J223=1,COUNTIF($J$2:J223,1),0)</f>
        <v/>
      </c>
    </row>
    <row r="224">
      <c r="A224" s="24" t="inlineStr">
        <is>
          <t>S</t>
        </is>
      </c>
      <c r="B224" s="25" t="inlineStr">
        <is>
          <t>Pruebas funcionales de ingreso</t>
        </is>
      </c>
      <c r="C224" s="25" t="inlineStr">
        <is>
          <t>¿Funciona: audio?</t>
        </is>
      </c>
      <c r="D224" s="24" t="inlineStr">
        <is>
          <t>FUN</t>
        </is>
      </c>
      <c r="E224" s="26" t="n">
        <v>0</v>
      </c>
      <c r="F224" s="26" t="n">
        <v>0</v>
      </c>
      <c r="G224" s="26" t="n">
        <v>0</v>
      </c>
      <c r="H224" s="26" t="n">
        <v>1</v>
      </c>
      <c r="I224" s="27">
        <f>IF(C224="",0,IFERROR(INDEX($E224:$H224,MATCH('Recepción'!$C$5,$E$1:$H$1,0)),0))</f>
        <v/>
      </c>
      <c r="J224" s="27">
        <f>IF(I224=0,0,IF(A224="S",1,IF(A224="BH",IF(COUNTIFS(A225:A501,"B",J225:J501,1)&gt;0,1,0),IF(OR(B224='Recepción'!$C$13,B224='Recepción'!$C$14,B224='Recepción'!$C$15,AND(B224="Contacto con líquido",'Recepción'!$D$29="Sí"),AND(B224="Golpe / Caída",'Recepción'!$D$28="Sí"),AND(B224="No enciende",'Recepción'!$D$31="No")),1,0))))</f>
        <v/>
      </c>
      <c r="K224" s="27">
        <f>IF(J224=1,COUNTIF($J$2:J224,1),0)</f>
        <v/>
      </c>
    </row>
    <row r="225">
      <c r="A225" s="24" t="inlineStr">
        <is>
          <t>S</t>
        </is>
      </c>
      <c r="B225" s="25" t="inlineStr"/>
      <c r="C225" s="25" t="inlineStr">
        <is>
          <t>D. AUTORIZACIONES DEL CLIENTE</t>
        </is>
      </c>
      <c r="D225" s="24" t="inlineStr">
        <is>
          <t>HEAD</t>
        </is>
      </c>
      <c r="E225" s="26" t="n">
        <v>1</v>
      </c>
      <c r="F225" s="26" t="n">
        <v>1</v>
      </c>
      <c r="G225" s="26" t="n">
        <v>1</v>
      </c>
      <c r="H225" s="26" t="n">
        <v>1</v>
      </c>
      <c r="I225" s="27">
        <f>IF(C225="",0,IFERROR(INDEX($E225:$H225,MATCH('Recepción'!$C$5,$E$1:$H$1,0)),0))</f>
        <v/>
      </c>
      <c r="J225" s="27">
        <f>IF(I225=0,0,IF(A225="S",1,IF(A225="BH",IF(COUNTIFS(A226:A501,"B",J226:J501,1)&gt;0,1,0),IF(OR(B225='Recepción'!$C$13,B225='Recepción'!$C$14,B225='Recepción'!$C$15,AND(B225="Contacto con líquido",'Recepción'!$D$29="Sí"),AND(B225="Golpe / Caída",'Recepción'!$D$28="Sí"),AND(B225="No enciende",'Recepción'!$D$31="No")),1,0))))</f>
        <v/>
      </c>
      <c r="K225" s="27">
        <f>IF(J225=1,COUNTIF($J$2:J225,1),0)</f>
        <v/>
      </c>
    </row>
    <row r="226">
      <c r="A226" s="24" t="inlineStr">
        <is>
          <t>S</t>
        </is>
      </c>
      <c r="B226" s="25" t="inlineStr">
        <is>
          <t>Autorizaciones</t>
        </is>
      </c>
      <c r="C226" s="25" t="inlineStr">
        <is>
          <t>¿El cliente autoriza el diagnóstico técnico del equipo?</t>
        </is>
      </c>
      <c r="D226" s="24" t="inlineStr">
        <is>
          <t>YN</t>
        </is>
      </c>
      <c r="E226" s="26" t="n">
        <v>1</v>
      </c>
      <c r="F226" s="26" t="n">
        <v>1</v>
      </c>
      <c r="G226" s="26" t="n">
        <v>1</v>
      </c>
      <c r="H226" s="26" t="n">
        <v>1</v>
      </c>
      <c r="I226" s="27">
        <f>IF(C226="",0,IFERROR(INDEX($E226:$H226,MATCH('Recepción'!$C$5,$E$1:$H$1,0)),0))</f>
        <v/>
      </c>
      <c r="J226" s="27">
        <f>IF(I226=0,0,IF(A226="S",1,IF(A226="BH",IF(COUNTIFS(A227:A501,"B",J227:J501,1)&gt;0,1,0),IF(OR(B226='Recepción'!$C$13,B226='Recepción'!$C$14,B226='Recepción'!$C$15,AND(B226="Contacto con líquido",'Recepción'!$D$29="Sí"),AND(B226="Golpe / Caída",'Recepción'!$D$28="Sí"),AND(B226="No enciende",'Recepción'!$D$31="No")),1,0))))</f>
        <v/>
      </c>
      <c r="K226" s="27">
        <f>IF(J226=1,COUNTIF($J$2:J226,1),0)</f>
        <v/>
      </c>
    </row>
    <row r="227">
      <c r="A227" s="24" t="inlineStr">
        <is>
          <t>S</t>
        </is>
      </c>
      <c r="B227" s="25" t="inlineStr">
        <is>
          <t>Autorizaciones</t>
        </is>
      </c>
      <c r="C227" s="25" t="inlineStr">
        <is>
          <t>¿El cliente declara haber informado golpes, líquidos, reparaciones anteriores y fallas conocidas?</t>
        </is>
      </c>
      <c r="D227" s="24" t="inlineStr">
        <is>
          <t>YN</t>
        </is>
      </c>
      <c r="E227" s="26" t="n">
        <v>1</v>
      </c>
      <c r="F227" s="26" t="n">
        <v>1</v>
      </c>
      <c r="G227" s="26" t="n">
        <v>1</v>
      </c>
      <c r="H227" s="26" t="n">
        <v>1</v>
      </c>
      <c r="I227" s="27">
        <f>IF(C227="",0,IFERROR(INDEX($E227:$H227,MATCH('Recepción'!$C$5,$E$1:$H$1,0)),0))</f>
        <v/>
      </c>
      <c r="J227" s="27">
        <f>IF(I227=0,0,IF(A227="S",1,IF(A227="BH",IF(COUNTIFS(A228:A501,"B",J228:J501,1)&gt;0,1,0),IF(OR(B227='Recepción'!$C$13,B227='Recepción'!$C$14,B227='Recepción'!$C$15,AND(B227="Contacto con líquido",'Recepción'!$D$29="Sí"),AND(B227="Golpe / Caída",'Recepción'!$D$28="Sí"),AND(B227="No enciende",'Recepción'!$D$31="No")),1,0))))</f>
        <v/>
      </c>
      <c r="K227" s="27">
        <f>IF(J227=1,COUNTIF($J$2:J227,1),0)</f>
        <v/>
      </c>
    </row>
    <row r="228">
      <c r="A228" s="24" t="inlineStr">
        <is>
          <t>S</t>
        </is>
      </c>
      <c r="B228" s="25" t="inlineStr">
        <is>
          <t>Autorizaciones</t>
        </is>
      </c>
      <c r="C228" s="25" t="inlineStr">
        <is>
          <t>¿El cliente entiende que RCP no responde por información sin respaldo cuando se intervenga almacenamiento o sistema operativo?</t>
        </is>
      </c>
      <c r="D228" s="24" t="inlineStr">
        <is>
          <t>YN</t>
        </is>
      </c>
      <c r="E228" s="26" t="n">
        <v>1</v>
      </c>
      <c r="F228" s="26" t="n">
        <v>1</v>
      </c>
      <c r="G228" s="26" t="n">
        <v>1</v>
      </c>
      <c r="H228" s="26" t="n">
        <v>1</v>
      </c>
      <c r="I228" s="27">
        <f>IF(C228="",0,IFERROR(INDEX($E228:$H228,MATCH('Recepción'!$C$5,$E$1:$H$1,0)),0))</f>
        <v/>
      </c>
      <c r="J228" s="27">
        <f>IF(I228=0,0,IF(A228="S",1,IF(A228="BH",IF(COUNTIFS(A229:A501,"B",J229:J501,1)&gt;0,1,0),IF(OR(B228='Recepción'!$C$13,B228='Recepción'!$C$14,B228='Recepción'!$C$15,AND(B228="Contacto con líquido",'Recepción'!$D$29="Sí"),AND(B228="Golpe / Caída",'Recepción'!$D$28="Sí"),AND(B228="No enciende",'Recepción'!$D$31="No")),1,0))))</f>
        <v/>
      </c>
      <c r="K228" s="27">
        <f>IF(J228=1,COUNTIF($J$2:J228,1),0)</f>
        <v/>
      </c>
    </row>
    <row r="229">
      <c r="A229" s="24" t="inlineStr">
        <is>
          <t>S</t>
        </is>
      </c>
      <c r="B229" s="25" t="inlineStr">
        <is>
          <t>Autorizaciones</t>
        </is>
      </c>
      <c r="C229" s="25" t="inlineStr">
        <is>
          <t>¿El cliente autoriza las pruebas funcionales necesarias para comprobar la reparación?</t>
        </is>
      </c>
      <c r="D229" s="24" t="inlineStr">
        <is>
          <t>YN</t>
        </is>
      </c>
      <c r="E229" s="26" t="n">
        <v>1</v>
      </c>
      <c r="F229" s="26" t="n">
        <v>1</v>
      </c>
      <c r="G229" s="26" t="n">
        <v>1</v>
      </c>
      <c r="H229" s="26" t="n">
        <v>1</v>
      </c>
      <c r="I229" s="27">
        <f>IF(C229="",0,IFERROR(INDEX($E229:$H229,MATCH('Recepción'!$C$5,$E$1:$H$1,0)),0))</f>
        <v/>
      </c>
      <c r="J229" s="27">
        <f>IF(I229=0,0,IF(A229="S",1,IF(A229="BH",IF(COUNTIFS(A230:A501,"B",J230:J501,1)&gt;0,1,0),IF(OR(B229='Recepción'!$C$13,B229='Recepción'!$C$14,B229='Recepción'!$C$15,AND(B229="Contacto con líquido",'Recepción'!$D$29="Sí"),AND(B229="Golpe / Caída",'Recepción'!$D$28="Sí"),AND(B229="No enciende",'Recepción'!$D$31="No")),1,0))))</f>
        <v/>
      </c>
      <c r="K229" s="27">
        <f>IF(J229=1,COUNTIF($J$2:J229,1),0)</f>
        <v/>
      </c>
    </row>
    <row r="230">
      <c r="A230" s="24" t="inlineStr">
        <is>
          <t>S</t>
        </is>
      </c>
      <c r="B230" s="25" t="inlineStr">
        <is>
          <t>Autorizaciones</t>
        </is>
      </c>
      <c r="C230" s="25" t="inlineStr">
        <is>
          <t>¿Cómo se maneja la contraseña / PIN para las pruebas?</t>
        </is>
      </c>
      <c r="D230" s="24" t="inlineStr">
        <is>
          <t>PIN</t>
        </is>
      </c>
      <c r="E230" s="26" t="n">
        <v>1</v>
      </c>
      <c r="F230" s="26" t="n">
        <v>1</v>
      </c>
      <c r="G230" s="26" t="n">
        <v>1</v>
      </c>
      <c r="H230" s="26" t="n">
        <v>1</v>
      </c>
      <c r="I230" s="27">
        <f>IF(C230="",0,IFERROR(INDEX($E230:$H230,MATCH('Recepción'!$C$5,$E$1:$H$1,0)),0))</f>
        <v/>
      </c>
      <c r="J230" s="27">
        <f>IF(I230=0,0,IF(A230="S",1,IF(A230="BH",IF(COUNTIFS(A231:A501,"B",J231:J501,1)&gt;0,1,0),IF(OR(B230='Recepción'!$C$13,B230='Recepción'!$C$14,B230='Recepción'!$C$15,AND(B230="Contacto con líquido",'Recepción'!$D$29="Sí"),AND(B230="Golpe / Caída",'Recepción'!$D$28="Sí"),AND(B230="No enciende",'Recepción'!$D$31="No")),1,0))))</f>
        <v/>
      </c>
      <c r="K230" s="27">
        <f>IF(J230=1,COUNTIF($J$2:J230,1),0)</f>
        <v/>
      </c>
    </row>
    <row r="231">
      <c r="A231" s="24" t="inlineStr">
        <is>
          <t>S</t>
        </is>
      </c>
      <c r="B231" s="25" t="inlineStr">
        <is>
          <t>Autorizaciones</t>
        </is>
      </c>
      <c r="C231" s="25" t="inlineStr">
        <is>
          <t>¿El cliente firmó la orden de recepción?</t>
        </is>
      </c>
      <c r="D231" s="24" t="inlineStr">
        <is>
          <t>YN</t>
        </is>
      </c>
      <c r="E231" s="26" t="n">
        <v>1</v>
      </c>
      <c r="F231" s="26" t="n">
        <v>1</v>
      </c>
      <c r="G231" s="26" t="n">
        <v>1</v>
      </c>
      <c r="H231" s="26" t="n">
        <v>1</v>
      </c>
      <c r="I231" s="27">
        <f>IF(C231="",0,IFERROR(INDEX($E231:$H231,MATCH('Recepción'!$C$5,$E$1:$H$1,0)),0))</f>
        <v/>
      </c>
      <c r="J231" s="27">
        <f>IF(I231=0,0,IF(A231="S",1,IF(A231="BH",IF(COUNTIFS(A232:A501,"B",J232:J501,1)&gt;0,1,0),IF(OR(B231='Recepción'!$C$13,B231='Recepción'!$C$14,B231='Recepción'!$C$15,AND(B231="Contacto con líquido",'Recepción'!$D$29="Sí"),AND(B231="Golpe / Caída",'Recepción'!$D$28="Sí"),AND(B231="No enciende",'Recepción'!$D$31="No")),1,0))))</f>
        <v/>
      </c>
      <c r="K231" s="27">
        <f>IF(J231=1,COUNTIF($J$2:J231,1),0)</f>
        <v/>
      </c>
    </row>
    <row r="232">
      <c r="A232" s="24" t="inlineStr">
        <is>
          <t>S</t>
        </is>
      </c>
      <c r="B232" s="25" t="inlineStr">
        <is>
          <t>Autorizaciones</t>
        </is>
      </c>
      <c r="C232" s="25" t="inlineStr">
        <is>
          <t>Contraseña / PIN (escríbalo solo si el cliente lo proporciona)</t>
        </is>
      </c>
      <c r="D232" s="24" t="inlineStr">
        <is>
          <t>TXT</t>
        </is>
      </c>
      <c r="E232" s="26" t="n">
        <v>1</v>
      </c>
      <c r="F232" s="26" t="n">
        <v>1</v>
      </c>
      <c r="G232" s="26" t="n">
        <v>1</v>
      </c>
      <c r="H232" s="26" t="n">
        <v>1</v>
      </c>
      <c r="I232" s="27">
        <f>IF(C232="",0,IFERROR(INDEX($E232:$H232,MATCH('Recepción'!$C$5,$E$1:$H$1,0)),0))</f>
        <v/>
      </c>
      <c r="J232" s="27">
        <f>IF(I232=0,0,IF(A232="S",1,IF(A232="BH",IF(COUNTIFS(A233:A501,"B",J233:J501,1)&gt;0,1,0),IF(OR(B232='Recepción'!$C$13,B232='Recepción'!$C$14,B232='Recepción'!$C$15,AND(B232="Contacto con líquido",'Recepción'!$D$29="Sí"),AND(B232="Golpe / Caída",'Recepción'!$D$28="Sí"),AND(B232="No enciende",'Recepción'!$D$31="No")),1,0))))</f>
        <v/>
      </c>
      <c r="K232" s="27">
        <f>IF(J232=1,COUNTIF($J$2:J232,1),0)</f>
        <v/>
      </c>
    </row>
    <row r="233">
      <c r="I233" s="27">
        <f>IF(C233="",0,IFERROR(INDEX($E233:$H233,MATCH('Recepción'!$C$5,$E$1:$H$1,0)),0))</f>
        <v/>
      </c>
      <c r="J233" s="27">
        <f>IF(I233=0,0,IF(A233="S",1,IF(A233="BH",IF(COUNTIFS(A234:A501,"B",J234:J501,1)&gt;0,1,0),IF(OR(B233='Recepción'!$C$13,B233='Recepción'!$C$14,B233='Recepción'!$C$15,AND(B233="Contacto con líquido",'Recepción'!$D$29="Sí"),AND(B233="Golpe / Caída",'Recepción'!$D$28="Sí"),AND(B233="No enciende",'Recepción'!$D$31="No")),1,0))))</f>
        <v/>
      </c>
      <c r="K233" s="27">
        <f>IF(J233=1,COUNTIF($J$2:J233,1),0)</f>
        <v/>
      </c>
    </row>
    <row r="234">
      <c r="I234" s="27">
        <f>IF(C234="",0,IFERROR(INDEX($E234:$H234,MATCH('Recepción'!$C$5,$E$1:$H$1,0)),0))</f>
        <v/>
      </c>
      <c r="J234" s="27">
        <f>IF(I234=0,0,IF(A234="S",1,IF(A234="BH",IF(COUNTIFS(A235:A501,"B",J235:J501,1)&gt;0,1,0),IF(OR(B234='Recepción'!$C$13,B234='Recepción'!$C$14,B234='Recepción'!$C$15,AND(B234="Contacto con líquido",'Recepción'!$D$29="Sí"),AND(B234="Golpe / Caída",'Recepción'!$D$28="Sí"),AND(B234="No enciende",'Recepción'!$D$31="No")),1,0))))</f>
        <v/>
      </c>
      <c r="K234" s="27">
        <f>IF(J234=1,COUNTIF($J$2:J234,1),0)</f>
        <v/>
      </c>
    </row>
    <row r="235">
      <c r="I235" s="27">
        <f>IF(C235="",0,IFERROR(INDEX($E235:$H235,MATCH('Recepción'!$C$5,$E$1:$H$1,0)),0))</f>
        <v/>
      </c>
      <c r="J235" s="27">
        <f>IF(I235=0,0,IF(A235="S",1,IF(A235="BH",IF(COUNTIFS(A236:A501,"B",J236:J501,1)&gt;0,1,0),IF(OR(B235='Recepción'!$C$13,B235='Recepción'!$C$14,B235='Recepción'!$C$15,AND(B235="Contacto con líquido",'Recepción'!$D$29="Sí"),AND(B235="Golpe / Caída",'Recepción'!$D$28="Sí"),AND(B235="No enciende",'Recepción'!$D$31="No")),1,0))))</f>
        <v/>
      </c>
      <c r="K235" s="27">
        <f>IF(J235=1,COUNTIF($J$2:J235,1),0)</f>
        <v/>
      </c>
    </row>
    <row r="236">
      <c r="I236" s="27">
        <f>IF(C236="",0,IFERROR(INDEX($E236:$H236,MATCH('Recepción'!$C$5,$E$1:$H$1,0)),0))</f>
        <v/>
      </c>
      <c r="J236" s="27">
        <f>IF(I236=0,0,IF(A236="S",1,IF(A236="BH",IF(COUNTIFS(A237:A501,"B",J237:J501,1)&gt;0,1,0),IF(OR(B236='Recepción'!$C$13,B236='Recepción'!$C$14,B236='Recepción'!$C$15,AND(B236="Contacto con líquido",'Recepción'!$D$29="Sí"),AND(B236="Golpe / Caída",'Recepción'!$D$28="Sí"),AND(B236="No enciende",'Recepción'!$D$31="No")),1,0))))</f>
        <v/>
      </c>
      <c r="K236" s="27">
        <f>IF(J236=1,COUNTIF($J$2:J236,1),0)</f>
        <v/>
      </c>
    </row>
    <row r="237">
      <c r="I237" s="27">
        <f>IF(C237="",0,IFERROR(INDEX($E237:$H237,MATCH('Recepción'!$C$5,$E$1:$H$1,0)),0))</f>
        <v/>
      </c>
      <c r="J237" s="27">
        <f>IF(I237=0,0,IF(A237="S",1,IF(A237="BH",IF(COUNTIFS(A238:A501,"B",J238:J501,1)&gt;0,1,0),IF(OR(B237='Recepción'!$C$13,B237='Recepción'!$C$14,B237='Recepción'!$C$15,AND(B237="Contacto con líquido",'Recepción'!$D$29="Sí"),AND(B237="Golpe / Caída",'Recepción'!$D$28="Sí"),AND(B237="No enciende",'Recepción'!$D$31="No")),1,0))))</f>
        <v/>
      </c>
      <c r="K237" s="27">
        <f>IF(J237=1,COUNTIF($J$2:J237,1),0)</f>
        <v/>
      </c>
    </row>
    <row r="238">
      <c r="I238" s="27">
        <f>IF(C238="",0,IFERROR(INDEX($E238:$H238,MATCH('Recepción'!$C$5,$E$1:$H$1,0)),0))</f>
        <v/>
      </c>
      <c r="J238" s="27">
        <f>IF(I238=0,0,IF(A238="S",1,IF(A238="BH",IF(COUNTIFS(A239:A501,"B",J239:J501,1)&gt;0,1,0),IF(OR(B238='Recepción'!$C$13,B238='Recepción'!$C$14,B238='Recepción'!$C$15,AND(B238="Contacto con líquido",'Recepción'!$D$29="Sí"),AND(B238="Golpe / Caída",'Recepción'!$D$28="Sí"),AND(B238="No enciende",'Recepción'!$D$31="No")),1,0))))</f>
        <v/>
      </c>
      <c r="K238" s="27">
        <f>IF(J238=1,COUNTIF($J$2:J238,1),0)</f>
        <v/>
      </c>
    </row>
    <row r="239">
      <c r="I239" s="27">
        <f>IF(C239="",0,IFERROR(INDEX($E239:$H239,MATCH('Recepción'!$C$5,$E$1:$H$1,0)),0))</f>
        <v/>
      </c>
      <c r="J239" s="27">
        <f>IF(I239=0,0,IF(A239="S",1,IF(A239="BH",IF(COUNTIFS(A240:A501,"B",J240:J501,1)&gt;0,1,0),IF(OR(B239='Recepción'!$C$13,B239='Recepción'!$C$14,B239='Recepción'!$C$15,AND(B239="Contacto con líquido",'Recepción'!$D$29="Sí"),AND(B239="Golpe / Caída",'Recepción'!$D$28="Sí"),AND(B239="No enciende",'Recepción'!$D$31="No")),1,0))))</f>
        <v/>
      </c>
      <c r="K239" s="27">
        <f>IF(J239=1,COUNTIF($J$2:J239,1),0)</f>
        <v/>
      </c>
    </row>
    <row r="240">
      <c r="I240" s="27">
        <f>IF(C240="",0,IFERROR(INDEX($E240:$H240,MATCH('Recepción'!$C$5,$E$1:$H$1,0)),0))</f>
        <v/>
      </c>
      <c r="J240" s="27">
        <f>IF(I240=0,0,IF(A240="S",1,IF(A240="BH",IF(COUNTIFS(A241:A501,"B",J241:J501,1)&gt;0,1,0),IF(OR(B240='Recepción'!$C$13,B240='Recepción'!$C$14,B240='Recepción'!$C$15,AND(B240="Contacto con líquido",'Recepción'!$D$29="Sí"),AND(B240="Golpe / Caída",'Recepción'!$D$28="Sí"),AND(B240="No enciende",'Recepción'!$D$31="No")),1,0))))</f>
        <v/>
      </c>
      <c r="K240" s="27">
        <f>IF(J240=1,COUNTIF($J$2:J240,1),0)</f>
        <v/>
      </c>
    </row>
    <row r="241">
      <c r="I241" s="27">
        <f>IF(C241="",0,IFERROR(INDEX($E241:$H241,MATCH('Recepción'!$C$5,$E$1:$H$1,0)),0))</f>
        <v/>
      </c>
      <c r="J241" s="27">
        <f>IF(I241=0,0,IF(A241="S",1,IF(A241="BH",IF(COUNTIFS(A242:A501,"B",J242:J501,1)&gt;0,1,0),IF(OR(B241='Recepción'!$C$13,B241='Recepción'!$C$14,B241='Recepción'!$C$15,AND(B241="Contacto con líquido",'Recepción'!$D$29="Sí"),AND(B241="Golpe / Caída",'Recepción'!$D$28="Sí"),AND(B241="No enciende",'Recepción'!$D$31="No")),1,0))))</f>
        <v/>
      </c>
      <c r="K241" s="27">
        <f>IF(J241=1,COUNTIF($J$2:J241,1),0)</f>
        <v/>
      </c>
    </row>
    <row r="242">
      <c r="I242" s="27">
        <f>IF(C242="",0,IFERROR(INDEX($E242:$H242,MATCH('Recepción'!$C$5,$E$1:$H$1,0)),0))</f>
        <v/>
      </c>
      <c r="J242" s="27">
        <f>IF(I242=0,0,IF(A242="S",1,IF(A242="BH",IF(COUNTIFS(A243:A501,"B",J243:J501,1)&gt;0,1,0),IF(OR(B242='Recepción'!$C$13,B242='Recepción'!$C$14,B242='Recepción'!$C$15,AND(B242="Contacto con líquido",'Recepción'!$D$29="Sí"),AND(B242="Golpe / Caída",'Recepción'!$D$28="Sí"),AND(B242="No enciende",'Recepción'!$D$31="No")),1,0))))</f>
        <v/>
      </c>
      <c r="K242" s="27">
        <f>IF(J242=1,COUNTIF($J$2:J242,1),0)</f>
        <v/>
      </c>
    </row>
    <row r="243">
      <c r="I243" s="27">
        <f>IF(C243="",0,IFERROR(INDEX($E243:$H243,MATCH('Recepción'!$C$5,$E$1:$H$1,0)),0))</f>
        <v/>
      </c>
      <c r="J243" s="27">
        <f>IF(I243=0,0,IF(A243="S",1,IF(A243="BH",IF(COUNTIFS(A244:A501,"B",J244:J501,1)&gt;0,1,0),IF(OR(B243='Recepción'!$C$13,B243='Recepción'!$C$14,B243='Recepción'!$C$15,AND(B243="Contacto con líquido",'Recepción'!$D$29="Sí"),AND(B243="Golpe / Caída",'Recepción'!$D$28="Sí"),AND(B243="No enciende",'Recepción'!$D$31="No")),1,0))))</f>
        <v/>
      </c>
      <c r="K243" s="27">
        <f>IF(J243=1,COUNTIF($J$2:J243,1),0)</f>
        <v/>
      </c>
    </row>
    <row r="244">
      <c r="I244" s="27">
        <f>IF(C244="",0,IFERROR(INDEX($E244:$H244,MATCH('Recepción'!$C$5,$E$1:$H$1,0)),0))</f>
        <v/>
      </c>
      <c r="J244" s="27">
        <f>IF(I244=0,0,IF(A244="S",1,IF(A244="BH",IF(COUNTIFS(A245:A501,"B",J245:J501,1)&gt;0,1,0),IF(OR(B244='Recepción'!$C$13,B244='Recepción'!$C$14,B244='Recepción'!$C$15,AND(B244="Contacto con líquido",'Recepción'!$D$29="Sí"),AND(B244="Golpe / Caída",'Recepción'!$D$28="Sí"),AND(B244="No enciende",'Recepción'!$D$31="No")),1,0))))</f>
        <v/>
      </c>
      <c r="K244" s="27">
        <f>IF(J244=1,COUNTIF($J$2:J244,1),0)</f>
        <v/>
      </c>
    </row>
    <row r="245">
      <c r="I245" s="27">
        <f>IF(C245="",0,IFERROR(INDEX($E245:$H245,MATCH('Recepción'!$C$5,$E$1:$H$1,0)),0))</f>
        <v/>
      </c>
      <c r="J245" s="27">
        <f>IF(I245=0,0,IF(A245="S",1,IF(A245="BH",IF(COUNTIFS(A246:A501,"B",J246:J501,1)&gt;0,1,0),IF(OR(B245='Recepción'!$C$13,B245='Recepción'!$C$14,B245='Recepción'!$C$15,AND(B245="Contacto con líquido",'Recepción'!$D$29="Sí"),AND(B245="Golpe / Caída",'Recepción'!$D$28="Sí"),AND(B245="No enciende",'Recepción'!$D$31="No")),1,0))))</f>
        <v/>
      </c>
      <c r="K245" s="27">
        <f>IF(J245=1,COUNTIF($J$2:J245,1),0)</f>
        <v/>
      </c>
    </row>
    <row r="246">
      <c r="I246" s="27">
        <f>IF(C246="",0,IFERROR(INDEX($E246:$H246,MATCH('Recepción'!$C$5,$E$1:$H$1,0)),0))</f>
        <v/>
      </c>
      <c r="J246" s="27">
        <f>IF(I246=0,0,IF(A246="S",1,IF(A246="BH",IF(COUNTIFS(A247:A501,"B",J247:J501,1)&gt;0,1,0),IF(OR(B246='Recepción'!$C$13,B246='Recepción'!$C$14,B246='Recepción'!$C$15,AND(B246="Contacto con líquido",'Recepción'!$D$29="Sí"),AND(B246="Golpe / Caída",'Recepción'!$D$28="Sí"),AND(B246="No enciende",'Recepción'!$D$31="No")),1,0))))</f>
        <v/>
      </c>
      <c r="K246" s="27">
        <f>IF(J246=1,COUNTIF($J$2:J246,1),0)</f>
        <v/>
      </c>
    </row>
    <row r="247">
      <c r="I247" s="27">
        <f>IF(C247="",0,IFERROR(INDEX($E247:$H247,MATCH('Recepción'!$C$5,$E$1:$H$1,0)),0))</f>
        <v/>
      </c>
      <c r="J247" s="27">
        <f>IF(I247=0,0,IF(A247="S",1,IF(A247="BH",IF(COUNTIFS(A248:A501,"B",J248:J501,1)&gt;0,1,0),IF(OR(B247='Recepción'!$C$13,B247='Recepción'!$C$14,B247='Recepción'!$C$15,AND(B247="Contacto con líquido",'Recepción'!$D$29="Sí"),AND(B247="Golpe / Caída",'Recepción'!$D$28="Sí"),AND(B247="No enciende",'Recepción'!$D$31="No")),1,0))))</f>
        <v/>
      </c>
      <c r="K247" s="27">
        <f>IF(J247=1,COUNTIF($J$2:J247,1),0)</f>
        <v/>
      </c>
    </row>
    <row r="248">
      <c r="I248" s="27">
        <f>IF(C248="",0,IFERROR(INDEX($E248:$H248,MATCH('Recepción'!$C$5,$E$1:$H$1,0)),0))</f>
        <v/>
      </c>
      <c r="J248" s="27">
        <f>IF(I248=0,0,IF(A248="S",1,IF(A248="BH",IF(COUNTIFS(A249:A501,"B",J249:J501,1)&gt;0,1,0),IF(OR(B248='Recepción'!$C$13,B248='Recepción'!$C$14,B248='Recepción'!$C$15,AND(B248="Contacto con líquido",'Recepción'!$D$29="Sí"),AND(B248="Golpe / Caída",'Recepción'!$D$28="Sí"),AND(B248="No enciende",'Recepción'!$D$31="No")),1,0))))</f>
        <v/>
      </c>
      <c r="K248" s="27">
        <f>IF(J248=1,COUNTIF($J$2:J248,1),0)</f>
        <v/>
      </c>
    </row>
    <row r="249">
      <c r="I249" s="27">
        <f>IF(C249="",0,IFERROR(INDEX($E249:$H249,MATCH('Recepción'!$C$5,$E$1:$H$1,0)),0))</f>
        <v/>
      </c>
      <c r="J249" s="27">
        <f>IF(I249=0,0,IF(A249="S",1,IF(A249="BH",IF(COUNTIFS(A250:A501,"B",J250:J501,1)&gt;0,1,0),IF(OR(B249='Recepción'!$C$13,B249='Recepción'!$C$14,B249='Recepción'!$C$15,AND(B249="Contacto con líquido",'Recepción'!$D$29="Sí"),AND(B249="Golpe / Caída",'Recepción'!$D$28="Sí"),AND(B249="No enciende",'Recepción'!$D$31="No")),1,0))))</f>
        <v/>
      </c>
      <c r="K249" s="27">
        <f>IF(J249=1,COUNTIF($J$2:J249,1),0)</f>
        <v/>
      </c>
    </row>
    <row r="250">
      <c r="I250" s="27">
        <f>IF(C250="",0,IFERROR(INDEX($E250:$H250,MATCH('Recepción'!$C$5,$E$1:$H$1,0)),0))</f>
        <v/>
      </c>
      <c r="J250" s="27">
        <f>IF(I250=0,0,IF(A250="S",1,IF(A250="BH",IF(COUNTIFS(A251:A501,"B",J251:J501,1)&gt;0,1,0),IF(OR(B250='Recepción'!$C$13,B250='Recepción'!$C$14,B250='Recepción'!$C$15,AND(B250="Contacto con líquido",'Recepción'!$D$29="Sí"),AND(B250="Golpe / Caída",'Recepción'!$D$28="Sí"),AND(B250="No enciende",'Recepción'!$D$31="No")),1,0))))</f>
        <v/>
      </c>
      <c r="K250" s="27">
        <f>IF(J250=1,COUNTIF($J$2:J250,1),0)</f>
        <v/>
      </c>
    </row>
    <row r="251">
      <c r="I251" s="27">
        <f>IF(C251="",0,IFERROR(INDEX($E251:$H251,MATCH('Recepción'!$C$5,$E$1:$H$1,0)),0))</f>
        <v/>
      </c>
      <c r="J251" s="27">
        <f>IF(I251=0,0,IF(A251="S",1,IF(A251="BH",IF(COUNTIFS(A252:A501,"B",J252:J501,1)&gt;0,1,0),IF(OR(B251='Recepción'!$C$13,B251='Recepción'!$C$14,B251='Recepción'!$C$15,AND(B251="Contacto con líquido",'Recepción'!$D$29="Sí"),AND(B251="Golpe / Caída",'Recepción'!$D$28="Sí"),AND(B251="No enciende",'Recepción'!$D$31="No")),1,0))))</f>
        <v/>
      </c>
      <c r="K251" s="27">
        <f>IF(J251=1,COUNTIF($J$2:J251,1),0)</f>
        <v/>
      </c>
    </row>
    <row r="252">
      <c r="I252" s="27">
        <f>IF(C252="",0,IFERROR(INDEX($E252:$H252,MATCH('Recepción'!$C$5,$E$1:$H$1,0)),0))</f>
        <v/>
      </c>
      <c r="J252" s="27">
        <f>IF(I252=0,0,IF(A252="S",1,IF(A252="BH",IF(COUNTIFS(A253:A501,"B",J253:J501,1)&gt;0,1,0),IF(OR(B252='Recepción'!$C$13,B252='Recepción'!$C$14,B252='Recepción'!$C$15,AND(B252="Contacto con líquido",'Recepción'!$D$29="Sí"),AND(B252="Golpe / Caída",'Recepción'!$D$28="Sí"),AND(B252="No enciende",'Recepción'!$D$31="No")),1,0))))</f>
        <v/>
      </c>
      <c r="K252" s="27">
        <f>IF(J252=1,COUNTIF($J$2:J252,1),0)</f>
        <v/>
      </c>
    </row>
    <row r="253">
      <c r="I253" s="27">
        <f>IF(C253="",0,IFERROR(INDEX($E253:$H253,MATCH('Recepción'!$C$5,$E$1:$H$1,0)),0))</f>
        <v/>
      </c>
      <c r="J253" s="27">
        <f>IF(I253=0,0,IF(A253="S",1,IF(A253="BH",IF(COUNTIFS(A254:A501,"B",J254:J501,1)&gt;0,1,0),IF(OR(B253='Recepción'!$C$13,B253='Recepción'!$C$14,B253='Recepción'!$C$15,AND(B253="Contacto con líquido",'Recepción'!$D$29="Sí"),AND(B253="Golpe / Caída",'Recepción'!$D$28="Sí"),AND(B253="No enciende",'Recepción'!$D$31="No")),1,0))))</f>
        <v/>
      </c>
      <c r="K253" s="27">
        <f>IF(J253=1,COUNTIF($J$2:J253,1),0)</f>
        <v/>
      </c>
    </row>
    <row r="254">
      <c r="I254" s="27">
        <f>IF(C254="",0,IFERROR(INDEX($E254:$H254,MATCH('Recepción'!$C$5,$E$1:$H$1,0)),0))</f>
        <v/>
      </c>
      <c r="J254" s="27">
        <f>IF(I254=0,0,IF(A254="S",1,IF(A254="BH",IF(COUNTIFS(A255:A501,"B",J255:J501,1)&gt;0,1,0),IF(OR(B254='Recepción'!$C$13,B254='Recepción'!$C$14,B254='Recepción'!$C$15,AND(B254="Contacto con líquido",'Recepción'!$D$29="Sí"),AND(B254="Golpe / Caída",'Recepción'!$D$28="Sí"),AND(B254="No enciende",'Recepción'!$D$31="No")),1,0))))</f>
        <v/>
      </c>
      <c r="K254" s="27">
        <f>IF(J254=1,COUNTIF($J$2:J254,1),0)</f>
        <v/>
      </c>
    </row>
    <row r="255">
      <c r="I255" s="27">
        <f>IF(C255="",0,IFERROR(INDEX($E255:$H255,MATCH('Recepción'!$C$5,$E$1:$H$1,0)),0))</f>
        <v/>
      </c>
      <c r="J255" s="27">
        <f>IF(I255=0,0,IF(A255="S",1,IF(A255="BH",IF(COUNTIFS(A256:A501,"B",J256:J501,1)&gt;0,1,0),IF(OR(B255='Recepción'!$C$13,B255='Recepción'!$C$14,B255='Recepción'!$C$15,AND(B255="Contacto con líquido",'Recepción'!$D$29="Sí"),AND(B255="Golpe / Caída",'Recepción'!$D$28="Sí"),AND(B255="No enciende",'Recepción'!$D$31="No")),1,0))))</f>
        <v/>
      </c>
      <c r="K255" s="27">
        <f>IF(J255=1,COUNTIF($J$2:J255,1),0)</f>
        <v/>
      </c>
    </row>
    <row r="256">
      <c r="I256" s="27">
        <f>IF(C256="",0,IFERROR(INDEX($E256:$H256,MATCH('Recepción'!$C$5,$E$1:$H$1,0)),0))</f>
        <v/>
      </c>
      <c r="J256" s="27">
        <f>IF(I256=0,0,IF(A256="S",1,IF(A256="BH",IF(COUNTIFS(A257:A501,"B",J257:J501,1)&gt;0,1,0),IF(OR(B256='Recepción'!$C$13,B256='Recepción'!$C$14,B256='Recepción'!$C$15,AND(B256="Contacto con líquido",'Recepción'!$D$29="Sí"),AND(B256="Golpe / Caída",'Recepción'!$D$28="Sí"),AND(B256="No enciende",'Recepción'!$D$31="No")),1,0))))</f>
        <v/>
      </c>
      <c r="K256" s="27">
        <f>IF(J256=1,COUNTIF($J$2:J256,1),0)</f>
        <v/>
      </c>
    </row>
    <row r="257">
      <c r="I257" s="27">
        <f>IF(C257="",0,IFERROR(INDEX($E257:$H257,MATCH('Recepción'!$C$5,$E$1:$H$1,0)),0))</f>
        <v/>
      </c>
      <c r="J257" s="27">
        <f>IF(I257=0,0,IF(A257="S",1,IF(A257="BH",IF(COUNTIFS(A258:A501,"B",J258:J501,1)&gt;0,1,0),IF(OR(B257='Recepción'!$C$13,B257='Recepción'!$C$14,B257='Recepción'!$C$15,AND(B257="Contacto con líquido",'Recepción'!$D$29="Sí"),AND(B257="Golpe / Caída",'Recepción'!$D$28="Sí"),AND(B257="No enciende",'Recepción'!$D$31="No")),1,0))))</f>
        <v/>
      </c>
      <c r="K257" s="27">
        <f>IF(J257=1,COUNTIF($J$2:J257,1),0)</f>
        <v/>
      </c>
    </row>
    <row r="258">
      <c r="I258" s="27">
        <f>IF(C258="",0,IFERROR(INDEX($E258:$H258,MATCH('Recepción'!$C$5,$E$1:$H$1,0)),0))</f>
        <v/>
      </c>
      <c r="J258" s="27">
        <f>IF(I258=0,0,IF(A258="S",1,IF(A258="BH",IF(COUNTIFS(A259:A501,"B",J259:J501,1)&gt;0,1,0),IF(OR(B258='Recepción'!$C$13,B258='Recepción'!$C$14,B258='Recepción'!$C$15,AND(B258="Contacto con líquido",'Recepción'!$D$29="Sí"),AND(B258="Golpe / Caída",'Recepción'!$D$28="Sí"),AND(B258="No enciende",'Recepción'!$D$31="No")),1,0))))</f>
        <v/>
      </c>
      <c r="K258" s="27">
        <f>IF(J258=1,COUNTIF($J$2:J258,1),0)</f>
        <v/>
      </c>
    </row>
    <row r="259">
      <c r="I259" s="27">
        <f>IF(C259="",0,IFERROR(INDEX($E259:$H259,MATCH('Recepción'!$C$5,$E$1:$H$1,0)),0))</f>
        <v/>
      </c>
      <c r="J259" s="27">
        <f>IF(I259=0,0,IF(A259="S",1,IF(A259="BH",IF(COUNTIFS(A260:A501,"B",J260:J501,1)&gt;0,1,0),IF(OR(B259='Recepción'!$C$13,B259='Recepción'!$C$14,B259='Recepción'!$C$15,AND(B259="Contacto con líquido",'Recepción'!$D$29="Sí"),AND(B259="Golpe / Caída",'Recepción'!$D$28="Sí"),AND(B259="No enciende",'Recepción'!$D$31="No")),1,0))))</f>
        <v/>
      </c>
      <c r="K259" s="27">
        <f>IF(J259=1,COUNTIF($J$2:J259,1),0)</f>
        <v/>
      </c>
    </row>
    <row r="260">
      <c r="I260" s="27">
        <f>IF(C260="",0,IFERROR(INDEX($E260:$H260,MATCH('Recepción'!$C$5,$E$1:$H$1,0)),0))</f>
        <v/>
      </c>
      <c r="J260" s="27">
        <f>IF(I260=0,0,IF(A260="S",1,IF(A260="BH",IF(COUNTIFS(A261:A501,"B",J261:J501,1)&gt;0,1,0),IF(OR(B260='Recepción'!$C$13,B260='Recepción'!$C$14,B260='Recepción'!$C$15,AND(B260="Contacto con líquido",'Recepción'!$D$29="Sí"),AND(B260="Golpe / Caída",'Recepción'!$D$28="Sí"),AND(B260="No enciende",'Recepción'!$D$31="No")),1,0))))</f>
        <v/>
      </c>
      <c r="K260" s="27">
        <f>IF(J260=1,COUNTIF($J$2:J260,1),0)</f>
        <v/>
      </c>
    </row>
    <row r="261">
      <c r="I261" s="27">
        <f>IF(C261="",0,IFERROR(INDEX($E261:$H261,MATCH('Recepción'!$C$5,$E$1:$H$1,0)),0))</f>
        <v/>
      </c>
      <c r="J261" s="27">
        <f>IF(I261=0,0,IF(A261="S",1,IF(A261="BH",IF(COUNTIFS(A262:A501,"B",J262:J501,1)&gt;0,1,0),IF(OR(B261='Recepción'!$C$13,B261='Recepción'!$C$14,B261='Recepción'!$C$15,AND(B261="Contacto con líquido",'Recepción'!$D$29="Sí"),AND(B261="Golpe / Caída",'Recepción'!$D$28="Sí"),AND(B261="No enciende",'Recepción'!$D$31="No")),1,0))))</f>
        <v/>
      </c>
      <c r="K261" s="27">
        <f>IF(J261=1,COUNTIF($J$2:J261,1),0)</f>
        <v/>
      </c>
    </row>
    <row r="262">
      <c r="I262" s="27">
        <f>IF(C262="",0,IFERROR(INDEX($E262:$H262,MATCH('Recepción'!$C$5,$E$1:$H$1,0)),0))</f>
        <v/>
      </c>
      <c r="J262" s="27">
        <f>IF(I262=0,0,IF(A262="S",1,IF(A262="BH",IF(COUNTIFS(A263:A501,"B",J263:J501,1)&gt;0,1,0),IF(OR(B262='Recepción'!$C$13,B262='Recepción'!$C$14,B262='Recepción'!$C$15,AND(B262="Contacto con líquido",'Recepción'!$D$29="Sí"),AND(B262="Golpe / Caída",'Recepción'!$D$28="Sí"),AND(B262="No enciende",'Recepción'!$D$31="No")),1,0))))</f>
        <v/>
      </c>
      <c r="K262" s="27">
        <f>IF(J262=1,COUNTIF($J$2:J262,1),0)</f>
        <v/>
      </c>
    </row>
    <row r="263">
      <c r="I263" s="27">
        <f>IF(C263="",0,IFERROR(INDEX($E263:$H263,MATCH('Recepción'!$C$5,$E$1:$H$1,0)),0))</f>
        <v/>
      </c>
      <c r="J263" s="27">
        <f>IF(I263=0,0,IF(A263="S",1,IF(A263="BH",IF(COUNTIFS(A264:A501,"B",J264:J501,1)&gt;0,1,0),IF(OR(B263='Recepción'!$C$13,B263='Recepción'!$C$14,B263='Recepción'!$C$15,AND(B263="Contacto con líquido",'Recepción'!$D$29="Sí"),AND(B263="Golpe / Caída",'Recepción'!$D$28="Sí"),AND(B263="No enciende",'Recepción'!$D$31="No")),1,0))))</f>
        <v/>
      </c>
      <c r="K263" s="27">
        <f>IF(J263=1,COUNTIF($J$2:J263,1),0)</f>
        <v/>
      </c>
    </row>
    <row r="264">
      <c r="I264" s="27">
        <f>IF(C264="",0,IFERROR(INDEX($E264:$H264,MATCH('Recepción'!$C$5,$E$1:$H$1,0)),0))</f>
        <v/>
      </c>
      <c r="J264" s="27">
        <f>IF(I264=0,0,IF(A264="S",1,IF(A264="BH",IF(COUNTIFS(A265:A501,"B",J265:J501,1)&gt;0,1,0),IF(OR(B264='Recepción'!$C$13,B264='Recepción'!$C$14,B264='Recepción'!$C$15,AND(B264="Contacto con líquido",'Recepción'!$D$29="Sí"),AND(B264="Golpe / Caída",'Recepción'!$D$28="Sí"),AND(B264="No enciende",'Recepción'!$D$31="No")),1,0))))</f>
        <v/>
      </c>
      <c r="K264" s="27">
        <f>IF(J264=1,COUNTIF($J$2:J264,1),0)</f>
        <v/>
      </c>
    </row>
    <row r="265">
      <c r="I265" s="27">
        <f>IF(C265="",0,IFERROR(INDEX($E265:$H265,MATCH('Recepción'!$C$5,$E$1:$H$1,0)),0))</f>
        <v/>
      </c>
      <c r="J265" s="27">
        <f>IF(I265=0,0,IF(A265="S",1,IF(A265="BH",IF(COUNTIFS(A266:A501,"B",J266:J501,1)&gt;0,1,0),IF(OR(B265='Recepción'!$C$13,B265='Recepción'!$C$14,B265='Recepción'!$C$15,AND(B265="Contacto con líquido",'Recepción'!$D$29="Sí"),AND(B265="Golpe / Caída",'Recepción'!$D$28="Sí"),AND(B265="No enciende",'Recepción'!$D$31="No")),1,0))))</f>
        <v/>
      </c>
      <c r="K265" s="27">
        <f>IF(J265=1,COUNTIF($J$2:J265,1),0)</f>
        <v/>
      </c>
    </row>
    <row r="266">
      <c r="I266" s="27">
        <f>IF(C266="",0,IFERROR(INDEX($E266:$H266,MATCH('Recepción'!$C$5,$E$1:$H$1,0)),0))</f>
        <v/>
      </c>
      <c r="J266" s="27">
        <f>IF(I266=0,0,IF(A266="S",1,IF(A266="BH",IF(COUNTIFS(A267:A501,"B",J267:J501,1)&gt;0,1,0),IF(OR(B266='Recepción'!$C$13,B266='Recepción'!$C$14,B266='Recepción'!$C$15,AND(B266="Contacto con líquido",'Recepción'!$D$29="Sí"),AND(B266="Golpe / Caída",'Recepción'!$D$28="Sí"),AND(B266="No enciende",'Recepción'!$D$31="No")),1,0))))</f>
        <v/>
      </c>
      <c r="K266" s="27">
        <f>IF(J266=1,COUNTIF($J$2:J266,1),0)</f>
        <v/>
      </c>
    </row>
    <row r="267">
      <c r="I267" s="27">
        <f>IF(C267="",0,IFERROR(INDEX($E267:$H267,MATCH('Recepción'!$C$5,$E$1:$H$1,0)),0))</f>
        <v/>
      </c>
      <c r="J267" s="27">
        <f>IF(I267=0,0,IF(A267="S",1,IF(A267="BH",IF(COUNTIFS(A268:A501,"B",J268:J501,1)&gt;0,1,0),IF(OR(B267='Recepción'!$C$13,B267='Recepción'!$C$14,B267='Recepción'!$C$15,AND(B267="Contacto con líquido",'Recepción'!$D$29="Sí"),AND(B267="Golpe / Caída",'Recepción'!$D$28="Sí"),AND(B267="No enciende",'Recepción'!$D$31="No")),1,0))))</f>
        <v/>
      </c>
      <c r="K267" s="27">
        <f>IF(J267=1,COUNTIF($J$2:J267,1),0)</f>
        <v/>
      </c>
    </row>
    <row r="268">
      <c r="I268" s="27">
        <f>IF(C268="",0,IFERROR(INDEX($E268:$H268,MATCH('Recepción'!$C$5,$E$1:$H$1,0)),0))</f>
        <v/>
      </c>
      <c r="J268" s="27">
        <f>IF(I268=0,0,IF(A268="S",1,IF(A268="BH",IF(COUNTIFS(A269:A501,"B",J269:J501,1)&gt;0,1,0),IF(OR(B268='Recepción'!$C$13,B268='Recepción'!$C$14,B268='Recepción'!$C$15,AND(B268="Contacto con líquido",'Recepción'!$D$29="Sí"),AND(B268="Golpe / Caída",'Recepción'!$D$28="Sí"),AND(B268="No enciende",'Recepción'!$D$31="No")),1,0))))</f>
        <v/>
      </c>
      <c r="K268" s="27">
        <f>IF(J268=1,COUNTIF($J$2:J268,1),0)</f>
        <v/>
      </c>
    </row>
    <row r="269">
      <c r="I269" s="27">
        <f>IF(C269="",0,IFERROR(INDEX($E269:$H269,MATCH('Recepción'!$C$5,$E$1:$H$1,0)),0))</f>
        <v/>
      </c>
      <c r="J269" s="27">
        <f>IF(I269=0,0,IF(A269="S",1,IF(A269="BH",IF(COUNTIFS(A270:A501,"B",J270:J501,1)&gt;0,1,0),IF(OR(B269='Recepción'!$C$13,B269='Recepción'!$C$14,B269='Recepción'!$C$15,AND(B269="Contacto con líquido",'Recepción'!$D$29="Sí"),AND(B269="Golpe / Caída",'Recepción'!$D$28="Sí"),AND(B269="No enciende",'Recepción'!$D$31="No")),1,0))))</f>
        <v/>
      </c>
      <c r="K269" s="27">
        <f>IF(J269=1,COUNTIF($J$2:J269,1),0)</f>
        <v/>
      </c>
    </row>
    <row r="270">
      <c r="I270" s="27">
        <f>IF(C270="",0,IFERROR(INDEX($E270:$H270,MATCH('Recepción'!$C$5,$E$1:$H$1,0)),0))</f>
        <v/>
      </c>
      <c r="J270" s="27">
        <f>IF(I270=0,0,IF(A270="S",1,IF(A270="BH",IF(COUNTIFS(A271:A501,"B",J271:J501,1)&gt;0,1,0),IF(OR(B270='Recepción'!$C$13,B270='Recepción'!$C$14,B270='Recepción'!$C$15,AND(B270="Contacto con líquido",'Recepción'!$D$29="Sí"),AND(B270="Golpe / Caída",'Recepción'!$D$28="Sí"),AND(B270="No enciende",'Recepción'!$D$31="No")),1,0))))</f>
        <v/>
      </c>
      <c r="K270" s="27">
        <f>IF(J270=1,COUNTIF($J$2:J270,1),0)</f>
        <v/>
      </c>
    </row>
    <row r="271">
      <c r="I271" s="27">
        <f>IF(C271="",0,IFERROR(INDEX($E271:$H271,MATCH('Recepción'!$C$5,$E$1:$H$1,0)),0))</f>
        <v/>
      </c>
      <c r="J271" s="27">
        <f>IF(I271=0,0,IF(A271="S",1,IF(A271="BH",IF(COUNTIFS(A272:A501,"B",J272:J501,1)&gt;0,1,0),IF(OR(B271='Recepción'!$C$13,B271='Recepción'!$C$14,B271='Recepción'!$C$15,AND(B271="Contacto con líquido",'Recepción'!$D$29="Sí"),AND(B271="Golpe / Caída",'Recepción'!$D$28="Sí"),AND(B271="No enciende",'Recepción'!$D$31="No")),1,0))))</f>
        <v/>
      </c>
      <c r="K271" s="27">
        <f>IF(J271=1,COUNTIF($J$2:J271,1),0)</f>
        <v/>
      </c>
    </row>
    <row r="272">
      <c r="I272" s="27">
        <f>IF(C272="",0,IFERROR(INDEX($E272:$H272,MATCH('Recepción'!$C$5,$E$1:$H$1,0)),0))</f>
        <v/>
      </c>
      <c r="J272" s="27">
        <f>IF(I272=0,0,IF(A272="S",1,IF(A272="BH",IF(COUNTIFS(A273:A501,"B",J273:J501,1)&gt;0,1,0),IF(OR(B272='Recepción'!$C$13,B272='Recepción'!$C$14,B272='Recepción'!$C$15,AND(B272="Contacto con líquido",'Recepción'!$D$29="Sí"),AND(B272="Golpe / Caída",'Recepción'!$D$28="Sí"),AND(B272="No enciende",'Recepción'!$D$31="No")),1,0))))</f>
        <v/>
      </c>
      <c r="K272" s="27">
        <f>IF(J272=1,COUNTIF($J$2:J272,1),0)</f>
        <v/>
      </c>
    </row>
    <row r="273">
      <c r="I273" s="27">
        <f>IF(C273="",0,IFERROR(INDEX($E273:$H273,MATCH('Recepción'!$C$5,$E$1:$H$1,0)),0))</f>
        <v/>
      </c>
      <c r="J273" s="27">
        <f>IF(I273=0,0,IF(A273="S",1,IF(A273="BH",IF(COUNTIFS(A274:A501,"B",J274:J501,1)&gt;0,1,0),IF(OR(B273='Recepción'!$C$13,B273='Recepción'!$C$14,B273='Recepción'!$C$15,AND(B273="Contacto con líquido",'Recepción'!$D$29="Sí"),AND(B273="Golpe / Caída",'Recepción'!$D$28="Sí"),AND(B273="No enciende",'Recepción'!$D$31="No")),1,0))))</f>
        <v/>
      </c>
      <c r="K273" s="27">
        <f>IF(J273=1,COUNTIF($J$2:J273,1),0)</f>
        <v/>
      </c>
    </row>
    <row r="274">
      <c r="I274" s="27">
        <f>IF(C274="",0,IFERROR(INDEX($E274:$H274,MATCH('Recepción'!$C$5,$E$1:$H$1,0)),0))</f>
        <v/>
      </c>
      <c r="J274" s="27">
        <f>IF(I274=0,0,IF(A274="S",1,IF(A274="BH",IF(COUNTIFS(A275:A501,"B",J275:J501,1)&gt;0,1,0),IF(OR(B274='Recepción'!$C$13,B274='Recepción'!$C$14,B274='Recepción'!$C$15,AND(B274="Contacto con líquido",'Recepción'!$D$29="Sí"),AND(B274="Golpe / Caída",'Recepción'!$D$28="Sí"),AND(B274="No enciende",'Recepción'!$D$31="No")),1,0))))</f>
        <v/>
      </c>
      <c r="K274" s="27">
        <f>IF(J274=1,COUNTIF($J$2:J274,1),0)</f>
        <v/>
      </c>
    </row>
    <row r="275">
      <c r="I275" s="27">
        <f>IF(C275="",0,IFERROR(INDEX($E275:$H275,MATCH('Recepción'!$C$5,$E$1:$H$1,0)),0))</f>
        <v/>
      </c>
      <c r="J275" s="27">
        <f>IF(I275=0,0,IF(A275="S",1,IF(A275="BH",IF(COUNTIFS(A276:A501,"B",J276:J501,1)&gt;0,1,0),IF(OR(B275='Recepción'!$C$13,B275='Recepción'!$C$14,B275='Recepción'!$C$15,AND(B275="Contacto con líquido",'Recepción'!$D$29="Sí"),AND(B275="Golpe / Caída",'Recepción'!$D$28="Sí"),AND(B275="No enciende",'Recepción'!$D$31="No")),1,0))))</f>
        <v/>
      </c>
      <c r="K275" s="27">
        <f>IF(J275=1,COUNTIF($J$2:J275,1),0)</f>
        <v/>
      </c>
    </row>
    <row r="276">
      <c r="I276" s="27">
        <f>IF(C276="",0,IFERROR(INDEX($E276:$H276,MATCH('Recepción'!$C$5,$E$1:$H$1,0)),0))</f>
        <v/>
      </c>
      <c r="J276" s="27">
        <f>IF(I276=0,0,IF(A276="S",1,IF(A276="BH",IF(COUNTIFS(A277:A501,"B",J277:J501,1)&gt;0,1,0),IF(OR(B276='Recepción'!$C$13,B276='Recepción'!$C$14,B276='Recepción'!$C$15,AND(B276="Contacto con líquido",'Recepción'!$D$29="Sí"),AND(B276="Golpe / Caída",'Recepción'!$D$28="Sí"),AND(B276="No enciende",'Recepción'!$D$31="No")),1,0))))</f>
        <v/>
      </c>
      <c r="K276" s="27">
        <f>IF(J276=1,COUNTIF($J$2:J276,1),0)</f>
        <v/>
      </c>
    </row>
    <row r="277">
      <c r="I277" s="27">
        <f>IF(C277="",0,IFERROR(INDEX($E277:$H277,MATCH('Recepción'!$C$5,$E$1:$H$1,0)),0))</f>
        <v/>
      </c>
      <c r="J277" s="27">
        <f>IF(I277=0,0,IF(A277="S",1,IF(A277="BH",IF(COUNTIFS(A278:A501,"B",J278:J501,1)&gt;0,1,0),IF(OR(B277='Recepción'!$C$13,B277='Recepción'!$C$14,B277='Recepción'!$C$15,AND(B277="Contacto con líquido",'Recepción'!$D$29="Sí"),AND(B277="Golpe / Caída",'Recepción'!$D$28="Sí"),AND(B277="No enciende",'Recepción'!$D$31="No")),1,0))))</f>
        <v/>
      </c>
      <c r="K277" s="27">
        <f>IF(J277=1,COUNTIF($J$2:J277,1),0)</f>
        <v/>
      </c>
    </row>
    <row r="278">
      <c r="I278" s="27">
        <f>IF(C278="",0,IFERROR(INDEX($E278:$H278,MATCH('Recepción'!$C$5,$E$1:$H$1,0)),0))</f>
        <v/>
      </c>
      <c r="J278" s="27">
        <f>IF(I278=0,0,IF(A278="S",1,IF(A278="BH",IF(COUNTIFS(A279:A501,"B",J279:J501,1)&gt;0,1,0),IF(OR(B278='Recepción'!$C$13,B278='Recepción'!$C$14,B278='Recepción'!$C$15,AND(B278="Contacto con líquido",'Recepción'!$D$29="Sí"),AND(B278="Golpe / Caída",'Recepción'!$D$28="Sí"),AND(B278="No enciende",'Recepción'!$D$31="No")),1,0))))</f>
        <v/>
      </c>
      <c r="K278" s="27">
        <f>IF(J278=1,COUNTIF($J$2:J278,1),0)</f>
        <v/>
      </c>
    </row>
    <row r="279">
      <c r="I279" s="27">
        <f>IF(C279="",0,IFERROR(INDEX($E279:$H279,MATCH('Recepción'!$C$5,$E$1:$H$1,0)),0))</f>
        <v/>
      </c>
      <c r="J279" s="27">
        <f>IF(I279=0,0,IF(A279="S",1,IF(A279="BH",IF(COUNTIFS(A280:A501,"B",J280:J501,1)&gt;0,1,0),IF(OR(B279='Recepción'!$C$13,B279='Recepción'!$C$14,B279='Recepción'!$C$15,AND(B279="Contacto con líquido",'Recepción'!$D$29="Sí"),AND(B279="Golpe / Caída",'Recepción'!$D$28="Sí"),AND(B279="No enciende",'Recepción'!$D$31="No")),1,0))))</f>
        <v/>
      </c>
      <c r="K279" s="27">
        <f>IF(J279=1,COUNTIF($J$2:J279,1),0)</f>
        <v/>
      </c>
    </row>
    <row r="280">
      <c r="I280" s="27">
        <f>IF(C280="",0,IFERROR(INDEX($E280:$H280,MATCH('Recepción'!$C$5,$E$1:$H$1,0)),0))</f>
        <v/>
      </c>
      <c r="J280" s="27">
        <f>IF(I280=0,0,IF(A280="S",1,IF(A280="BH",IF(COUNTIFS(A281:A501,"B",J281:J501,1)&gt;0,1,0),IF(OR(B280='Recepción'!$C$13,B280='Recepción'!$C$14,B280='Recepción'!$C$15,AND(B280="Contacto con líquido",'Recepción'!$D$29="Sí"),AND(B280="Golpe / Caída",'Recepción'!$D$28="Sí"),AND(B280="No enciende",'Recepción'!$D$31="No")),1,0))))</f>
        <v/>
      </c>
      <c r="K280" s="27">
        <f>IF(J280=1,COUNTIF($J$2:J280,1),0)</f>
        <v/>
      </c>
    </row>
    <row r="281">
      <c r="I281" s="27">
        <f>IF(C281="",0,IFERROR(INDEX($E281:$H281,MATCH('Recepción'!$C$5,$E$1:$H$1,0)),0))</f>
        <v/>
      </c>
      <c r="J281" s="27">
        <f>IF(I281=0,0,IF(A281="S",1,IF(A281="BH",IF(COUNTIFS(A282:A501,"B",J282:J501,1)&gt;0,1,0),IF(OR(B281='Recepción'!$C$13,B281='Recepción'!$C$14,B281='Recepción'!$C$15,AND(B281="Contacto con líquido",'Recepción'!$D$29="Sí"),AND(B281="Golpe / Caída",'Recepción'!$D$28="Sí"),AND(B281="No enciende",'Recepción'!$D$31="No")),1,0))))</f>
        <v/>
      </c>
      <c r="K281" s="27">
        <f>IF(J281=1,COUNTIF($J$2:J281,1),0)</f>
        <v/>
      </c>
    </row>
    <row r="282">
      <c r="I282" s="27">
        <f>IF(C282="",0,IFERROR(INDEX($E282:$H282,MATCH('Recepción'!$C$5,$E$1:$H$1,0)),0))</f>
        <v/>
      </c>
      <c r="J282" s="27">
        <f>IF(I282=0,0,IF(A282="S",1,IF(A282="BH",IF(COUNTIFS(A283:A501,"B",J283:J501,1)&gt;0,1,0),IF(OR(B282='Recepción'!$C$13,B282='Recepción'!$C$14,B282='Recepción'!$C$15,AND(B282="Contacto con líquido",'Recepción'!$D$29="Sí"),AND(B282="Golpe / Caída",'Recepción'!$D$28="Sí"),AND(B282="No enciende",'Recepción'!$D$31="No")),1,0))))</f>
        <v/>
      </c>
      <c r="K282" s="27">
        <f>IF(J282=1,COUNTIF($J$2:J282,1),0)</f>
        <v/>
      </c>
    </row>
    <row r="283">
      <c r="I283" s="27">
        <f>IF(C283="",0,IFERROR(INDEX($E283:$H283,MATCH('Recepción'!$C$5,$E$1:$H$1,0)),0))</f>
        <v/>
      </c>
      <c r="J283" s="27">
        <f>IF(I283=0,0,IF(A283="S",1,IF(A283="BH",IF(COUNTIFS(A284:A501,"B",J284:J501,1)&gt;0,1,0),IF(OR(B283='Recepción'!$C$13,B283='Recepción'!$C$14,B283='Recepción'!$C$15,AND(B283="Contacto con líquido",'Recepción'!$D$29="Sí"),AND(B283="Golpe / Caída",'Recepción'!$D$28="Sí"),AND(B283="No enciende",'Recepción'!$D$31="No")),1,0))))</f>
        <v/>
      </c>
      <c r="K283" s="27">
        <f>IF(J283=1,COUNTIF($J$2:J283,1),0)</f>
        <v/>
      </c>
    </row>
    <row r="284">
      <c r="I284" s="27">
        <f>IF(C284="",0,IFERROR(INDEX($E284:$H284,MATCH('Recepción'!$C$5,$E$1:$H$1,0)),0))</f>
        <v/>
      </c>
      <c r="J284" s="27">
        <f>IF(I284=0,0,IF(A284="S",1,IF(A284="BH",IF(COUNTIFS(A285:A501,"B",J285:J501,1)&gt;0,1,0),IF(OR(B284='Recepción'!$C$13,B284='Recepción'!$C$14,B284='Recepción'!$C$15,AND(B284="Contacto con líquido",'Recepción'!$D$29="Sí"),AND(B284="Golpe / Caída",'Recepción'!$D$28="Sí"),AND(B284="No enciende",'Recepción'!$D$31="No")),1,0))))</f>
        <v/>
      </c>
      <c r="K284" s="27">
        <f>IF(J284=1,COUNTIF($J$2:J284,1),0)</f>
        <v/>
      </c>
    </row>
    <row r="285">
      <c r="I285" s="27">
        <f>IF(C285="",0,IFERROR(INDEX($E285:$H285,MATCH('Recepción'!$C$5,$E$1:$H$1,0)),0))</f>
        <v/>
      </c>
      <c r="J285" s="27">
        <f>IF(I285=0,0,IF(A285="S",1,IF(A285="BH",IF(COUNTIFS(A286:A501,"B",J286:J501,1)&gt;0,1,0),IF(OR(B285='Recepción'!$C$13,B285='Recepción'!$C$14,B285='Recepción'!$C$15,AND(B285="Contacto con líquido",'Recepción'!$D$29="Sí"),AND(B285="Golpe / Caída",'Recepción'!$D$28="Sí"),AND(B285="No enciende",'Recepción'!$D$31="No")),1,0))))</f>
        <v/>
      </c>
      <c r="K285" s="27">
        <f>IF(J285=1,COUNTIF($J$2:J285,1),0)</f>
        <v/>
      </c>
    </row>
    <row r="286">
      <c r="I286" s="27">
        <f>IF(C286="",0,IFERROR(INDEX($E286:$H286,MATCH('Recepción'!$C$5,$E$1:$H$1,0)),0))</f>
        <v/>
      </c>
      <c r="J286" s="27">
        <f>IF(I286=0,0,IF(A286="S",1,IF(A286="BH",IF(COUNTIFS(A287:A501,"B",J287:J501,1)&gt;0,1,0),IF(OR(B286='Recepción'!$C$13,B286='Recepción'!$C$14,B286='Recepción'!$C$15,AND(B286="Contacto con líquido",'Recepción'!$D$29="Sí"),AND(B286="Golpe / Caída",'Recepción'!$D$28="Sí"),AND(B286="No enciende",'Recepción'!$D$31="No")),1,0))))</f>
        <v/>
      </c>
      <c r="K286" s="27">
        <f>IF(J286=1,COUNTIF($J$2:J286,1),0)</f>
        <v/>
      </c>
    </row>
    <row r="287">
      <c r="I287" s="27">
        <f>IF(C287="",0,IFERROR(INDEX($E287:$H287,MATCH('Recepción'!$C$5,$E$1:$H$1,0)),0))</f>
        <v/>
      </c>
      <c r="J287" s="27">
        <f>IF(I287=0,0,IF(A287="S",1,IF(A287="BH",IF(COUNTIFS(A288:A501,"B",J288:J501,1)&gt;0,1,0),IF(OR(B287='Recepción'!$C$13,B287='Recepción'!$C$14,B287='Recepción'!$C$15,AND(B287="Contacto con líquido",'Recepción'!$D$29="Sí"),AND(B287="Golpe / Caída",'Recepción'!$D$28="Sí"),AND(B287="No enciende",'Recepción'!$D$31="No")),1,0))))</f>
        <v/>
      </c>
      <c r="K287" s="27">
        <f>IF(J287=1,COUNTIF($J$2:J287,1),0)</f>
        <v/>
      </c>
    </row>
    <row r="288">
      <c r="I288" s="27">
        <f>IF(C288="",0,IFERROR(INDEX($E288:$H288,MATCH('Recepción'!$C$5,$E$1:$H$1,0)),0))</f>
        <v/>
      </c>
      <c r="J288" s="27">
        <f>IF(I288=0,0,IF(A288="S",1,IF(A288="BH",IF(COUNTIFS(A289:A501,"B",J289:J501,1)&gt;0,1,0),IF(OR(B288='Recepción'!$C$13,B288='Recepción'!$C$14,B288='Recepción'!$C$15,AND(B288="Contacto con líquido",'Recepción'!$D$29="Sí"),AND(B288="Golpe / Caída",'Recepción'!$D$28="Sí"),AND(B288="No enciende",'Recepción'!$D$31="No")),1,0))))</f>
        <v/>
      </c>
      <c r="K288" s="27">
        <f>IF(J288=1,COUNTIF($J$2:J288,1),0)</f>
        <v/>
      </c>
    </row>
    <row r="289">
      <c r="I289" s="27">
        <f>IF(C289="",0,IFERROR(INDEX($E289:$H289,MATCH('Recepción'!$C$5,$E$1:$H$1,0)),0))</f>
        <v/>
      </c>
      <c r="J289" s="27">
        <f>IF(I289=0,0,IF(A289="S",1,IF(A289="BH",IF(COUNTIFS(A290:A501,"B",J290:J501,1)&gt;0,1,0),IF(OR(B289='Recepción'!$C$13,B289='Recepción'!$C$14,B289='Recepción'!$C$15,AND(B289="Contacto con líquido",'Recepción'!$D$29="Sí"),AND(B289="Golpe / Caída",'Recepción'!$D$28="Sí"),AND(B289="No enciende",'Recepción'!$D$31="No")),1,0))))</f>
        <v/>
      </c>
      <c r="K289" s="27">
        <f>IF(J289=1,COUNTIF($J$2:J289,1),0)</f>
        <v/>
      </c>
    </row>
    <row r="290">
      <c r="I290" s="27">
        <f>IF(C290="",0,IFERROR(INDEX($E290:$H290,MATCH('Recepción'!$C$5,$E$1:$H$1,0)),0))</f>
        <v/>
      </c>
      <c r="J290" s="27">
        <f>IF(I290=0,0,IF(A290="S",1,IF(A290="BH",IF(COUNTIFS(A291:A501,"B",J291:J501,1)&gt;0,1,0),IF(OR(B290='Recepción'!$C$13,B290='Recepción'!$C$14,B290='Recepción'!$C$15,AND(B290="Contacto con líquido",'Recepción'!$D$29="Sí"),AND(B290="Golpe / Caída",'Recepción'!$D$28="Sí"),AND(B290="No enciende",'Recepción'!$D$31="No")),1,0))))</f>
        <v/>
      </c>
      <c r="K290" s="27">
        <f>IF(J290=1,COUNTIF($J$2:J290,1),0)</f>
        <v/>
      </c>
    </row>
    <row r="291">
      <c r="I291" s="27">
        <f>IF(C291="",0,IFERROR(INDEX($E291:$H291,MATCH('Recepción'!$C$5,$E$1:$H$1,0)),0))</f>
        <v/>
      </c>
      <c r="J291" s="27">
        <f>IF(I291=0,0,IF(A291="S",1,IF(A291="BH",IF(COUNTIFS(A292:A501,"B",J292:J501,1)&gt;0,1,0),IF(OR(B291='Recepción'!$C$13,B291='Recepción'!$C$14,B291='Recepción'!$C$15,AND(B291="Contacto con líquido",'Recepción'!$D$29="Sí"),AND(B291="Golpe / Caída",'Recepción'!$D$28="Sí"),AND(B291="No enciende",'Recepción'!$D$31="No")),1,0))))</f>
        <v/>
      </c>
      <c r="K291" s="27">
        <f>IF(J291=1,COUNTIF($J$2:J291,1),0)</f>
        <v/>
      </c>
    </row>
    <row r="292">
      <c r="I292" s="27">
        <f>IF(C292="",0,IFERROR(INDEX($E292:$H292,MATCH('Recepción'!$C$5,$E$1:$H$1,0)),0))</f>
        <v/>
      </c>
      <c r="J292" s="27">
        <f>IF(I292=0,0,IF(A292="S",1,IF(A292="BH",IF(COUNTIFS(A293:A501,"B",J293:J501,1)&gt;0,1,0),IF(OR(B292='Recepción'!$C$13,B292='Recepción'!$C$14,B292='Recepción'!$C$15,AND(B292="Contacto con líquido",'Recepción'!$D$29="Sí"),AND(B292="Golpe / Caída",'Recepción'!$D$28="Sí"),AND(B292="No enciende",'Recepción'!$D$31="No")),1,0))))</f>
        <v/>
      </c>
      <c r="K292" s="27">
        <f>IF(J292=1,COUNTIF($J$2:J292,1),0)</f>
        <v/>
      </c>
    </row>
    <row r="293">
      <c r="I293" s="27">
        <f>IF(C293="",0,IFERROR(INDEX($E293:$H293,MATCH('Recepción'!$C$5,$E$1:$H$1,0)),0))</f>
        <v/>
      </c>
      <c r="J293" s="27">
        <f>IF(I293=0,0,IF(A293="S",1,IF(A293="BH",IF(COUNTIFS(A294:A501,"B",J294:J501,1)&gt;0,1,0),IF(OR(B293='Recepción'!$C$13,B293='Recepción'!$C$14,B293='Recepción'!$C$15,AND(B293="Contacto con líquido",'Recepción'!$D$29="Sí"),AND(B293="Golpe / Caída",'Recepción'!$D$28="Sí"),AND(B293="No enciende",'Recepción'!$D$31="No")),1,0))))</f>
        <v/>
      </c>
      <c r="K293" s="27">
        <f>IF(J293=1,COUNTIF($J$2:J293,1),0)</f>
        <v/>
      </c>
    </row>
    <row r="294">
      <c r="I294" s="27">
        <f>IF(C294="",0,IFERROR(INDEX($E294:$H294,MATCH('Recepción'!$C$5,$E$1:$H$1,0)),0))</f>
        <v/>
      </c>
      <c r="J294" s="27">
        <f>IF(I294=0,0,IF(A294="S",1,IF(A294="BH",IF(COUNTIFS(A295:A501,"B",J295:J501,1)&gt;0,1,0),IF(OR(B294='Recepción'!$C$13,B294='Recepción'!$C$14,B294='Recepción'!$C$15,AND(B294="Contacto con líquido",'Recepción'!$D$29="Sí"),AND(B294="Golpe / Caída",'Recepción'!$D$28="Sí"),AND(B294="No enciende",'Recepción'!$D$31="No")),1,0))))</f>
        <v/>
      </c>
      <c r="K294" s="27">
        <f>IF(J294=1,COUNTIF($J$2:J294,1),0)</f>
        <v/>
      </c>
    </row>
    <row r="295">
      <c r="I295" s="27">
        <f>IF(C295="",0,IFERROR(INDEX($E295:$H295,MATCH('Recepción'!$C$5,$E$1:$H$1,0)),0))</f>
        <v/>
      </c>
      <c r="J295" s="27">
        <f>IF(I295=0,0,IF(A295="S",1,IF(A295="BH",IF(COUNTIFS(A296:A501,"B",J296:J501,1)&gt;0,1,0),IF(OR(B295='Recepción'!$C$13,B295='Recepción'!$C$14,B295='Recepción'!$C$15,AND(B295="Contacto con líquido",'Recepción'!$D$29="Sí"),AND(B295="Golpe / Caída",'Recepción'!$D$28="Sí"),AND(B295="No enciende",'Recepción'!$D$31="No")),1,0))))</f>
        <v/>
      </c>
      <c r="K295" s="27">
        <f>IF(J295=1,COUNTIF($J$2:J295,1),0)</f>
        <v/>
      </c>
    </row>
    <row r="296">
      <c r="I296" s="27">
        <f>IF(C296="",0,IFERROR(INDEX($E296:$H296,MATCH('Recepción'!$C$5,$E$1:$H$1,0)),0))</f>
        <v/>
      </c>
      <c r="J296" s="27">
        <f>IF(I296=0,0,IF(A296="S",1,IF(A296="BH",IF(COUNTIFS(A297:A501,"B",J297:J501,1)&gt;0,1,0),IF(OR(B296='Recepción'!$C$13,B296='Recepción'!$C$14,B296='Recepción'!$C$15,AND(B296="Contacto con líquido",'Recepción'!$D$29="Sí"),AND(B296="Golpe / Caída",'Recepción'!$D$28="Sí"),AND(B296="No enciende",'Recepción'!$D$31="No")),1,0))))</f>
        <v/>
      </c>
      <c r="K296" s="27">
        <f>IF(J296=1,COUNTIF($J$2:J296,1),0)</f>
        <v/>
      </c>
    </row>
    <row r="297">
      <c r="I297" s="27">
        <f>IF(C297="",0,IFERROR(INDEX($E297:$H297,MATCH('Recepción'!$C$5,$E$1:$H$1,0)),0))</f>
        <v/>
      </c>
      <c r="J297" s="27">
        <f>IF(I297=0,0,IF(A297="S",1,IF(A297="BH",IF(COUNTIFS(A298:A501,"B",J298:J501,1)&gt;0,1,0),IF(OR(B297='Recepción'!$C$13,B297='Recepción'!$C$14,B297='Recepción'!$C$15,AND(B297="Contacto con líquido",'Recepción'!$D$29="Sí"),AND(B297="Golpe / Caída",'Recepción'!$D$28="Sí"),AND(B297="No enciende",'Recepción'!$D$31="No")),1,0))))</f>
        <v/>
      </c>
      <c r="K297" s="27">
        <f>IF(J297=1,COUNTIF($J$2:J297,1),0)</f>
        <v/>
      </c>
    </row>
    <row r="298">
      <c r="I298" s="27">
        <f>IF(C298="",0,IFERROR(INDEX($E298:$H298,MATCH('Recepción'!$C$5,$E$1:$H$1,0)),0))</f>
        <v/>
      </c>
      <c r="J298" s="27">
        <f>IF(I298=0,0,IF(A298="S",1,IF(A298="BH",IF(COUNTIFS(A299:A501,"B",J299:J501,1)&gt;0,1,0),IF(OR(B298='Recepción'!$C$13,B298='Recepción'!$C$14,B298='Recepción'!$C$15,AND(B298="Contacto con líquido",'Recepción'!$D$29="Sí"),AND(B298="Golpe / Caída",'Recepción'!$D$28="Sí"),AND(B298="No enciende",'Recepción'!$D$31="No")),1,0))))</f>
        <v/>
      </c>
      <c r="K298" s="27">
        <f>IF(J298=1,COUNTIF($J$2:J298,1),0)</f>
        <v/>
      </c>
    </row>
    <row r="299">
      <c r="I299" s="27">
        <f>IF(C299="",0,IFERROR(INDEX($E299:$H299,MATCH('Recepción'!$C$5,$E$1:$H$1,0)),0))</f>
        <v/>
      </c>
      <c r="J299" s="27">
        <f>IF(I299=0,0,IF(A299="S",1,IF(A299="BH",IF(COUNTIFS(A300:A501,"B",J300:J501,1)&gt;0,1,0),IF(OR(B299='Recepción'!$C$13,B299='Recepción'!$C$14,B299='Recepción'!$C$15,AND(B299="Contacto con líquido",'Recepción'!$D$29="Sí"),AND(B299="Golpe / Caída",'Recepción'!$D$28="Sí"),AND(B299="No enciende",'Recepción'!$D$31="No")),1,0))))</f>
        <v/>
      </c>
      <c r="K299" s="27">
        <f>IF(J299=1,COUNTIF($J$2:J299,1),0)</f>
        <v/>
      </c>
    </row>
    <row r="300">
      <c r="I300" s="27">
        <f>IF(C300="",0,IFERROR(INDEX($E300:$H300,MATCH('Recepción'!$C$5,$E$1:$H$1,0)),0))</f>
        <v/>
      </c>
      <c r="J300" s="27">
        <f>IF(I300=0,0,IF(A300="S",1,IF(A300="BH",IF(COUNTIFS(A301:A501,"B",J301:J501,1)&gt;0,1,0),IF(OR(B300='Recepción'!$C$13,B300='Recepción'!$C$14,B300='Recepción'!$C$15,AND(B300="Contacto con líquido",'Recepción'!$D$29="Sí"),AND(B300="Golpe / Caída",'Recepción'!$D$28="Sí"),AND(B300="No enciende",'Recepción'!$D$31="No")),1,0))))</f>
        <v/>
      </c>
      <c r="K300" s="27">
        <f>IF(J300=1,COUNTIF($J$2:J300,1),0)</f>
        <v/>
      </c>
    </row>
    <row r="301">
      <c r="I301" s="27">
        <f>IF(C301="",0,IFERROR(INDEX($E301:$H301,MATCH('Recepción'!$C$5,$E$1:$H$1,0)),0))</f>
        <v/>
      </c>
      <c r="J301" s="27">
        <f>IF(I301=0,0,IF(A301="S",1,IF(A301="BH",IF(COUNTIFS(A302:A501,"B",J302:J501,1)&gt;0,1,0),IF(OR(B301='Recepción'!$C$13,B301='Recepción'!$C$14,B301='Recepción'!$C$15,AND(B301="Contacto con líquido",'Recepción'!$D$29="Sí"),AND(B301="Golpe / Caída",'Recepción'!$D$28="Sí"),AND(B301="No enciende",'Recepción'!$D$31="No")),1,0))))</f>
        <v/>
      </c>
      <c r="K301" s="27">
        <f>IF(J301=1,COUNTIF($J$2:J301,1),0)</f>
        <v/>
      </c>
    </row>
    <row r="302">
      <c r="I302" s="27">
        <f>IF(C302="",0,IFERROR(INDEX($E302:$H302,MATCH('Recepción'!$C$5,$E$1:$H$1,0)),0))</f>
        <v/>
      </c>
      <c r="J302" s="27">
        <f>IF(I302=0,0,IF(A302="S",1,IF(A302="BH",IF(COUNTIFS(A303:A501,"B",J303:J501,1)&gt;0,1,0),IF(OR(B302='Recepción'!$C$13,B302='Recepción'!$C$14,B302='Recepción'!$C$15,AND(B302="Contacto con líquido",'Recepción'!$D$29="Sí"),AND(B302="Golpe / Caída",'Recepción'!$D$28="Sí"),AND(B302="No enciende",'Recepción'!$D$31="No")),1,0))))</f>
        <v/>
      </c>
      <c r="K302" s="27">
        <f>IF(J302=1,COUNTIF($J$2:J302,1),0)</f>
        <v/>
      </c>
    </row>
    <row r="303">
      <c r="I303" s="27">
        <f>IF(C303="",0,IFERROR(INDEX($E303:$H303,MATCH('Recepción'!$C$5,$E$1:$H$1,0)),0))</f>
        <v/>
      </c>
      <c r="J303" s="27">
        <f>IF(I303=0,0,IF(A303="S",1,IF(A303="BH",IF(COUNTIFS(A304:A501,"B",J304:J501,1)&gt;0,1,0),IF(OR(B303='Recepción'!$C$13,B303='Recepción'!$C$14,B303='Recepción'!$C$15,AND(B303="Contacto con líquido",'Recepción'!$D$29="Sí"),AND(B303="Golpe / Caída",'Recepción'!$D$28="Sí"),AND(B303="No enciende",'Recepción'!$D$31="No")),1,0))))</f>
        <v/>
      </c>
      <c r="K303" s="27">
        <f>IF(J303=1,COUNTIF($J$2:J303,1),0)</f>
        <v/>
      </c>
    </row>
    <row r="304">
      <c r="I304" s="27">
        <f>IF(C304="",0,IFERROR(INDEX($E304:$H304,MATCH('Recepción'!$C$5,$E$1:$H$1,0)),0))</f>
        <v/>
      </c>
      <c r="J304" s="27">
        <f>IF(I304=0,0,IF(A304="S",1,IF(A304="BH",IF(COUNTIFS(A305:A501,"B",J305:J501,1)&gt;0,1,0),IF(OR(B304='Recepción'!$C$13,B304='Recepción'!$C$14,B304='Recepción'!$C$15,AND(B304="Contacto con líquido",'Recepción'!$D$29="Sí"),AND(B304="Golpe / Caída",'Recepción'!$D$28="Sí"),AND(B304="No enciende",'Recepción'!$D$31="No")),1,0))))</f>
        <v/>
      </c>
      <c r="K304" s="27">
        <f>IF(J304=1,COUNTIF($J$2:J304,1),0)</f>
        <v/>
      </c>
    </row>
    <row r="305">
      <c r="I305" s="27">
        <f>IF(C305="",0,IFERROR(INDEX($E305:$H305,MATCH('Recepción'!$C$5,$E$1:$H$1,0)),0))</f>
        <v/>
      </c>
      <c r="J305" s="27">
        <f>IF(I305=0,0,IF(A305="S",1,IF(A305="BH",IF(COUNTIFS(A306:A501,"B",J306:J501,1)&gt;0,1,0),IF(OR(B305='Recepción'!$C$13,B305='Recepción'!$C$14,B305='Recepción'!$C$15,AND(B305="Contacto con líquido",'Recepción'!$D$29="Sí"),AND(B305="Golpe / Caída",'Recepción'!$D$28="Sí"),AND(B305="No enciende",'Recepción'!$D$31="No")),1,0))))</f>
        <v/>
      </c>
      <c r="K305" s="27">
        <f>IF(J305=1,COUNTIF($J$2:J305,1),0)</f>
        <v/>
      </c>
    </row>
    <row r="306">
      <c r="I306" s="27">
        <f>IF(C306="",0,IFERROR(INDEX($E306:$H306,MATCH('Recepción'!$C$5,$E$1:$H$1,0)),0))</f>
        <v/>
      </c>
      <c r="J306" s="27">
        <f>IF(I306=0,0,IF(A306="S",1,IF(A306="BH",IF(COUNTIFS(A307:A501,"B",J307:J501,1)&gt;0,1,0),IF(OR(B306='Recepción'!$C$13,B306='Recepción'!$C$14,B306='Recepción'!$C$15,AND(B306="Contacto con líquido",'Recepción'!$D$29="Sí"),AND(B306="Golpe / Caída",'Recepción'!$D$28="Sí"),AND(B306="No enciende",'Recepción'!$D$31="No")),1,0))))</f>
        <v/>
      </c>
      <c r="K306" s="27">
        <f>IF(J306=1,COUNTIF($J$2:J306,1),0)</f>
        <v/>
      </c>
    </row>
    <row r="307">
      <c r="I307" s="27">
        <f>IF(C307="",0,IFERROR(INDEX($E307:$H307,MATCH('Recepción'!$C$5,$E$1:$H$1,0)),0))</f>
        <v/>
      </c>
      <c r="J307" s="27">
        <f>IF(I307=0,0,IF(A307="S",1,IF(A307="BH",IF(COUNTIFS(A308:A501,"B",J308:J501,1)&gt;0,1,0),IF(OR(B307='Recepción'!$C$13,B307='Recepción'!$C$14,B307='Recepción'!$C$15,AND(B307="Contacto con líquido",'Recepción'!$D$29="Sí"),AND(B307="Golpe / Caída",'Recepción'!$D$28="Sí"),AND(B307="No enciende",'Recepción'!$D$31="No")),1,0))))</f>
        <v/>
      </c>
      <c r="K307" s="27">
        <f>IF(J307=1,COUNTIF($J$2:J307,1),0)</f>
        <v/>
      </c>
    </row>
    <row r="308">
      <c r="I308" s="27">
        <f>IF(C308="",0,IFERROR(INDEX($E308:$H308,MATCH('Recepción'!$C$5,$E$1:$H$1,0)),0))</f>
        <v/>
      </c>
      <c r="J308" s="27">
        <f>IF(I308=0,0,IF(A308="S",1,IF(A308="BH",IF(COUNTIFS(A309:A501,"B",J309:J501,1)&gt;0,1,0),IF(OR(B308='Recepción'!$C$13,B308='Recepción'!$C$14,B308='Recepción'!$C$15,AND(B308="Contacto con líquido",'Recepción'!$D$29="Sí"),AND(B308="Golpe / Caída",'Recepción'!$D$28="Sí"),AND(B308="No enciende",'Recepción'!$D$31="No")),1,0))))</f>
        <v/>
      </c>
      <c r="K308" s="27">
        <f>IF(J308=1,COUNTIF($J$2:J308,1),0)</f>
        <v/>
      </c>
    </row>
    <row r="309">
      <c r="I309" s="27">
        <f>IF(C309="",0,IFERROR(INDEX($E309:$H309,MATCH('Recepción'!$C$5,$E$1:$H$1,0)),0))</f>
        <v/>
      </c>
      <c r="J309" s="27">
        <f>IF(I309=0,0,IF(A309="S",1,IF(A309="BH",IF(COUNTIFS(A310:A501,"B",J310:J501,1)&gt;0,1,0),IF(OR(B309='Recepción'!$C$13,B309='Recepción'!$C$14,B309='Recepción'!$C$15,AND(B309="Contacto con líquido",'Recepción'!$D$29="Sí"),AND(B309="Golpe / Caída",'Recepción'!$D$28="Sí"),AND(B309="No enciende",'Recepción'!$D$31="No")),1,0))))</f>
        <v/>
      </c>
      <c r="K309" s="27">
        <f>IF(J309=1,COUNTIF($J$2:J309,1),0)</f>
        <v/>
      </c>
    </row>
    <row r="310">
      <c r="I310" s="27">
        <f>IF(C310="",0,IFERROR(INDEX($E310:$H310,MATCH('Recepción'!$C$5,$E$1:$H$1,0)),0))</f>
        <v/>
      </c>
      <c r="J310" s="27">
        <f>IF(I310=0,0,IF(A310="S",1,IF(A310="BH",IF(COUNTIFS(A311:A501,"B",J311:J501,1)&gt;0,1,0),IF(OR(B310='Recepción'!$C$13,B310='Recepción'!$C$14,B310='Recepción'!$C$15,AND(B310="Contacto con líquido",'Recepción'!$D$29="Sí"),AND(B310="Golpe / Caída",'Recepción'!$D$28="Sí"),AND(B310="No enciende",'Recepción'!$D$31="No")),1,0))))</f>
        <v/>
      </c>
      <c r="K310" s="27">
        <f>IF(J310=1,COUNTIF($J$2:J310,1),0)</f>
        <v/>
      </c>
    </row>
    <row r="311">
      <c r="I311" s="27">
        <f>IF(C311="",0,IFERROR(INDEX($E311:$H311,MATCH('Recepción'!$C$5,$E$1:$H$1,0)),0))</f>
        <v/>
      </c>
      <c r="J311" s="27">
        <f>IF(I311=0,0,IF(A311="S",1,IF(A311="BH",IF(COUNTIFS(A312:A501,"B",J312:J501,1)&gt;0,1,0),IF(OR(B311='Recepción'!$C$13,B311='Recepción'!$C$14,B311='Recepción'!$C$15,AND(B311="Contacto con líquido",'Recepción'!$D$29="Sí"),AND(B311="Golpe / Caída",'Recepción'!$D$28="Sí"),AND(B311="No enciende",'Recepción'!$D$31="No")),1,0))))</f>
        <v/>
      </c>
      <c r="K311" s="27">
        <f>IF(J311=1,COUNTIF($J$2:J311,1),0)</f>
        <v/>
      </c>
    </row>
    <row r="312">
      <c r="I312" s="27">
        <f>IF(C312="",0,IFERROR(INDEX($E312:$H312,MATCH('Recepción'!$C$5,$E$1:$H$1,0)),0))</f>
        <v/>
      </c>
      <c r="J312" s="27">
        <f>IF(I312=0,0,IF(A312="S",1,IF(A312="BH",IF(COUNTIFS(A313:A501,"B",J313:J501,1)&gt;0,1,0),IF(OR(B312='Recepción'!$C$13,B312='Recepción'!$C$14,B312='Recepción'!$C$15,AND(B312="Contacto con líquido",'Recepción'!$D$29="Sí"),AND(B312="Golpe / Caída",'Recepción'!$D$28="Sí"),AND(B312="No enciende",'Recepción'!$D$31="No")),1,0))))</f>
        <v/>
      </c>
      <c r="K312" s="27">
        <f>IF(J312=1,COUNTIF($J$2:J312,1),0)</f>
        <v/>
      </c>
    </row>
    <row r="313">
      <c r="I313" s="27">
        <f>IF(C313="",0,IFERROR(INDEX($E313:$H313,MATCH('Recepción'!$C$5,$E$1:$H$1,0)),0))</f>
        <v/>
      </c>
      <c r="J313" s="27">
        <f>IF(I313=0,0,IF(A313="S",1,IF(A313="BH",IF(COUNTIFS(A314:A501,"B",J314:J501,1)&gt;0,1,0),IF(OR(B313='Recepción'!$C$13,B313='Recepción'!$C$14,B313='Recepción'!$C$15,AND(B313="Contacto con líquido",'Recepción'!$D$29="Sí"),AND(B313="Golpe / Caída",'Recepción'!$D$28="Sí"),AND(B313="No enciende",'Recepción'!$D$31="No")),1,0))))</f>
        <v/>
      </c>
      <c r="K313" s="27">
        <f>IF(J313=1,COUNTIF($J$2:J313,1),0)</f>
        <v/>
      </c>
    </row>
    <row r="314">
      <c r="I314" s="27">
        <f>IF(C314="",0,IFERROR(INDEX($E314:$H314,MATCH('Recepción'!$C$5,$E$1:$H$1,0)),0))</f>
        <v/>
      </c>
      <c r="J314" s="27">
        <f>IF(I314=0,0,IF(A314="S",1,IF(A314="BH",IF(COUNTIFS(A315:A501,"B",J315:J501,1)&gt;0,1,0),IF(OR(B314='Recepción'!$C$13,B314='Recepción'!$C$14,B314='Recepción'!$C$15,AND(B314="Contacto con líquido",'Recepción'!$D$29="Sí"),AND(B314="Golpe / Caída",'Recepción'!$D$28="Sí"),AND(B314="No enciende",'Recepción'!$D$31="No")),1,0))))</f>
        <v/>
      </c>
      <c r="K314" s="27">
        <f>IF(J314=1,COUNTIF($J$2:J314,1),0)</f>
        <v/>
      </c>
    </row>
    <row r="315">
      <c r="I315" s="27">
        <f>IF(C315="",0,IFERROR(INDEX($E315:$H315,MATCH('Recepción'!$C$5,$E$1:$H$1,0)),0))</f>
        <v/>
      </c>
      <c r="J315" s="27">
        <f>IF(I315=0,0,IF(A315="S",1,IF(A315="BH",IF(COUNTIFS(A316:A501,"B",J316:J501,1)&gt;0,1,0),IF(OR(B315='Recepción'!$C$13,B315='Recepción'!$C$14,B315='Recepción'!$C$15,AND(B315="Contacto con líquido",'Recepción'!$D$29="Sí"),AND(B315="Golpe / Caída",'Recepción'!$D$28="Sí"),AND(B315="No enciende",'Recepción'!$D$31="No")),1,0))))</f>
        <v/>
      </c>
      <c r="K315" s="27">
        <f>IF(J315=1,COUNTIF($J$2:J315,1),0)</f>
        <v/>
      </c>
    </row>
    <row r="316">
      <c r="I316" s="27">
        <f>IF(C316="",0,IFERROR(INDEX($E316:$H316,MATCH('Recepción'!$C$5,$E$1:$H$1,0)),0))</f>
        <v/>
      </c>
      <c r="J316" s="27">
        <f>IF(I316=0,0,IF(A316="S",1,IF(A316="BH",IF(COUNTIFS(A317:A501,"B",J317:J501,1)&gt;0,1,0),IF(OR(B316='Recepción'!$C$13,B316='Recepción'!$C$14,B316='Recepción'!$C$15,AND(B316="Contacto con líquido",'Recepción'!$D$29="Sí"),AND(B316="Golpe / Caída",'Recepción'!$D$28="Sí"),AND(B316="No enciende",'Recepción'!$D$31="No")),1,0))))</f>
        <v/>
      </c>
      <c r="K316" s="27">
        <f>IF(J316=1,COUNTIF($J$2:J316,1),0)</f>
        <v/>
      </c>
    </row>
    <row r="317">
      <c r="I317" s="27">
        <f>IF(C317="",0,IFERROR(INDEX($E317:$H317,MATCH('Recepción'!$C$5,$E$1:$H$1,0)),0))</f>
        <v/>
      </c>
      <c r="J317" s="27">
        <f>IF(I317=0,0,IF(A317="S",1,IF(A317="BH",IF(COUNTIFS(A318:A501,"B",J318:J501,1)&gt;0,1,0),IF(OR(B317='Recepción'!$C$13,B317='Recepción'!$C$14,B317='Recepción'!$C$15,AND(B317="Contacto con líquido",'Recepción'!$D$29="Sí"),AND(B317="Golpe / Caída",'Recepción'!$D$28="Sí"),AND(B317="No enciende",'Recepción'!$D$31="No")),1,0))))</f>
        <v/>
      </c>
      <c r="K317" s="27">
        <f>IF(J317=1,COUNTIF($J$2:J317,1),0)</f>
        <v/>
      </c>
    </row>
    <row r="318">
      <c r="I318" s="27">
        <f>IF(C318="",0,IFERROR(INDEX($E318:$H318,MATCH('Recepción'!$C$5,$E$1:$H$1,0)),0))</f>
        <v/>
      </c>
      <c r="J318" s="27">
        <f>IF(I318=0,0,IF(A318="S",1,IF(A318="BH",IF(COUNTIFS(A319:A501,"B",J319:J501,1)&gt;0,1,0),IF(OR(B318='Recepción'!$C$13,B318='Recepción'!$C$14,B318='Recepción'!$C$15,AND(B318="Contacto con líquido",'Recepción'!$D$29="Sí"),AND(B318="Golpe / Caída",'Recepción'!$D$28="Sí"),AND(B318="No enciende",'Recepción'!$D$31="No")),1,0))))</f>
        <v/>
      </c>
      <c r="K318" s="27">
        <f>IF(J318=1,COUNTIF($J$2:J318,1),0)</f>
        <v/>
      </c>
    </row>
    <row r="319">
      <c r="I319" s="27">
        <f>IF(C319="",0,IFERROR(INDEX($E319:$H319,MATCH('Recepción'!$C$5,$E$1:$H$1,0)),0))</f>
        <v/>
      </c>
      <c r="J319" s="27">
        <f>IF(I319=0,0,IF(A319="S",1,IF(A319="BH",IF(COUNTIFS(A320:A501,"B",J320:J501,1)&gt;0,1,0),IF(OR(B319='Recepción'!$C$13,B319='Recepción'!$C$14,B319='Recepción'!$C$15,AND(B319="Contacto con líquido",'Recepción'!$D$29="Sí"),AND(B319="Golpe / Caída",'Recepción'!$D$28="Sí"),AND(B319="No enciende",'Recepción'!$D$31="No")),1,0))))</f>
        <v/>
      </c>
      <c r="K319" s="27">
        <f>IF(J319=1,COUNTIF($J$2:J319,1),0)</f>
        <v/>
      </c>
    </row>
    <row r="320">
      <c r="I320" s="27">
        <f>IF(C320="",0,IFERROR(INDEX($E320:$H320,MATCH('Recepción'!$C$5,$E$1:$H$1,0)),0))</f>
        <v/>
      </c>
      <c r="J320" s="27">
        <f>IF(I320=0,0,IF(A320="S",1,IF(A320="BH",IF(COUNTIFS(A321:A501,"B",J321:J501,1)&gt;0,1,0),IF(OR(B320='Recepción'!$C$13,B320='Recepción'!$C$14,B320='Recepción'!$C$15,AND(B320="Contacto con líquido",'Recepción'!$D$29="Sí"),AND(B320="Golpe / Caída",'Recepción'!$D$28="Sí"),AND(B320="No enciende",'Recepción'!$D$31="No")),1,0))))</f>
        <v/>
      </c>
      <c r="K320" s="27">
        <f>IF(J320=1,COUNTIF($J$2:J320,1),0)</f>
        <v/>
      </c>
    </row>
    <row r="321">
      <c r="I321" s="27">
        <f>IF(C321="",0,IFERROR(INDEX($E321:$H321,MATCH('Recepción'!$C$5,$E$1:$H$1,0)),0))</f>
        <v/>
      </c>
      <c r="J321" s="27">
        <f>IF(I321=0,0,IF(A321="S",1,IF(A321="BH",IF(COUNTIFS(A322:A501,"B",J322:J501,1)&gt;0,1,0),IF(OR(B321='Recepción'!$C$13,B321='Recepción'!$C$14,B321='Recepción'!$C$15,AND(B321="Contacto con líquido",'Recepción'!$D$29="Sí"),AND(B321="Golpe / Caída",'Recepción'!$D$28="Sí"),AND(B321="No enciende",'Recepción'!$D$31="No")),1,0))))</f>
        <v/>
      </c>
      <c r="K321" s="27">
        <f>IF(J321=1,COUNTIF($J$2:J321,1),0)</f>
        <v/>
      </c>
    </row>
    <row r="322">
      <c r="I322" s="27">
        <f>IF(C322="",0,IFERROR(INDEX($E322:$H322,MATCH('Recepción'!$C$5,$E$1:$H$1,0)),0))</f>
        <v/>
      </c>
      <c r="J322" s="27">
        <f>IF(I322=0,0,IF(A322="S",1,IF(A322="BH",IF(COUNTIFS(A323:A501,"B",J323:J501,1)&gt;0,1,0),IF(OR(B322='Recepción'!$C$13,B322='Recepción'!$C$14,B322='Recepción'!$C$15,AND(B322="Contacto con líquido",'Recepción'!$D$29="Sí"),AND(B322="Golpe / Caída",'Recepción'!$D$28="Sí"),AND(B322="No enciende",'Recepción'!$D$31="No")),1,0))))</f>
        <v/>
      </c>
      <c r="K322" s="27">
        <f>IF(J322=1,COUNTIF($J$2:J322,1),0)</f>
        <v/>
      </c>
    </row>
    <row r="323">
      <c r="I323" s="27">
        <f>IF(C323="",0,IFERROR(INDEX($E323:$H323,MATCH('Recepción'!$C$5,$E$1:$H$1,0)),0))</f>
        <v/>
      </c>
      <c r="J323" s="27">
        <f>IF(I323=0,0,IF(A323="S",1,IF(A323="BH",IF(COUNTIFS(A324:A501,"B",J324:J501,1)&gt;0,1,0),IF(OR(B323='Recepción'!$C$13,B323='Recepción'!$C$14,B323='Recepción'!$C$15,AND(B323="Contacto con líquido",'Recepción'!$D$29="Sí"),AND(B323="Golpe / Caída",'Recepción'!$D$28="Sí"),AND(B323="No enciende",'Recepción'!$D$31="No")),1,0))))</f>
        <v/>
      </c>
      <c r="K323" s="27">
        <f>IF(J323=1,COUNTIF($J$2:J323,1),0)</f>
        <v/>
      </c>
    </row>
    <row r="324">
      <c r="I324" s="27">
        <f>IF(C324="",0,IFERROR(INDEX($E324:$H324,MATCH('Recepción'!$C$5,$E$1:$H$1,0)),0))</f>
        <v/>
      </c>
      <c r="J324" s="27">
        <f>IF(I324=0,0,IF(A324="S",1,IF(A324="BH",IF(COUNTIFS(A325:A501,"B",J325:J501,1)&gt;0,1,0),IF(OR(B324='Recepción'!$C$13,B324='Recepción'!$C$14,B324='Recepción'!$C$15,AND(B324="Contacto con líquido",'Recepción'!$D$29="Sí"),AND(B324="Golpe / Caída",'Recepción'!$D$28="Sí"),AND(B324="No enciende",'Recepción'!$D$31="No")),1,0))))</f>
        <v/>
      </c>
      <c r="K324" s="27">
        <f>IF(J324=1,COUNTIF($J$2:J324,1),0)</f>
        <v/>
      </c>
    </row>
    <row r="325">
      <c r="I325" s="27">
        <f>IF(C325="",0,IFERROR(INDEX($E325:$H325,MATCH('Recepción'!$C$5,$E$1:$H$1,0)),0))</f>
        <v/>
      </c>
      <c r="J325" s="27">
        <f>IF(I325=0,0,IF(A325="S",1,IF(A325="BH",IF(COUNTIFS(A326:A501,"B",J326:J501,1)&gt;0,1,0),IF(OR(B325='Recepción'!$C$13,B325='Recepción'!$C$14,B325='Recepción'!$C$15,AND(B325="Contacto con líquido",'Recepción'!$D$29="Sí"),AND(B325="Golpe / Caída",'Recepción'!$D$28="Sí"),AND(B325="No enciende",'Recepción'!$D$31="No")),1,0))))</f>
        <v/>
      </c>
      <c r="K325" s="27">
        <f>IF(J325=1,COUNTIF($J$2:J325,1),0)</f>
        <v/>
      </c>
    </row>
    <row r="326">
      <c r="I326" s="27">
        <f>IF(C326="",0,IFERROR(INDEX($E326:$H326,MATCH('Recepción'!$C$5,$E$1:$H$1,0)),0))</f>
        <v/>
      </c>
      <c r="J326" s="27">
        <f>IF(I326=0,0,IF(A326="S",1,IF(A326="BH",IF(COUNTIFS(A327:A501,"B",J327:J501,1)&gt;0,1,0),IF(OR(B326='Recepción'!$C$13,B326='Recepción'!$C$14,B326='Recepción'!$C$15,AND(B326="Contacto con líquido",'Recepción'!$D$29="Sí"),AND(B326="Golpe / Caída",'Recepción'!$D$28="Sí"),AND(B326="No enciende",'Recepción'!$D$31="No")),1,0))))</f>
        <v/>
      </c>
      <c r="K326" s="27">
        <f>IF(J326=1,COUNTIF($J$2:J326,1),0)</f>
        <v/>
      </c>
    </row>
    <row r="327">
      <c r="I327" s="27">
        <f>IF(C327="",0,IFERROR(INDEX($E327:$H327,MATCH('Recepción'!$C$5,$E$1:$H$1,0)),0))</f>
        <v/>
      </c>
      <c r="J327" s="27">
        <f>IF(I327=0,0,IF(A327="S",1,IF(A327="BH",IF(COUNTIFS(A328:A501,"B",J328:J501,1)&gt;0,1,0),IF(OR(B327='Recepción'!$C$13,B327='Recepción'!$C$14,B327='Recepción'!$C$15,AND(B327="Contacto con líquido",'Recepción'!$D$29="Sí"),AND(B327="Golpe / Caída",'Recepción'!$D$28="Sí"),AND(B327="No enciende",'Recepción'!$D$31="No")),1,0))))</f>
        <v/>
      </c>
      <c r="K327" s="27">
        <f>IF(J327=1,COUNTIF($J$2:J327,1),0)</f>
        <v/>
      </c>
    </row>
    <row r="328">
      <c r="I328" s="27">
        <f>IF(C328="",0,IFERROR(INDEX($E328:$H328,MATCH('Recepción'!$C$5,$E$1:$H$1,0)),0))</f>
        <v/>
      </c>
      <c r="J328" s="27">
        <f>IF(I328=0,0,IF(A328="S",1,IF(A328="BH",IF(COUNTIFS(A329:A501,"B",J329:J501,1)&gt;0,1,0),IF(OR(B328='Recepción'!$C$13,B328='Recepción'!$C$14,B328='Recepción'!$C$15,AND(B328="Contacto con líquido",'Recepción'!$D$29="Sí"),AND(B328="Golpe / Caída",'Recepción'!$D$28="Sí"),AND(B328="No enciende",'Recepción'!$D$31="No")),1,0))))</f>
        <v/>
      </c>
      <c r="K328" s="27">
        <f>IF(J328=1,COUNTIF($J$2:J328,1),0)</f>
        <v/>
      </c>
    </row>
    <row r="329">
      <c r="I329" s="27">
        <f>IF(C329="",0,IFERROR(INDEX($E329:$H329,MATCH('Recepción'!$C$5,$E$1:$H$1,0)),0))</f>
        <v/>
      </c>
      <c r="J329" s="27">
        <f>IF(I329=0,0,IF(A329="S",1,IF(A329="BH",IF(COUNTIFS(A330:A501,"B",J330:J501,1)&gt;0,1,0),IF(OR(B329='Recepción'!$C$13,B329='Recepción'!$C$14,B329='Recepción'!$C$15,AND(B329="Contacto con líquido",'Recepción'!$D$29="Sí"),AND(B329="Golpe / Caída",'Recepción'!$D$28="Sí"),AND(B329="No enciende",'Recepción'!$D$31="No")),1,0))))</f>
        <v/>
      </c>
      <c r="K329" s="27">
        <f>IF(J329=1,COUNTIF($J$2:J329,1),0)</f>
        <v/>
      </c>
    </row>
    <row r="330">
      <c r="I330" s="27">
        <f>IF(C330="",0,IFERROR(INDEX($E330:$H330,MATCH('Recepción'!$C$5,$E$1:$H$1,0)),0))</f>
        <v/>
      </c>
      <c r="J330" s="27">
        <f>IF(I330=0,0,IF(A330="S",1,IF(A330="BH",IF(COUNTIFS(A331:A501,"B",J331:J501,1)&gt;0,1,0),IF(OR(B330='Recepción'!$C$13,B330='Recepción'!$C$14,B330='Recepción'!$C$15,AND(B330="Contacto con líquido",'Recepción'!$D$29="Sí"),AND(B330="Golpe / Caída",'Recepción'!$D$28="Sí"),AND(B330="No enciende",'Recepción'!$D$31="No")),1,0))))</f>
        <v/>
      </c>
      <c r="K330" s="27">
        <f>IF(J330=1,COUNTIF($J$2:J330,1),0)</f>
        <v/>
      </c>
    </row>
    <row r="331">
      <c r="I331" s="27">
        <f>IF(C331="",0,IFERROR(INDEX($E331:$H331,MATCH('Recepción'!$C$5,$E$1:$H$1,0)),0))</f>
        <v/>
      </c>
      <c r="J331" s="27">
        <f>IF(I331=0,0,IF(A331="S",1,IF(A331="BH",IF(COUNTIFS(A332:A501,"B",J332:J501,1)&gt;0,1,0),IF(OR(B331='Recepción'!$C$13,B331='Recepción'!$C$14,B331='Recepción'!$C$15,AND(B331="Contacto con líquido",'Recepción'!$D$29="Sí"),AND(B331="Golpe / Caída",'Recepción'!$D$28="Sí"),AND(B331="No enciende",'Recepción'!$D$31="No")),1,0))))</f>
        <v/>
      </c>
      <c r="K331" s="27">
        <f>IF(J331=1,COUNTIF($J$2:J331,1),0)</f>
        <v/>
      </c>
    </row>
    <row r="332">
      <c r="I332" s="27">
        <f>IF(C332="",0,IFERROR(INDEX($E332:$H332,MATCH('Recepción'!$C$5,$E$1:$H$1,0)),0))</f>
        <v/>
      </c>
      <c r="J332" s="27">
        <f>IF(I332=0,0,IF(A332="S",1,IF(A332="BH",IF(COUNTIFS(A333:A501,"B",J333:J501,1)&gt;0,1,0),IF(OR(B332='Recepción'!$C$13,B332='Recepción'!$C$14,B332='Recepción'!$C$15,AND(B332="Contacto con líquido",'Recepción'!$D$29="Sí"),AND(B332="Golpe / Caída",'Recepción'!$D$28="Sí"),AND(B332="No enciende",'Recepción'!$D$31="No")),1,0))))</f>
        <v/>
      </c>
      <c r="K332" s="27">
        <f>IF(J332=1,COUNTIF($J$2:J332,1),0)</f>
        <v/>
      </c>
    </row>
    <row r="333">
      <c r="I333" s="27">
        <f>IF(C333="",0,IFERROR(INDEX($E333:$H333,MATCH('Recepción'!$C$5,$E$1:$H$1,0)),0))</f>
        <v/>
      </c>
      <c r="J333" s="27">
        <f>IF(I333=0,0,IF(A333="S",1,IF(A333="BH",IF(COUNTIFS(A334:A501,"B",J334:J501,1)&gt;0,1,0),IF(OR(B333='Recepción'!$C$13,B333='Recepción'!$C$14,B333='Recepción'!$C$15,AND(B333="Contacto con líquido",'Recepción'!$D$29="Sí"),AND(B333="Golpe / Caída",'Recepción'!$D$28="Sí"),AND(B333="No enciende",'Recepción'!$D$31="No")),1,0))))</f>
        <v/>
      </c>
      <c r="K333" s="27">
        <f>IF(J333=1,COUNTIF($J$2:J333,1),0)</f>
        <v/>
      </c>
    </row>
    <row r="334">
      <c r="I334" s="27">
        <f>IF(C334="",0,IFERROR(INDEX($E334:$H334,MATCH('Recepción'!$C$5,$E$1:$H$1,0)),0))</f>
        <v/>
      </c>
      <c r="J334" s="27">
        <f>IF(I334=0,0,IF(A334="S",1,IF(A334="BH",IF(COUNTIFS(A335:A501,"B",J335:J501,1)&gt;0,1,0),IF(OR(B334='Recepción'!$C$13,B334='Recepción'!$C$14,B334='Recepción'!$C$15,AND(B334="Contacto con líquido",'Recepción'!$D$29="Sí"),AND(B334="Golpe / Caída",'Recepción'!$D$28="Sí"),AND(B334="No enciende",'Recepción'!$D$31="No")),1,0))))</f>
        <v/>
      </c>
      <c r="K334" s="27">
        <f>IF(J334=1,COUNTIF($J$2:J334,1),0)</f>
        <v/>
      </c>
    </row>
    <row r="335">
      <c r="I335" s="27">
        <f>IF(C335="",0,IFERROR(INDEX($E335:$H335,MATCH('Recepción'!$C$5,$E$1:$H$1,0)),0))</f>
        <v/>
      </c>
      <c r="J335" s="27">
        <f>IF(I335=0,0,IF(A335="S",1,IF(A335="BH",IF(COUNTIFS(A336:A501,"B",J336:J501,1)&gt;0,1,0),IF(OR(B335='Recepción'!$C$13,B335='Recepción'!$C$14,B335='Recepción'!$C$15,AND(B335="Contacto con líquido",'Recepción'!$D$29="Sí"),AND(B335="Golpe / Caída",'Recepción'!$D$28="Sí"),AND(B335="No enciende",'Recepción'!$D$31="No")),1,0))))</f>
        <v/>
      </c>
      <c r="K335" s="27">
        <f>IF(J335=1,COUNTIF($J$2:J335,1),0)</f>
        <v/>
      </c>
    </row>
    <row r="336">
      <c r="I336" s="27">
        <f>IF(C336="",0,IFERROR(INDEX($E336:$H336,MATCH('Recepción'!$C$5,$E$1:$H$1,0)),0))</f>
        <v/>
      </c>
      <c r="J336" s="27">
        <f>IF(I336=0,0,IF(A336="S",1,IF(A336="BH",IF(COUNTIFS(A337:A501,"B",J337:J501,1)&gt;0,1,0),IF(OR(B336='Recepción'!$C$13,B336='Recepción'!$C$14,B336='Recepción'!$C$15,AND(B336="Contacto con líquido",'Recepción'!$D$29="Sí"),AND(B336="Golpe / Caída",'Recepción'!$D$28="Sí"),AND(B336="No enciende",'Recepción'!$D$31="No")),1,0))))</f>
        <v/>
      </c>
      <c r="K336" s="27">
        <f>IF(J336=1,COUNTIF($J$2:J336,1),0)</f>
        <v/>
      </c>
    </row>
    <row r="337">
      <c r="I337" s="27">
        <f>IF(C337="",0,IFERROR(INDEX($E337:$H337,MATCH('Recepción'!$C$5,$E$1:$H$1,0)),0))</f>
        <v/>
      </c>
      <c r="J337" s="27">
        <f>IF(I337=0,0,IF(A337="S",1,IF(A337="BH",IF(COUNTIFS(A338:A501,"B",J338:J501,1)&gt;0,1,0),IF(OR(B337='Recepción'!$C$13,B337='Recepción'!$C$14,B337='Recepción'!$C$15,AND(B337="Contacto con líquido",'Recepción'!$D$29="Sí"),AND(B337="Golpe / Caída",'Recepción'!$D$28="Sí"),AND(B337="No enciende",'Recepción'!$D$31="No")),1,0))))</f>
        <v/>
      </c>
      <c r="K337" s="27">
        <f>IF(J337=1,COUNTIF($J$2:J337,1),0)</f>
        <v/>
      </c>
    </row>
    <row r="338">
      <c r="I338" s="27">
        <f>IF(C338="",0,IFERROR(INDEX($E338:$H338,MATCH('Recepción'!$C$5,$E$1:$H$1,0)),0))</f>
        <v/>
      </c>
      <c r="J338" s="27">
        <f>IF(I338=0,0,IF(A338="S",1,IF(A338="BH",IF(COUNTIFS(A339:A501,"B",J339:J501,1)&gt;0,1,0),IF(OR(B338='Recepción'!$C$13,B338='Recepción'!$C$14,B338='Recepción'!$C$15,AND(B338="Contacto con líquido",'Recepción'!$D$29="Sí"),AND(B338="Golpe / Caída",'Recepción'!$D$28="Sí"),AND(B338="No enciende",'Recepción'!$D$31="No")),1,0))))</f>
        <v/>
      </c>
      <c r="K338" s="27">
        <f>IF(J338=1,COUNTIF($J$2:J338,1),0)</f>
        <v/>
      </c>
    </row>
    <row r="339">
      <c r="I339" s="27">
        <f>IF(C339="",0,IFERROR(INDEX($E339:$H339,MATCH('Recepción'!$C$5,$E$1:$H$1,0)),0))</f>
        <v/>
      </c>
      <c r="J339" s="27">
        <f>IF(I339=0,0,IF(A339="S",1,IF(A339="BH",IF(COUNTIFS(A340:A501,"B",J340:J501,1)&gt;0,1,0),IF(OR(B339='Recepción'!$C$13,B339='Recepción'!$C$14,B339='Recepción'!$C$15,AND(B339="Contacto con líquido",'Recepción'!$D$29="Sí"),AND(B339="Golpe / Caída",'Recepción'!$D$28="Sí"),AND(B339="No enciende",'Recepción'!$D$31="No")),1,0))))</f>
        <v/>
      </c>
      <c r="K339" s="27">
        <f>IF(J339=1,COUNTIF($J$2:J339,1),0)</f>
        <v/>
      </c>
    </row>
    <row r="340">
      <c r="I340" s="27">
        <f>IF(C340="",0,IFERROR(INDEX($E340:$H340,MATCH('Recepción'!$C$5,$E$1:$H$1,0)),0))</f>
        <v/>
      </c>
      <c r="J340" s="27">
        <f>IF(I340=0,0,IF(A340="S",1,IF(A340="BH",IF(COUNTIFS(A341:A501,"B",J341:J501,1)&gt;0,1,0),IF(OR(B340='Recepción'!$C$13,B340='Recepción'!$C$14,B340='Recepción'!$C$15,AND(B340="Contacto con líquido",'Recepción'!$D$29="Sí"),AND(B340="Golpe / Caída",'Recepción'!$D$28="Sí"),AND(B340="No enciende",'Recepción'!$D$31="No")),1,0))))</f>
        <v/>
      </c>
      <c r="K340" s="27">
        <f>IF(J340=1,COUNTIF($J$2:J340,1),0)</f>
        <v/>
      </c>
    </row>
    <row r="341">
      <c r="I341" s="27">
        <f>IF(C341="",0,IFERROR(INDEX($E341:$H341,MATCH('Recepción'!$C$5,$E$1:$H$1,0)),0))</f>
        <v/>
      </c>
      <c r="J341" s="27">
        <f>IF(I341=0,0,IF(A341="S",1,IF(A341="BH",IF(COUNTIFS(A342:A501,"B",J342:J501,1)&gt;0,1,0),IF(OR(B341='Recepción'!$C$13,B341='Recepción'!$C$14,B341='Recepción'!$C$15,AND(B341="Contacto con líquido",'Recepción'!$D$29="Sí"),AND(B341="Golpe / Caída",'Recepción'!$D$28="Sí"),AND(B341="No enciende",'Recepción'!$D$31="No")),1,0))))</f>
        <v/>
      </c>
      <c r="K341" s="27">
        <f>IF(J341=1,COUNTIF($J$2:J341,1),0)</f>
        <v/>
      </c>
    </row>
    <row r="342">
      <c r="I342" s="27">
        <f>IF(C342="",0,IFERROR(INDEX($E342:$H342,MATCH('Recepción'!$C$5,$E$1:$H$1,0)),0))</f>
        <v/>
      </c>
      <c r="J342" s="27">
        <f>IF(I342=0,0,IF(A342="S",1,IF(A342="BH",IF(COUNTIFS(A343:A501,"B",J343:J501,1)&gt;0,1,0),IF(OR(B342='Recepción'!$C$13,B342='Recepción'!$C$14,B342='Recepción'!$C$15,AND(B342="Contacto con líquido",'Recepción'!$D$29="Sí"),AND(B342="Golpe / Caída",'Recepción'!$D$28="Sí"),AND(B342="No enciende",'Recepción'!$D$31="No")),1,0))))</f>
        <v/>
      </c>
      <c r="K342" s="27">
        <f>IF(J342=1,COUNTIF($J$2:J342,1),0)</f>
        <v/>
      </c>
    </row>
    <row r="343">
      <c r="I343" s="27">
        <f>IF(C343="",0,IFERROR(INDEX($E343:$H343,MATCH('Recepción'!$C$5,$E$1:$H$1,0)),0))</f>
        <v/>
      </c>
      <c r="J343" s="27">
        <f>IF(I343=0,0,IF(A343="S",1,IF(A343="BH",IF(COUNTIFS(A344:A501,"B",J344:J501,1)&gt;0,1,0),IF(OR(B343='Recepción'!$C$13,B343='Recepción'!$C$14,B343='Recepción'!$C$15,AND(B343="Contacto con líquido",'Recepción'!$D$29="Sí"),AND(B343="Golpe / Caída",'Recepción'!$D$28="Sí"),AND(B343="No enciende",'Recepción'!$D$31="No")),1,0))))</f>
        <v/>
      </c>
      <c r="K343" s="27">
        <f>IF(J343=1,COUNTIF($J$2:J343,1),0)</f>
        <v/>
      </c>
    </row>
    <row r="344">
      <c r="I344" s="27">
        <f>IF(C344="",0,IFERROR(INDEX($E344:$H344,MATCH('Recepción'!$C$5,$E$1:$H$1,0)),0))</f>
        <v/>
      </c>
      <c r="J344" s="27">
        <f>IF(I344=0,0,IF(A344="S",1,IF(A344="BH",IF(COUNTIFS(A345:A501,"B",J345:J501,1)&gt;0,1,0),IF(OR(B344='Recepción'!$C$13,B344='Recepción'!$C$14,B344='Recepción'!$C$15,AND(B344="Contacto con líquido",'Recepción'!$D$29="Sí"),AND(B344="Golpe / Caída",'Recepción'!$D$28="Sí"),AND(B344="No enciende",'Recepción'!$D$31="No")),1,0))))</f>
        <v/>
      </c>
      <c r="K344" s="27">
        <f>IF(J344=1,COUNTIF($J$2:J344,1),0)</f>
        <v/>
      </c>
    </row>
    <row r="345">
      <c r="I345" s="27">
        <f>IF(C345="",0,IFERROR(INDEX($E345:$H345,MATCH('Recepción'!$C$5,$E$1:$H$1,0)),0))</f>
        <v/>
      </c>
      <c r="J345" s="27">
        <f>IF(I345=0,0,IF(A345="S",1,IF(A345="BH",IF(COUNTIFS(A346:A501,"B",J346:J501,1)&gt;0,1,0),IF(OR(B345='Recepción'!$C$13,B345='Recepción'!$C$14,B345='Recepción'!$C$15,AND(B345="Contacto con líquido",'Recepción'!$D$29="Sí"),AND(B345="Golpe / Caída",'Recepción'!$D$28="Sí"),AND(B345="No enciende",'Recepción'!$D$31="No")),1,0))))</f>
        <v/>
      </c>
      <c r="K345" s="27">
        <f>IF(J345=1,COUNTIF($J$2:J345,1),0)</f>
        <v/>
      </c>
    </row>
    <row r="346">
      <c r="I346" s="27">
        <f>IF(C346="",0,IFERROR(INDEX($E346:$H346,MATCH('Recepción'!$C$5,$E$1:$H$1,0)),0))</f>
        <v/>
      </c>
      <c r="J346" s="27">
        <f>IF(I346=0,0,IF(A346="S",1,IF(A346="BH",IF(COUNTIFS(A347:A501,"B",J347:J501,1)&gt;0,1,0),IF(OR(B346='Recepción'!$C$13,B346='Recepción'!$C$14,B346='Recepción'!$C$15,AND(B346="Contacto con líquido",'Recepción'!$D$29="Sí"),AND(B346="Golpe / Caída",'Recepción'!$D$28="Sí"),AND(B346="No enciende",'Recepción'!$D$31="No")),1,0))))</f>
        <v/>
      </c>
      <c r="K346" s="27">
        <f>IF(J346=1,COUNTIF($J$2:J346,1),0)</f>
        <v/>
      </c>
    </row>
    <row r="347">
      <c r="I347" s="27">
        <f>IF(C347="",0,IFERROR(INDEX($E347:$H347,MATCH('Recepción'!$C$5,$E$1:$H$1,0)),0))</f>
        <v/>
      </c>
      <c r="J347" s="27">
        <f>IF(I347=0,0,IF(A347="S",1,IF(A347="BH",IF(COUNTIFS(A348:A501,"B",J348:J501,1)&gt;0,1,0),IF(OR(B347='Recepción'!$C$13,B347='Recepción'!$C$14,B347='Recepción'!$C$15,AND(B347="Contacto con líquido",'Recepción'!$D$29="Sí"),AND(B347="Golpe / Caída",'Recepción'!$D$28="Sí"),AND(B347="No enciende",'Recepción'!$D$31="No")),1,0))))</f>
        <v/>
      </c>
      <c r="K347" s="27">
        <f>IF(J347=1,COUNTIF($J$2:J347,1),0)</f>
        <v/>
      </c>
    </row>
    <row r="348">
      <c r="I348" s="27">
        <f>IF(C348="",0,IFERROR(INDEX($E348:$H348,MATCH('Recepción'!$C$5,$E$1:$H$1,0)),0))</f>
        <v/>
      </c>
      <c r="J348" s="27">
        <f>IF(I348=0,0,IF(A348="S",1,IF(A348="BH",IF(COUNTIFS(A349:A501,"B",J349:J501,1)&gt;0,1,0),IF(OR(B348='Recepción'!$C$13,B348='Recepción'!$C$14,B348='Recepción'!$C$15,AND(B348="Contacto con líquido",'Recepción'!$D$29="Sí"),AND(B348="Golpe / Caída",'Recepción'!$D$28="Sí"),AND(B348="No enciende",'Recepción'!$D$31="No")),1,0))))</f>
        <v/>
      </c>
      <c r="K348" s="27">
        <f>IF(J348=1,COUNTIF($J$2:J348,1),0)</f>
        <v/>
      </c>
    </row>
    <row r="349">
      <c r="I349" s="27">
        <f>IF(C349="",0,IFERROR(INDEX($E349:$H349,MATCH('Recepción'!$C$5,$E$1:$H$1,0)),0))</f>
        <v/>
      </c>
      <c r="J349" s="27">
        <f>IF(I349=0,0,IF(A349="S",1,IF(A349="BH",IF(COUNTIFS(A350:A501,"B",J350:J501,1)&gt;0,1,0),IF(OR(B349='Recepción'!$C$13,B349='Recepción'!$C$14,B349='Recepción'!$C$15,AND(B349="Contacto con líquido",'Recepción'!$D$29="Sí"),AND(B349="Golpe / Caída",'Recepción'!$D$28="Sí"),AND(B349="No enciende",'Recepción'!$D$31="No")),1,0))))</f>
        <v/>
      </c>
      <c r="K349" s="27">
        <f>IF(J349=1,COUNTIF($J$2:J349,1),0)</f>
        <v/>
      </c>
    </row>
    <row r="350">
      <c r="I350" s="27">
        <f>IF(C350="",0,IFERROR(INDEX($E350:$H350,MATCH('Recepción'!$C$5,$E$1:$H$1,0)),0))</f>
        <v/>
      </c>
      <c r="J350" s="27">
        <f>IF(I350=0,0,IF(A350="S",1,IF(A350="BH",IF(COUNTIFS(A351:A501,"B",J351:J501,1)&gt;0,1,0),IF(OR(B350='Recepción'!$C$13,B350='Recepción'!$C$14,B350='Recepción'!$C$15,AND(B350="Contacto con líquido",'Recepción'!$D$29="Sí"),AND(B350="Golpe / Caída",'Recepción'!$D$28="Sí"),AND(B350="No enciende",'Recepción'!$D$31="No")),1,0))))</f>
        <v/>
      </c>
      <c r="K350" s="27">
        <f>IF(J350=1,COUNTIF($J$2:J350,1),0)</f>
        <v/>
      </c>
    </row>
    <row r="351">
      <c r="I351" s="27">
        <f>IF(C351="",0,IFERROR(INDEX($E351:$H351,MATCH('Recepción'!$C$5,$E$1:$H$1,0)),0))</f>
        <v/>
      </c>
      <c r="J351" s="27">
        <f>IF(I351=0,0,IF(A351="S",1,IF(A351="BH",IF(COUNTIFS(A352:A501,"B",J352:J501,1)&gt;0,1,0),IF(OR(B351='Recepción'!$C$13,B351='Recepción'!$C$14,B351='Recepción'!$C$15,AND(B351="Contacto con líquido",'Recepción'!$D$29="Sí"),AND(B351="Golpe / Caída",'Recepción'!$D$28="Sí"),AND(B351="No enciende",'Recepción'!$D$31="No")),1,0))))</f>
        <v/>
      </c>
      <c r="K351" s="27">
        <f>IF(J351=1,COUNTIF($J$2:J351,1),0)</f>
        <v/>
      </c>
    </row>
    <row r="352">
      <c r="I352" s="27">
        <f>IF(C352="",0,IFERROR(INDEX($E352:$H352,MATCH('Recepción'!$C$5,$E$1:$H$1,0)),0))</f>
        <v/>
      </c>
      <c r="J352" s="27">
        <f>IF(I352=0,0,IF(A352="S",1,IF(A352="BH",IF(COUNTIFS(A353:A501,"B",J353:J501,1)&gt;0,1,0),IF(OR(B352='Recepción'!$C$13,B352='Recepción'!$C$14,B352='Recepción'!$C$15,AND(B352="Contacto con líquido",'Recepción'!$D$29="Sí"),AND(B352="Golpe / Caída",'Recepción'!$D$28="Sí"),AND(B352="No enciende",'Recepción'!$D$31="No")),1,0))))</f>
        <v/>
      </c>
      <c r="K352" s="27">
        <f>IF(J352=1,COUNTIF($J$2:J352,1),0)</f>
        <v/>
      </c>
    </row>
    <row r="353">
      <c r="I353" s="27">
        <f>IF(C353="",0,IFERROR(INDEX($E353:$H353,MATCH('Recepción'!$C$5,$E$1:$H$1,0)),0))</f>
        <v/>
      </c>
      <c r="J353" s="27">
        <f>IF(I353=0,0,IF(A353="S",1,IF(A353="BH",IF(COUNTIFS(A354:A501,"B",J354:J501,1)&gt;0,1,0),IF(OR(B353='Recepción'!$C$13,B353='Recepción'!$C$14,B353='Recepción'!$C$15,AND(B353="Contacto con líquido",'Recepción'!$D$29="Sí"),AND(B353="Golpe / Caída",'Recepción'!$D$28="Sí"),AND(B353="No enciende",'Recepción'!$D$31="No")),1,0))))</f>
        <v/>
      </c>
      <c r="K353" s="27">
        <f>IF(J353=1,COUNTIF($J$2:J353,1),0)</f>
        <v/>
      </c>
    </row>
    <row r="354">
      <c r="I354" s="27">
        <f>IF(C354="",0,IFERROR(INDEX($E354:$H354,MATCH('Recepción'!$C$5,$E$1:$H$1,0)),0))</f>
        <v/>
      </c>
      <c r="J354" s="27">
        <f>IF(I354=0,0,IF(A354="S",1,IF(A354="BH",IF(COUNTIFS(A355:A501,"B",J355:J501,1)&gt;0,1,0),IF(OR(B354='Recepción'!$C$13,B354='Recepción'!$C$14,B354='Recepción'!$C$15,AND(B354="Contacto con líquido",'Recepción'!$D$29="Sí"),AND(B354="Golpe / Caída",'Recepción'!$D$28="Sí"),AND(B354="No enciende",'Recepción'!$D$31="No")),1,0))))</f>
        <v/>
      </c>
      <c r="K354" s="27">
        <f>IF(J354=1,COUNTIF($J$2:J354,1),0)</f>
        <v/>
      </c>
    </row>
    <row r="355">
      <c r="I355" s="27">
        <f>IF(C355="",0,IFERROR(INDEX($E355:$H355,MATCH('Recepción'!$C$5,$E$1:$H$1,0)),0))</f>
        <v/>
      </c>
      <c r="J355" s="27">
        <f>IF(I355=0,0,IF(A355="S",1,IF(A355="BH",IF(COUNTIFS(A356:A501,"B",J356:J501,1)&gt;0,1,0),IF(OR(B355='Recepción'!$C$13,B355='Recepción'!$C$14,B355='Recepción'!$C$15,AND(B355="Contacto con líquido",'Recepción'!$D$29="Sí"),AND(B355="Golpe / Caída",'Recepción'!$D$28="Sí"),AND(B355="No enciende",'Recepción'!$D$31="No")),1,0))))</f>
        <v/>
      </c>
      <c r="K355" s="27">
        <f>IF(J355=1,COUNTIF($J$2:J355,1),0)</f>
        <v/>
      </c>
    </row>
    <row r="356">
      <c r="I356" s="27">
        <f>IF(C356="",0,IFERROR(INDEX($E356:$H356,MATCH('Recepción'!$C$5,$E$1:$H$1,0)),0))</f>
        <v/>
      </c>
      <c r="J356" s="27">
        <f>IF(I356=0,0,IF(A356="S",1,IF(A356="BH",IF(COUNTIFS(A357:A501,"B",J357:J501,1)&gt;0,1,0),IF(OR(B356='Recepción'!$C$13,B356='Recepción'!$C$14,B356='Recepción'!$C$15,AND(B356="Contacto con líquido",'Recepción'!$D$29="Sí"),AND(B356="Golpe / Caída",'Recepción'!$D$28="Sí"),AND(B356="No enciende",'Recepción'!$D$31="No")),1,0))))</f>
        <v/>
      </c>
      <c r="K356" s="27">
        <f>IF(J356=1,COUNTIF($J$2:J356,1),0)</f>
        <v/>
      </c>
    </row>
    <row r="357">
      <c r="I357" s="27">
        <f>IF(C357="",0,IFERROR(INDEX($E357:$H357,MATCH('Recepción'!$C$5,$E$1:$H$1,0)),0))</f>
        <v/>
      </c>
      <c r="J357" s="27">
        <f>IF(I357=0,0,IF(A357="S",1,IF(A357="BH",IF(COUNTIFS(A358:A501,"B",J358:J501,1)&gt;0,1,0),IF(OR(B357='Recepción'!$C$13,B357='Recepción'!$C$14,B357='Recepción'!$C$15,AND(B357="Contacto con líquido",'Recepción'!$D$29="Sí"),AND(B357="Golpe / Caída",'Recepción'!$D$28="Sí"),AND(B357="No enciende",'Recepción'!$D$31="No")),1,0))))</f>
        <v/>
      </c>
      <c r="K357" s="27">
        <f>IF(J357=1,COUNTIF($J$2:J357,1),0)</f>
        <v/>
      </c>
    </row>
    <row r="358">
      <c r="I358" s="27">
        <f>IF(C358="",0,IFERROR(INDEX($E358:$H358,MATCH('Recepción'!$C$5,$E$1:$H$1,0)),0))</f>
        <v/>
      </c>
      <c r="J358" s="27">
        <f>IF(I358=0,0,IF(A358="S",1,IF(A358="BH",IF(COUNTIFS(A359:A501,"B",J359:J501,1)&gt;0,1,0),IF(OR(B358='Recepción'!$C$13,B358='Recepción'!$C$14,B358='Recepción'!$C$15,AND(B358="Contacto con líquido",'Recepción'!$D$29="Sí"),AND(B358="Golpe / Caída",'Recepción'!$D$28="Sí"),AND(B358="No enciende",'Recepción'!$D$31="No")),1,0))))</f>
        <v/>
      </c>
      <c r="K358" s="27">
        <f>IF(J358=1,COUNTIF($J$2:J358,1),0)</f>
        <v/>
      </c>
    </row>
    <row r="359">
      <c r="I359" s="27">
        <f>IF(C359="",0,IFERROR(INDEX($E359:$H359,MATCH('Recepción'!$C$5,$E$1:$H$1,0)),0))</f>
        <v/>
      </c>
      <c r="J359" s="27">
        <f>IF(I359=0,0,IF(A359="S",1,IF(A359="BH",IF(COUNTIFS(A360:A501,"B",J360:J501,1)&gt;0,1,0),IF(OR(B359='Recepción'!$C$13,B359='Recepción'!$C$14,B359='Recepción'!$C$15,AND(B359="Contacto con líquido",'Recepción'!$D$29="Sí"),AND(B359="Golpe / Caída",'Recepción'!$D$28="Sí"),AND(B359="No enciende",'Recepción'!$D$31="No")),1,0))))</f>
        <v/>
      </c>
      <c r="K359" s="27">
        <f>IF(J359=1,COUNTIF($J$2:J359,1),0)</f>
        <v/>
      </c>
    </row>
    <row r="360">
      <c r="I360" s="27">
        <f>IF(C360="",0,IFERROR(INDEX($E360:$H360,MATCH('Recepción'!$C$5,$E$1:$H$1,0)),0))</f>
        <v/>
      </c>
      <c r="J360" s="27">
        <f>IF(I360=0,0,IF(A360="S",1,IF(A360="BH",IF(COUNTIFS(A361:A501,"B",J361:J501,1)&gt;0,1,0),IF(OR(B360='Recepción'!$C$13,B360='Recepción'!$C$14,B360='Recepción'!$C$15,AND(B360="Contacto con líquido",'Recepción'!$D$29="Sí"),AND(B360="Golpe / Caída",'Recepción'!$D$28="Sí"),AND(B360="No enciende",'Recepción'!$D$31="No")),1,0))))</f>
        <v/>
      </c>
      <c r="K360" s="27">
        <f>IF(J360=1,COUNTIF($J$2:J360,1),0)</f>
        <v/>
      </c>
    </row>
    <row r="361">
      <c r="I361" s="27">
        <f>IF(C361="",0,IFERROR(INDEX($E361:$H361,MATCH('Recepción'!$C$5,$E$1:$H$1,0)),0))</f>
        <v/>
      </c>
      <c r="J361" s="27">
        <f>IF(I361=0,0,IF(A361="S",1,IF(A361="BH",IF(COUNTIFS(A362:A501,"B",J362:J501,1)&gt;0,1,0),IF(OR(B361='Recepción'!$C$13,B361='Recepción'!$C$14,B361='Recepción'!$C$15,AND(B361="Contacto con líquido",'Recepción'!$D$29="Sí"),AND(B361="Golpe / Caída",'Recepción'!$D$28="Sí"),AND(B361="No enciende",'Recepción'!$D$31="No")),1,0))))</f>
        <v/>
      </c>
      <c r="K361" s="27">
        <f>IF(J361=1,COUNTIF($J$2:J361,1),0)</f>
        <v/>
      </c>
    </row>
    <row r="362">
      <c r="I362" s="27">
        <f>IF(C362="",0,IFERROR(INDEX($E362:$H362,MATCH('Recepción'!$C$5,$E$1:$H$1,0)),0))</f>
        <v/>
      </c>
      <c r="J362" s="27">
        <f>IF(I362=0,0,IF(A362="S",1,IF(A362="BH",IF(COUNTIFS(A363:A501,"B",J363:J501,1)&gt;0,1,0),IF(OR(B362='Recepción'!$C$13,B362='Recepción'!$C$14,B362='Recepción'!$C$15,AND(B362="Contacto con líquido",'Recepción'!$D$29="Sí"),AND(B362="Golpe / Caída",'Recepción'!$D$28="Sí"),AND(B362="No enciende",'Recepción'!$D$31="No")),1,0))))</f>
        <v/>
      </c>
      <c r="K362" s="27">
        <f>IF(J362=1,COUNTIF($J$2:J362,1),0)</f>
        <v/>
      </c>
    </row>
    <row r="363">
      <c r="I363" s="27">
        <f>IF(C363="",0,IFERROR(INDEX($E363:$H363,MATCH('Recepción'!$C$5,$E$1:$H$1,0)),0))</f>
        <v/>
      </c>
      <c r="J363" s="27">
        <f>IF(I363=0,0,IF(A363="S",1,IF(A363="BH",IF(COUNTIFS(A364:A501,"B",J364:J501,1)&gt;0,1,0),IF(OR(B363='Recepción'!$C$13,B363='Recepción'!$C$14,B363='Recepción'!$C$15,AND(B363="Contacto con líquido",'Recepción'!$D$29="Sí"),AND(B363="Golpe / Caída",'Recepción'!$D$28="Sí"),AND(B363="No enciende",'Recepción'!$D$31="No")),1,0))))</f>
        <v/>
      </c>
      <c r="K363" s="27">
        <f>IF(J363=1,COUNTIF($J$2:J363,1),0)</f>
        <v/>
      </c>
    </row>
    <row r="364">
      <c r="I364" s="27">
        <f>IF(C364="",0,IFERROR(INDEX($E364:$H364,MATCH('Recepción'!$C$5,$E$1:$H$1,0)),0))</f>
        <v/>
      </c>
      <c r="J364" s="27">
        <f>IF(I364=0,0,IF(A364="S",1,IF(A364="BH",IF(COUNTIFS(A365:A501,"B",J365:J501,1)&gt;0,1,0),IF(OR(B364='Recepción'!$C$13,B364='Recepción'!$C$14,B364='Recepción'!$C$15,AND(B364="Contacto con líquido",'Recepción'!$D$29="Sí"),AND(B364="Golpe / Caída",'Recepción'!$D$28="Sí"),AND(B364="No enciende",'Recepción'!$D$31="No")),1,0))))</f>
        <v/>
      </c>
      <c r="K364" s="27">
        <f>IF(J364=1,COUNTIF($J$2:J364,1),0)</f>
        <v/>
      </c>
    </row>
    <row r="365">
      <c r="I365" s="27">
        <f>IF(C365="",0,IFERROR(INDEX($E365:$H365,MATCH('Recepción'!$C$5,$E$1:$H$1,0)),0))</f>
        <v/>
      </c>
      <c r="J365" s="27">
        <f>IF(I365=0,0,IF(A365="S",1,IF(A365="BH",IF(COUNTIFS(A366:A501,"B",J366:J501,1)&gt;0,1,0),IF(OR(B365='Recepción'!$C$13,B365='Recepción'!$C$14,B365='Recepción'!$C$15,AND(B365="Contacto con líquido",'Recepción'!$D$29="Sí"),AND(B365="Golpe / Caída",'Recepción'!$D$28="Sí"),AND(B365="No enciende",'Recepción'!$D$31="No")),1,0))))</f>
        <v/>
      </c>
      <c r="K365" s="27">
        <f>IF(J365=1,COUNTIF($J$2:J365,1),0)</f>
        <v/>
      </c>
    </row>
    <row r="366">
      <c r="I366" s="27">
        <f>IF(C366="",0,IFERROR(INDEX($E366:$H366,MATCH('Recepción'!$C$5,$E$1:$H$1,0)),0))</f>
        <v/>
      </c>
      <c r="J366" s="27">
        <f>IF(I366=0,0,IF(A366="S",1,IF(A366="BH",IF(COUNTIFS(A367:A501,"B",J367:J501,1)&gt;0,1,0),IF(OR(B366='Recepción'!$C$13,B366='Recepción'!$C$14,B366='Recepción'!$C$15,AND(B366="Contacto con líquido",'Recepción'!$D$29="Sí"),AND(B366="Golpe / Caída",'Recepción'!$D$28="Sí"),AND(B366="No enciende",'Recepción'!$D$31="No")),1,0))))</f>
        <v/>
      </c>
      <c r="K366" s="27">
        <f>IF(J366=1,COUNTIF($J$2:J366,1),0)</f>
        <v/>
      </c>
    </row>
    <row r="367">
      <c r="I367" s="27">
        <f>IF(C367="",0,IFERROR(INDEX($E367:$H367,MATCH('Recepción'!$C$5,$E$1:$H$1,0)),0))</f>
        <v/>
      </c>
      <c r="J367" s="27">
        <f>IF(I367=0,0,IF(A367="S",1,IF(A367="BH",IF(COUNTIFS(A368:A501,"B",J368:J501,1)&gt;0,1,0),IF(OR(B367='Recepción'!$C$13,B367='Recepción'!$C$14,B367='Recepción'!$C$15,AND(B367="Contacto con líquido",'Recepción'!$D$29="Sí"),AND(B367="Golpe / Caída",'Recepción'!$D$28="Sí"),AND(B367="No enciende",'Recepción'!$D$31="No")),1,0))))</f>
        <v/>
      </c>
      <c r="K367" s="27">
        <f>IF(J367=1,COUNTIF($J$2:J367,1),0)</f>
        <v/>
      </c>
    </row>
    <row r="368">
      <c r="I368" s="27">
        <f>IF(C368="",0,IFERROR(INDEX($E368:$H368,MATCH('Recepción'!$C$5,$E$1:$H$1,0)),0))</f>
        <v/>
      </c>
      <c r="J368" s="27">
        <f>IF(I368=0,0,IF(A368="S",1,IF(A368="BH",IF(COUNTIFS(A369:A501,"B",J369:J501,1)&gt;0,1,0),IF(OR(B368='Recepción'!$C$13,B368='Recepción'!$C$14,B368='Recepción'!$C$15,AND(B368="Contacto con líquido",'Recepción'!$D$29="Sí"),AND(B368="Golpe / Caída",'Recepción'!$D$28="Sí"),AND(B368="No enciende",'Recepción'!$D$31="No")),1,0))))</f>
        <v/>
      </c>
      <c r="K368" s="27">
        <f>IF(J368=1,COUNTIF($J$2:J368,1),0)</f>
        <v/>
      </c>
    </row>
    <row r="369">
      <c r="I369" s="27">
        <f>IF(C369="",0,IFERROR(INDEX($E369:$H369,MATCH('Recepción'!$C$5,$E$1:$H$1,0)),0))</f>
        <v/>
      </c>
      <c r="J369" s="27">
        <f>IF(I369=0,0,IF(A369="S",1,IF(A369="BH",IF(COUNTIFS(A370:A501,"B",J370:J501,1)&gt;0,1,0),IF(OR(B369='Recepción'!$C$13,B369='Recepción'!$C$14,B369='Recepción'!$C$15,AND(B369="Contacto con líquido",'Recepción'!$D$29="Sí"),AND(B369="Golpe / Caída",'Recepción'!$D$28="Sí"),AND(B369="No enciende",'Recepción'!$D$31="No")),1,0))))</f>
        <v/>
      </c>
      <c r="K369" s="27">
        <f>IF(J369=1,COUNTIF($J$2:J369,1),0)</f>
        <v/>
      </c>
    </row>
    <row r="370">
      <c r="I370" s="27">
        <f>IF(C370="",0,IFERROR(INDEX($E370:$H370,MATCH('Recepción'!$C$5,$E$1:$H$1,0)),0))</f>
        <v/>
      </c>
      <c r="J370" s="27">
        <f>IF(I370=0,0,IF(A370="S",1,IF(A370="BH",IF(COUNTIFS(A371:A501,"B",J371:J501,1)&gt;0,1,0),IF(OR(B370='Recepción'!$C$13,B370='Recepción'!$C$14,B370='Recepción'!$C$15,AND(B370="Contacto con líquido",'Recepción'!$D$29="Sí"),AND(B370="Golpe / Caída",'Recepción'!$D$28="Sí"),AND(B370="No enciende",'Recepción'!$D$31="No")),1,0))))</f>
        <v/>
      </c>
      <c r="K370" s="27">
        <f>IF(J370=1,COUNTIF($J$2:J370,1),0)</f>
        <v/>
      </c>
    </row>
    <row r="371">
      <c r="I371" s="27">
        <f>IF(C371="",0,IFERROR(INDEX($E371:$H371,MATCH('Recepción'!$C$5,$E$1:$H$1,0)),0))</f>
        <v/>
      </c>
      <c r="J371" s="27">
        <f>IF(I371=0,0,IF(A371="S",1,IF(A371="BH",IF(COUNTIFS(A372:A501,"B",J372:J501,1)&gt;0,1,0),IF(OR(B371='Recepción'!$C$13,B371='Recepción'!$C$14,B371='Recepción'!$C$15,AND(B371="Contacto con líquido",'Recepción'!$D$29="Sí"),AND(B371="Golpe / Caída",'Recepción'!$D$28="Sí"),AND(B371="No enciende",'Recepción'!$D$31="No")),1,0))))</f>
        <v/>
      </c>
      <c r="K371" s="27">
        <f>IF(J371=1,COUNTIF($J$2:J371,1),0)</f>
        <v/>
      </c>
    </row>
    <row r="372">
      <c r="I372" s="27">
        <f>IF(C372="",0,IFERROR(INDEX($E372:$H372,MATCH('Recepción'!$C$5,$E$1:$H$1,0)),0))</f>
        <v/>
      </c>
      <c r="J372" s="27">
        <f>IF(I372=0,0,IF(A372="S",1,IF(A372="BH",IF(COUNTIFS(A373:A501,"B",J373:J501,1)&gt;0,1,0),IF(OR(B372='Recepción'!$C$13,B372='Recepción'!$C$14,B372='Recepción'!$C$15,AND(B372="Contacto con líquido",'Recepción'!$D$29="Sí"),AND(B372="Golpe / Caída",'Recepción'!$D$28="Sí"),AND(B372="No enciende",'Recepción'!$D$31="No")),1,0))))</f>
        <v/>
      </c>
      <c r="K372" s="27">
        <f>IF(J372=1,COUNTIF($J$2:J372,1),0)</f>
        <v/>
      </c>
    </row>
    <row r="373">
      <c r="I373" s="27">
        <f>IF(C373="",0,IFERROR(INDEX($E373:$H373,MATCH('Recepción'!$C$5,$E$1:$H$1,0)),0))</f>
        <v/>
      </c>
      <c r="J373" s="27">
        <f>IF(I373=0,0,IF(A373="S",1,IF(A373="BH",IF(COUNTIFS(A374:A501,"B",J374:J501,1)&gt;0,1,0),IF(OR(B373='Recepción'!$C$13,B373='Recepción'!$C$14,B373='Recepción'!$C$15,AND(B373="Contacto con líquido",'Recepción'!$D$29="Sí"),AND(B373="Golpe / Caída",'Recepción'!$D$28="Sí"),AND(B373="No enciende",'Recepción'!$D$31="No")),1,0))))</f>
        <v/>
      </c>
      <c r="K373" s="27">
        <f>IF(J373=1,COUNTIF($J$2:J373,1),0)</f>
        <v/>
      </c>
    </row>
    <row r="374">
      <c r="I374" s="27">
        <f>IF(C374="",0,IFERROR(INDEX($E374:$H374,MATCH('Recepción'!$C$5,$E$1:$H$1,0)),0))</f>
        <v/>
      </c>
      <c r="J374" s="27">
        <f>IF(I374=0,0,IF(A374="S",1,IF(A374="BH",IF(COUNTIFS(A375:A501,"B",J375:J501,1)&gt;0,1,0),IF(OR(B374='Recepción'!$C$13,B374='Recepción'!$C$14,B374='Recepción'!$C$15,AND(B374="Contacto con líquido",'Recepción'!$D$29="Sí"),AND(B374="Golpe / Caída",'Recepción'!$D$28="Sí"),AND(B374="No enciende",'Recepción'!$D$31="No")),1,0))))</f>
        <v/>
      </c>
      <c r="K374" s="27">
        <f>IF(J374=1,COUNTIF($J$2:J374,1),0)</f>
        <v/>
      </c>
    </row>
    <row r="375">
      <c r="I375" s="27">
        <f>IF(C375="",0,IFERROR(INDEX($E375:$H375,MATCH('Recepción'!$C$5,$E$1:$H$1,0)),0))</f>
        <v/>
      </c>
      <c r="J375" s="27">
        <f>IF(I375=0,0,IF(A375="S",1,IF(A375="BH",IF(COUNTIFS(A376:A501,"B",J376:J501,1)&gt;0,1,0),IF(OR(B375='Recepción'!$C$13,B375='Recepción'!$C$14,B375='Recepción'!$C$15,AND(B375="Contacto con líquido",'Recepción'!$D$29="Sí"),AND(B375="Golpe / Caída",'Recepción'!$D$28="Sí"),AND(B375="No enciende",'Recepción'!$D$31="No")),1,0))))</f>
        <v/>
      </c>
      <c r="K375" s="27">
        <f>IF(J375=1,COUNTIF($J$2:J375,1),0)</f>
        <v/>
      </c>
    </row>
    <row r="376">
      <c r="I376" s="27">
        <f>IF(C376="",0,IFERROR(INDEX($E376:$H376,MATCH('Recepción'!$C$5,$E$1:$H$1,0)),0))</f>
        <v/>
      </c>
      <c r="J376" s="27">
        <f>IF(I376=0,0,IF(A376="S",1,IF(A376="BH",IF(COUNTIFS(A377:A501,"B",J377:J501,1)&gt;0,1,0),IF(OR(B376='Recepción'!$C$13,B376='Recepción'!$C$14,B376='Recepción'!$C$15,AND(B376="Contacto con líquido",'Recepción'!$D$29="Sí"),AND(B376="Golpe / Caída",'Recepción'!$D$28="Sí"),AND(B376="No enciende",'Recepción'!$D$31="No")),1,0))))</f>
        <v/>
      </c>
      <c r="K376" s="27">
        <f>IF(J376=1,COUNTIF($J$2:J376,1),0)</f>
        <v/>
      </c>
    </row>
    <row r="377">
      <c r="I377" s="27">
        <f>IF(C377="",0,IFERROR(INDEX($E377:$H377,MATCH('Recepción'!$C$5,$E$1:$H$1,0)),0))</f>
        <v/>
      </c>
      <c r="J377" s="27">
        <f>IF(I377=0,0,IF(A377="S",1,IF(A377="BH",IF(COUNTIFS(A378:A501,"B",J378:J501,1)&gt;0,1,0),IF(OR(B377='Recepción'!$C$13,B377='Recepción'!$C$14,B377='Recepción'!$C$15,AND(B377="Contacto con líquido",'Recepción'!$D$29="Sí"),AND(B377="Golpe / Caída",'Recepción'!$D$28="Sí"),AND(B377="No enciende",'Recepción'!$D$31="No")),1,0))))</f>
        <v/>
      </c>
      <c r="K377" s="27">
        <f>IF(J377=1,COUNTIF($J$2:J377,1),0)</f>
        <v/>
      </c>
    </row>
    <row r="378">
      <c r="I378" s="27">
        <f>IF(C378="",0,IFERROR(INDEX($E378:$H378,MATCH('Recepción'!$C$5,$E$1:$H$1,0)),0))</f>
        <v/>
      </c>
      <c r="J378" s="27">
        <f>IF(I378=0,0,IF(A378="S",1,IF(A378="BH",IF(COUNTIFS(A379:A501,"B",J379:J501,1)&gt;0,1,0),IF(OR(B378='Recepción'!$C$13,B378='Recepción'!$C$14,B378='Recepción'!$C$15,AND(B378="Contacto con líquido",'Recepción'!$D$29="Sí"),AND(B378="Golpe / Caída",'Recepción'!$D$28="Sí"),AND(B378="No enciende",'Recepción'!$D$31="No")),1,0))))</f>
        <v/>
      </c>
      <c r="K378" s="27">
        <f>IF(J378=1,COUNTIF($J$2:J378,1),0)</f>
        <v/>
      </c>
    </row>
    <row r="379">
      <c r="I379" s="27">
        <f>IF(C379="",0,IFERROR(INDEX($E379:$H379,MATCH('Recepción'!$C$5,$E$1:$H$1,0)),0))</f>
        <v/>
      </c>
      <c r="J379" s="27">
        <f>IF(I379=0,0,IF(A379="S",1,IF(A379="BH",IF(COUNTIFS(A380:A501,"B",J380:J501,1)&gt;0,1,0),IF(OR(B379='Recepción'!$C$13,B379='Recepción'!$C$14,B379='Recepción'!$C$15,AND(B379="Contacto con líquido",'Recepción'!$D$29="Sí"),AND(B379="Golpe / Caída",'Recepción'!$D$28="Sí"),AND(B379="No enciende",'Recepción'!$D$31="No")),1,0))))</f>
        <v/>
      </c>
      <c r="K379" s="27">
        <f>IF(J379=1,COUNTIF($J$2:J379,1),0)</f>
        <v/>
      </c>
    </row>
    <row r="380">
      <c r="I380" s="27">
        <f>IF(C380="",0,IFERROR(INDEX($E380:$H380,MATCH('Recepción'!$C$5,$E$1:$H$1,0)),0))</f>
        <v/>
      </c>
      <c r="J380" s="27">
        <f>IF(I380=0,0,IF(A380="S",1,IF(A380="BH",IF(COUNTIFS(A381:A501,"B",J381:J501,1)&gt;0,1,0),IF(OR(B380='Recepción'!$C$13,B380='Recepción'!$C$14,B380='Recepción'!$C$15,AND(B380="Contacto con líquido",'Recepción'!$D$29="Sí"),AND(B380="Golpe / Caída",'Recepción'!$D$28="Sí"),AND(B380="No enciende",'Recepción'!$D$31="No")),1,0))))</f>
        <v/>
      </c>
      <c r="K380" s="27">
        <f>IF(J380=1,COUNTIF($J$2:J380,1),0)</f>
        <v/>
      </c>
    </row>
    <row r="381">
      <c r="I381" s="27">
        <f>IF(C381="",0,IFERROR(INDEX($E381:$H381,MATCH('Recepción'!$C$5,$E$1:$H$1,0)),0))</f>
        <v/>
      </c>
      <c r="J381" s="27">
        <f>IF(I381=0,0,IF(A381="S",1,IF(A381="BH",IF(COUNTIFS(A382:A501,"B",J382:J501,1)&gt;0,1,0),IF(OR(B381='Recepción'!$C$13,B381='Recepción'!$C$14,B381='Recepción'!$C$15,AND(B381="Contacto con líquido",'Recepción'!$D$29="Sí"),AND(B381="Golpe / Caída",'Recepción'!$D$28="Sí"),AND(B381="No enciende",'Recepción'!$D$31="No")),1,0))))</f>
        <v/>
      </c>
      <c r="K381" s="27">
        <f>IF(J381=1,COUNTIF($J$2:J381,1),0)</f>
        <v/>
      </c>
    </row>
    <row r="382">
      <c r="I382" s="27">
        <f>IF(C382="",0,IFERROR(INDEX($E382:$H382,MATCH('Recepción'!$C$5,$E$1:$H$1,0)),0))</f>
        <v/>
      </c>
      <c r="J382" s="27">
        <f>IF(I382=0,0,IF(A382="S",1,IF(A382="BH",IF(COUNTIFS(A383:A501,"B",J383:J501,1)&gt;0,1,0),IF(OR(B382='Recepción'!$C$13,B382='Recepción'!$C$14,B382='Recepción'!$C$15,AND(B382="Contacto con líquido",'Recepción'!$D$29="Sí"),AND(B382="Golpe / Caída",'Recepción'!$D$28="Sí"),AND(B382="No enciende",'Recepción'!$D$31="No")),1,0))))</f>
        <v/>
      </c>
      <c r="K382" s="27">
        <f>IF(J382=1,COUNTIF($J$2:J382,1),0)</f>
        <v/>
      </c>
    </row>
    <row r="383">
      <c r="I383" s="27">
        <f>IF(C383="",0,IFERROR(INDEX($E383:$H383,MATCH('Recepción'!$C$5,$E$1:$H$1,0)),0))</f>
        <v/>
      </c>
      <c r="J383" s="27">
        <f>IF(I383=0,0,IF(A383="S",1,IF(A383="BH",IF(COUNTIFS(A384:A501,"B",J384:J501,1)&gt;0,1,0),IF(OR(B383='Recepción'!$C$13,B383='Recepción'!$C$14,B383='Recepción'!$C$15,AND(B383="Contacto con líquido",'Recepción'!$D$29="Sí"),AND(B383="Golpe / Caída",'Recepción'!$D$28="Sí"),AND(B383="No enciende",'Recepción'!$D$31="No")),1,0))))</f>
        <v/>
      </c>
      <c r="K383" s="27">
        <f>IF(J383=1,COUNTIF($J$2:J383,1),0)</f>
        <v/>
      </c>
    </row>
    <row r="384">
      <c r="I384" s="27">
        <f>IF(C384="",0,IFERROR(INDEX($E384:$H384,MATCH('Recepción'!$C$5,$E$1:$H$1,0)),0))</f>
        <v/>
      </c>
      <c r="J384" s="27">
        <f>IF(I384=0,0,IF(A384="S",1,IF(A384="BH",IF(COUNTIFS(A385:A501,"B",J385:J501,1)&gt;0,1,0),IF(OR(B384='Recepción'!$C$13,B384='Recepción'!$C$14,B384='Recepción'!$C$15,AND(B384="Contacto con líquido",'Recepción'!$D$29="Sí"),AND(B384="Golpe / Caída",'Recepción'!$D$28="Sí"),AND(B384="No enciende",'Recepción'!$D$31="No")),1,0))))</f>
        <v/>
      </c>
      <c r="K384" s="27">
        <f>IF(J384=1,COUNTIF($J$2:J384,1),0)</f>
        <v/>
      </c>
    </row>
    <row r="385">
      <c r="I385" s="27">
        <f>IF(C385="",0,IFERROR(INDEX($E385:$H385,MATCH('Recepción'!$C$5,$E$1:$H$1,0)),0))</f>
        <v/>
      </c>
      <c r="J385" s="27">
        <f>IF(I385=0,0,IF(A385="S",1,IF(A385="BH",IF(COUNTIFS(A386:A501,"B",J386:J501,1)&gt;0,1,0),IF(OR(B385='Recepción'!$C$13,B385='Recepción'!$C$14,B385='Recepción'!$C$15,AND(B385="Contacto con líquido",'Recepción'!$D$29="Sí"),AND(B385="Golpe / Caída",'Recepción'!$D$28="Sí"),AND(B385="No enciende",'Recepción'!$D$31="No")),1,0))))</f>
        <v/>
      </c>
      <c r="K385" s="27">
        <f>IF(J385=1,COUNTIF($J$2:J385,1),0)</f>
        <v/>
      </c>
    </row>
    <row r="386">
      <c r="I386" s="27">
        <f>IF(C386="",0,IFERROR(INDEX($E386:$H386,MATCH('Recepción'!$C$5,$E$1:$H$1,0)),0))</f>
        <v/>
      </c>
      <c r="J386" s="27">
        <f>IF(I386=0,0,IF(A386="S",1,IF(A386="BH",IF(COUNTIFS(A387:A501,"B",J387:J501,1)&gt;0,1,0),IF(OR(B386='Recepción'!$C$13,B386='Recepción'!$C$14,B386='Recepción'!$C$15,AND(B386="Contacto con líquido",'Recepción'!$D$29="Sí"),AND(B386="Golpe / Caída",'Recepción'!$D$28="Sí"),AND(B386="No enciende",'Recepción'!$D$31="No")),1,0))))</f>
        <v/>
      </c>
      <c r="K386" s="27">
        <f>IF(J386=1,COUNTIF($J$2:J386,1),0)</f>
        <v/>
      </c>
    </row>
    <row r="387">
      <c r="I387" s="27">
        <f>IF(C387="",0,IFERROR(INDEX($E387:$H387,MATCH('Recepción'!$C$5,$E$1:$H$1,0)),0))</f>
        <v/>
      </c>
      <c r="J387" s="27">
        <f>IF(I387=0,0,IF(A387="S",1,IF(A387="BH",IF(COUNTIFS(A388:A501,"B",J388:J501,1)&gt;0,1,0),IF(OR(B387='Recepción'!$C$13,B387='Recepción'!$C$14,B387='Recepción'!$C$15,AND(B387="Contacto con líquido",'Recepción'!$D$29="Sí"),AND(B387="Golpe / Caída",'Recepción'!$D$28="Sí"),AND(B387="No enciende",'Recepción'!$D$31="No")),1,0))))</f>
        <v/>
      </c>
      <c r="K387" s="27">
        <f>IF(J387=1,COUNTIF($J$2:J387,1),0)</f>
        <v/>
      </c>
    </row>
    <row r="388">
      <c r="I388" s="27">
        <f>IF(C388="",0,IFERROR(INDEX($E388:$H388,MATCH('Recepción'!$C$5,$E$1:$H$1,0)),0))</f>
        <v/>
      </c>
      <c r="J388" s="27">
        <f>IF(I388=0,0,IF(A388="S",1,IF(A388="BH",IF(COUNTIFS(A389:A501,"B",J389:J501,1)&gt;0,1,0),IF(OR(B388='Recepción'!$C$13,B388='Recepción'!$C$14,B388='Recepción'!$C$15,AND(B388="Contacto con líquido",'Recepción'!$D$29="Sí"),AND(B388="Golpe / Caída",'Recepción'!$D$28="Sí"),AND(B388="No enciende",'Recepción'!$D$31="No")),1,0))))</f>
        <v/>
      </c>
      <c r="K388" s="27">
        <f>IF(J388=1,COUNTIF($J$2:J388,1),0)</f>
        <v/>
      </c>
    </row>
    <row r="389">
      <c r="I389" s="27">
        <f>IF(C389="",0,IFERROR(INDEX($E389:$H389,MATCH('Recepción'!$C$5,$E$1:$H$1,0)),0))</f>
        <v/>
      </c>
      <c r="J389" s="27">
        <f>IF(I389=0,0,IF(A389="S",1,IF(A389="BH",IF(COUNTIFS(A390:A501,"B",J390:J501,1)&gt;0,1,0),IF(OR(B389='Recepción'!$C$13,B389='Recepción'!$C$14,B389='Recepción'!$C$15,AND(B389="Contacto con líquido",'Recepción'!$D$29="Sí"),AND(B389="Golpe / Caída",'Recepción'!$D$28="Sí"),AND(B389="No enciende",'Recepción'!$D$31="No")),1,0))))</f>
        <v/>
      </c>
      <c r="K389" s="27">
        <f>IF(J389=1,COUNTIF($J$2:J389,1),0)</f>
        <v/>
      </c>
    </row>
    <row r="390">
      <c r="I390" s="27">
        <f>IF(C390="",0,IFERROR(INDEX($E390:$H390,MATCH('Recepción'!$C$5,$E$1:$H$1,0)),0))</f>
        <v/>
      </c>
      <c r="J390" s="27">
        <f>IF(I390=0,0,IF(A390="S",1,IF(A390="BH",IF(COUNTIFS(A391:A501,"B",J391:J501,1)&gt;0,1,0),IF(OR(B390='Recepción'!$C$13,B390='Recepción'!$C$14,B390='Recepción'!$C$15,AND(B390="Contacto con líquido",'Recepción'!$D$29="Sí"),AND(B390="Golpe / Caída",'Recepción'!$D$28="Sí"),AND(B390="No enciende",'Recepción'!$D$31="No")),1,0))))</f>
        <v/>
      </c>
      <c r="K390" s="27">
        <f>IF(J390=1,COUNTIF($J$2:J390,1),0)</f>
        <v/>
      </c>
    </row>
    <row r="391">
      <c r="I391" s="27">
        <f>IF(C391="",0,IFERROR(INDEX($E391:$H391,MATCH('Recepción'!$C$5,$E$1:$H$1,0)),0))</f>
        <v/>
      </c>
      <c r="J391" s="27">
        <f>IF(I391=0,0,IF(A391="S",1,IF(A391="BH",IF(COUNTIFS(A392:A501,"B",J392:J501,1)&gt;0,1,0),IF(OR(B391='Recepción'!$C$13,B391='Recepción'!$C$14,B391='Recepción'!$C$15,AND(B391="Contacto con líquido",'Recepción'!$D$29="Sí"),AND(B391="Golpe / Caída",'Recepción'!$D$28="Sí"),AND(B391="No enciende",'Recepción'!$D$31="No")),1,0))))</f>
        <v/>
      </c>
      <c r="K391" s="27">
        <f>IF(J391=1,COUNTIF($J$2:J391,1),0)</f>
        <v/>
      </c>
    </row>
    <row r="392">
      <c r="I392" s="27">
        <f>IF(C392="",0,IFERROR(INDEX($E392:$H392,MATCH('Recepción'!$C$5,$E$1:$H$1,0)),0))</f>
        <v/>
      </c>
      <c r="J392" s="27">
        <f>IF(I392=0,0,IF(A392="S",1,IF(A392="BH",IF(COUNTIFS(A393:A501,"B",J393:J501,1)&gt;0,1,0),IF(OR(B392='Recepción'!$C$13,B392='Recepción'!$C$14,B392='Recepción'!$C$15,AND(B392="Contacto con líquido",'Recepción'!$D$29="Sí"),AND(B392="Golpe / Caída",'Recepción'!$D$28="Sí"),AND(B392="No enciende",'Recepción'!$D$31="No")),1,0))))</f>
        <v/>
      </c>
      <c r="K392" s="27">
        <f>IF(J392=1,COUNTIF($J$2:J392,1),0)</f>
        <v/>
      </c>
    </row>
    <row r="393">
      <c r="I393" s="27">
        <f>IF(C393="",0,IFERROR(INDEX($E393:$H393,MATCH('Recepción'!$C$5,$E$1:$H$1,0)),0))</f>
        <v/>
      </c>
      <c r="J393" s="27">
        <f>IF(I393=0,0,IF(A393="S",1,IF(A393="BH",IF(COUNTIFS(A394:A501,"B",J394:J501,1)&gt;0,1,0),IF(OR(B393='Recepción'!$C$13,B393='Recepción'!$C$14,B393='Recepción'!$C$15,AND(B393="Contacto con líquido",'Recepción'!$D$29="Sí"),AND(B393="Golpe / Caída",'Recepción'!$D$28="Sí"),AND(B393="No enciende",'Recepción'!$D$31="No")),1,0))))</f>
        <v/>
      </c>
      <c r="K393" s="27">
        <f>IF(J393=1,COUNTIF($J$2:J393,1),0)</f>
        <v/>
      </c>
    </row>
    <row r="394">
      <c r="I394" s="27">
        <f>IF(C394="",0,IFERROR(INDEX($E394:$H394,MATCH('Recepción'!$C$5,$E$1:$H$1,0)),0))</f>
        <v/>
      </c>
      <c r="J394" s="27">
        <f>IF(I394=0,0,IF(A394="S",1,IF(A394="BH",IF(COUNTIFS(A395:A501,"B",J395:J501,1)&gt;0,1,0),IF(OR(B394='Recepción'!$C$13,B394='Recepción'!$C$14,B394='Recepción'!$C$15,AND(B394="Contacto con líquido",'Recepción'!$D$29="Sí"),AND(B394="Golpe / Caída",'Recepción'!$D$28="Sí"),AND(B394="No enciende",'Recepción'!$D$31="No")),1,0))))</f>
        <v/>
      </c>
      <c r="K394" s="27">
        <f>IF(J394=1,COUNTIF($J$2:J394,1),0)</f>
        <v/>
      </c>
    </row>
    <row r="395">
      <c r="I395" s="27">
        <f>IF(C395="",0,IFERROR(INDEX($E395:$H395,MATCH('Recepción'!$C$5,$E$1:$H$1,0)),0))</f>
        <v/>
      </c>
      <c r="J395" s="27">
        <f>IF(I395=0,0,IF(A395="S",1,IF(A395="BH",IF(COUNTIFS(A396:A501,"B",J396:J501,1)&gt;0,1,0),IF(OR(B395='Recepción'!$C$13,B395='Recepción'!$C$14,B395='Recepción'!$C$15,AND(B395="Contacto con líquido",'Recepción'!$D$29="Sí"),AND(B395="Golpe / Caída",'Recepción'!$D$28="Sí"),AND(B395="No enciende",'Recepción'!$D$31="No")),1,0))))</f>
        <v/>
      </c>
      <c r="K395" s="27">
        <f>IF(J395=1,COUNTIF($J$2:J395,1),0)</f>
        <v/>
      </c>
    </row>
    <row r="396">
      <c r="I396" s="27">
        <f>IF(C396="",0,IFERROR(INDEX($E396:$H396,MATCH('Recepción'!$C$5,$E$1:$H$1,0)),0))</f>
        <v/>
      </c>
      <c r="J396" s="27">
        <f>IF(I396=0,0,IF(A396="S",1,IF(A396="BH",IF(COUNTIFS(A397:A501,"B",J397:J501,1)&gt;0,1,0),IF(OR(B396='Recepción'!$C$13,B396='Recepción'!$C$14,B396='Recepción'!$C$15,AND(B396="Contacto con líquido",'Recepción'!$D$29="Sí"),AND(B396="Golpe / Caída",'Recepción'!$D$28="Sí"),AND(B396="No enciende",'Recepción'!$D$31="No")),1,0))))</f>
        <v/>
      </c>
      <c r="K396" s="27">
        <f>IF(J396=1,COUNTIF($J$2:J396,1),0)</f>
        <v/>
      </c>
    </row>
    <row r="397">
      <c r="I397" s="27">
        <f>IF(C397="",0,IFERROR(INDEX($E397:$H397,MATCH('Recepción'!$C$5,$E$1:$H$1,0)),0))</f>
        <v/>
      </c>
      <c r="J397" s="27">
        <f>IF(I397=0,0,IF(A397="S",1,IF(A397="BH",IF(COUNTIFS(A398:A501,"B",J398:J501,1)&gt;0,1,0),IF(OR(B397='Recepción'!$C$13,B397='Recepción'!$C$14,B397='Recepción'!$C$15,AND(B397="Contacto con líquido",'Recepción'!$D$29="Sí"),AND(B397="Golpe / Caída",'Recepción'!$D$28="Sí"),AND(B397="No enciende",'Recepción'!$D$31="No")),1,0))))</f>
        <v/>
      </c>
      <c r="K397" s="27">
        <f>IF(J397=1,COUNTIF($J$2:J397,1),0)</f>
        <v/>
      </c>
    </row>
    <row r="398">
      <c r="I398" s="27">
        <f>IF(C398="",0,IFERROR(INDEX($E398:$H398,MATCH('Recepción'!$C$5,$E$1:$H$1,0)),0))</f>
        <v/>
      </c>
      <c r="J398" s="27">
        <f>IF(I398=0,0,IF(A398="S",1,IF(A398="BH",IF(COUNTIFS(A399:A501,"B",J399:J501,1)&gt;0,1,0),IF(OR(B398='Recepción'!$C$13,B398='Recepción'!$C$14,B398='Recepción'!$C$15,AND(B398="Contacto con líquido",'Recepción'!$D$29="Sí"),AND(B398="Golpe / Caída",'Recepción'!$D$28="Sí"),AND(B398="No enciende",'Recepción'!$D$31="No")),1,0))))</f>
        <v/>
      </c>
      <c r="K398" s="27">
        <f>IF(J398=1,COUNTIF($J$2:J398,1),0)</f>
        <v/>
      </c>
    </row>
    <row r="399">
      <c r="I399" s="27">
        <f>IF(C399="",0,IFERROR(INDEX($E399:$H399,MATCH('Recepción'!$C$5,$E$1:$H$1,0)),0))</f>
        <v/>
      </c>
      <c r="J399" s="27">
        <f>IF(I399=0,0,IF(A399="S",1,IF(A399="BH",IF(COUNTIFS(A400:A501,"B",J400:J501,1)&gt;0,1,0),IF(OR(B399='Recepción'!$C$13,B399='Recepción'!$C$14,B399='Recepción'!$C$15,AND(B399="Contacto con líquido",'Recepción'!$D$29="Sí"),AND(B399="Golpe / Caída",'Recepción'!$D$28="Sí"),AND(B399="No enciende",'Recepción'!$D$31="No")),1,0))))</f>
        <v/>
      </c>
      <c r="K399" s="27">
        <f>IF(J399=1,COUNTIF($J$2:J399,1),0)</f>
        <v/>
      </c>
    </row>
    <row r="400">
      <c r="I400" s="27">
        <f>IF(C400="",0,IFERROR(INDEX($E400:$H400,MATCH('Recepción'!$C$5,$E$1:$H$1,0)),0))</f>
        <v/>
      </c>
      <c r="J400" s="27">
        <f>IF(I400=0,0,IF(A400="S",1,IF(A400="BH",IF(COUNTIFS(A401:A501,"B",J401:J501,1)&gt;0,1,0),IF(OR(B400='Recepción'!$C$13,B400='Recepción'!$C$14,B400='Recepción'!$C$15,AND(B400="Contacto con líquido",'Recepción'!$D$29="Sí"),AND(B400="Golpe / Caída",'Recepción'!$D$28="Sí"),AND(B400="No enciende",'Recepción'!$D$31="No")),1,0))))</f>
        <v/>
      </c>
      <c r="K400" s="27">
        <f>IF(J400=1,COUNTIF($J$2:J400,1),0)</f>
        <v/>
      </c>
    </row>
    <row r="401">
      <c r="I401" s="27">
        <f>IF(C401="",0,IFERROR(INDEX($E401:$H401,MATCH('Recepción'!$C$5,$E$1:$H$1,0)),0))</f>
        <v/>
      </c>
      <c r="J401" s="27">
        <f>IF(I401=0,0,IF(A401="S",1,IF(A401="BH",IF(COUNTIFS(A402:A501,"B",J402:J501,1)&gt;0,1,0),IF(OR(B401='Recepción'!$C$13,B401='Recepción'!$C$14,B401='Recepción'!$C$15,AND(B401="Contacto con líquido",'Recepción'!$D$29="Sí"),AND(B401="Golpe / Caída",'Recepción'!$D$28="Sí"),AND(B401="No enciende",'Recepción'!$D$31="No")),1,0))))</f>
        <v/>
      </c>
      <c r="K401" s="27">
        <f>IF(J401=1,COUNTIF($J$2:J401,1),0)</f>
        <v/>
      </c>
    </row>
    <row r="402">
      <c r="I402" s="27">
        <f>IF(C402="",0,IFERROR(INDEX($E402:$H402,MATCH('Recepción'!$C$5,$E$1:$H$1,0)),0))</f>
        <v/>
      </c>
      <c r="J402" s="27">
        <f>IF(I402=0,0,IF(A402="S",1,IF(A402="BH",IF(COUNTIFS(A403:A501,"B",J403:J501,1)&gt;0,1,0),IF(OR(B402='Recepción'!$C$13,B402='Recepción'!$C$14,B402='Recepción'!$C$15,AND(B402="Contacto con líquido",'Recepción'!$D$29="Sí"),AND(B402="Golpe / Caída",'Recepción'!$D$28="Sí"),AND(B402="No enciende",'Recepción'!$D$31="No")),1,0))))</f>
        <v/>
      </c>
      <c r="K402" s="27">
        <f>IF(J402=1,COUNTIF($J$2:J402,1),0)</f>
        <v/>
      </c>
    </row>
    <row r="403">
      <c r="I403" s="27">
        <f>IF(C403="",0,IFERROR(INDEX($E403:$H403,MATCH('Recepción'!$C$5,$E$1:$H$1,0)),0))</f>
        <v/>
      </c>
      <c r="J403" s="27">
        <f>IF(I403=0,0,IF(A403="S",1,IF(A403="BH",IF(COUNTIFS(A404:A501,"B",J404:J501,1)&gt;0,1,0),IF(OR(B403='Recepción'!$C$13,B403='Recepción'!$C$14,B403='Recepción'!$C$15,AND(B403="Contacto con líquido",'Recepción'!$D$29="Sí"),AND(B403="Golpe / Caída",'Recepción'!$D$28="Sí"),AND(B403="No enciende",'Recepción'!$D$31="No")),1,0))))</f>
        <v/>
      </c>
      <c r="K403" s="27">
        <f>IF(J403=1,COUNTIF($J$2:J403,1),0)</f>
        <v/>
      </c>
    </row>
    <row r="404">
      <c r="I404" s="27">
        <f>IF(C404="",0,IFERROR(INDEX($E404:$H404,MATCH('Recepción'!$C$5,$E$1:$H$1,0)),0))</f>
        <v/>
      </c>
      <c r="J404" s="27">
        <f>IF(I404=0,0,IF(A404="S",1,IF(A404="BH",IF(COUNTIFS(A405:A501,"B",J405:J501,1)&gt;0,1,0),IF(OR(B404='Recepción'!$C$13,B404='Recepción'!$C$14,B404='Recepción'!$C$15,AND(B404="Contacto con líquido",'Recepción'!$D$29="Sí"),AND(B404="Golpe / Caída",'Recepción'!$D$28="Sí"),AND(B404="No enciende",'Recepción'!$D$31="No")),1,0))))</f>
        <v/>
      </c>
      <c r="K404" s="27">
        <f>IF(J404=1,COUNTIF($J$2:J404,1),0)</f>
        <v/>
      </c>
    </row>
    <row r="405">
      <c r="I405" s="27">
        <f>IF(C405="",0,IFERROR(INDEX($E405:$H405,MATCH('Recepción'!$C$5,$E$1:$H$1,0)),0))</f>
        <v/>
      </c>
      <c r="J405" s="27">
        <f>IF(I405=0,0,IF(A405="S",1,IF(A405="BH",IF(COUNTIFS(A406:A501,"B",J406:J501,1)&gt;0,1,0),IF(OR(B405='Recepción'!$C$13,B405='Recepción'!$C$14,B405='Recepción'!$C$15,AND(B405="Contacto con líquido",'Recepción'!$D$29="Sí"),AND(B405="Golpe / Caída",'Recepción'!$D$28="Sí"),AND(B405="No enciende",'Recepción'!$D$31="No")),1,0))))</f>
        <v/>
      </c>
      <c r="K405" s="27">
        <f>IF(J405=1,COUNTIF($J$2:J405,1),0)</f>
        <v/>
      </c>
    </row>
    <row r="406">
      <c r="I406" s="27">
        <f>IF(C406="",0,IFERROR(INDEX($E406:$H406,MATCH('Recepción'!$C$5,$E$1:$H$1,0)),0))</f>
        <v/>
      </c>
      <c r="J406" s="27">
        <f>IF(I406=0,0,IF(A406="S",1,IF(A406="BH",IF(COUNTIFS(A407:A501,"B",J407:J501,1)&gt;0,1,0),IF(OR(B406='Recepción'!$C$13,B406='Recepción'!$C$14,B406='Recepción'!$C$15,AND(B406="Contacto con líquido",'Recepción'!$D$29="Sí"),AND(B406="Golpe / Caída",'Recepción'!$D$28="Sí"),AND(B406="No enciende",'Recepción'!$D$31="No")),1,0))))</f>
        <v/>
      </c>
      <c r="K406" s="27">
        <f>IF(J406=1,COUNTIF($J$2:J406,1),0)</f>
        <v/>
      </c>
    </row>
    <row r="407">
      <c r="I407" s="27">
        <f>IF(C407="",0,IFERROR(INDEX($E407:$H407,MATCH('Recepción'!$C$5,$E$1:$H$1,0)),0))</f>
        <v/>
      </c>
      <c r="J407" s="27">
        <f>IF(I407=0,0,IF(A407="S",1,IF(A407="BH",IF(COUNTIFS(A408:A501,"B",J408:J501,1)&gt;0,1,0),IF(OR(B407='Recepción'!$C$13,B407='Recepción'!$C$14,B407='Recepción'!$C$15,AND(B407="Contacto con líquido",'Recepción'!$D$29="Sí"),AND(B407="Golpe / Caída",'Recepción'!$D$28="Sí"),AND(B407="No enciende",'Recepción'!$D$31="No")),1,0))))</f>
        <v/>
      </c>
      <c r="K407" s="27">
        <f>IF(J407=1,COUNTIF($J$2:J407,1),0)</f>
        <v/>
      </c>
    </row>
    <row r="408">
      <c r="I408" s="27">
        <f>IF(C408="",0,IFERROR(INDEX($E408:$H408,MATCH('Recepción'!$C$5,$E$1:$H$1,0)),0))</f>
        <v/>
      </c>
      <c r="J408" s="27">
        <f>IF(I408=0,0,IF(A408="S",1,IF(A408="BH",IF(COUNTIFS(A409:A501,"B",J409:J501,1)&gt;0,1,0),IF(OR(B408='Recepción'!$C$13,B408='Recepción'!$C$14,B408='Recepción'!$C$15,AND(B408="Contacto con líquido",'Recepción'!$D$29="Sí"),AND(B408="Golpe / Caída",'Recepción'!$D$28="Sí"),AND(B408="No enciende",'Recepción'!$D$31="No")),1,0))))</f>
        <v/>
      </c>
      <c r="K408" s="27">
        <f>IF(J408=1,COUNTIF($J$2:J408,1),0)</f>
        <v/>
      </c>
    </row>
    <row r="409">
      <c r="I409" s="27">
        <f>IF(C409="",0,IFERROR(INDEX($E409:$H409,MATCH('Recepción'!$C$5,$E$1:$H$1,0)),0))</f>
        <v/>
      </c>
      <c r="J409" s="27">
        <f>IF(I409=0,0,IF(A409="S",1,IF(A409="BH",IF(COUNTIFS(A410:A501,"B",J410:J501,1)&gt;0,1,0),IF(OR(B409='Recepción'!$C$13,B409='Recepción'!$C$14,B409='Recepción'!$C$15,AND(B409="Contacto con líquido",'Recepción'!$D$29="Sí"),AND(B409="Golpe / Caída",'Recepción'!$D$28="Sí"),AND(B409="No enciende",'Recepción'!$D$31="No")),1,0))))</f>
        <v/>
      </c>
      <c r="K409" s="27">
        <f>IF(J409=1,COUNTIF($J$2:J409,1),0)</f>
        <v/>
      </c>
    </row>
    <row r="410">
      <c r="I410" s="27">
        <f>IF(C410="",0,IFERROR(INDEX($E410:$H410,MATCH('Recepción'!$C$5,$E$1:$H$1,0)),0))</f>
        <v/>
      </c>
      <c r="J410" s="27">
        <f>IF(I410=0,0,IF(A410="S",1,IF(A410="BH",IF(COUNTIFS(A411:A501,"B",J411:J501,1)&gt;0,1,0),IF(OR(B410='Recepción'!$C$13,B410='Recepción'!$C$14,B410='Recepción'!$C$15,AND(B410="Contacto con líquido",'Recepción'!$D$29="Sí"),AND(B410="Golpe / Caída",'Recepción'!$D$28="Sí"),AND(B410="No enciende",'Recepción'!$D$31="No")),1,0))))</f>
        <v/>
      </c>
      <c r="K410" s="27">
        <f>IF(J410=1,COUNTIF($J$2:J410,1),0)</f>
        <v/>
      </c>
    </row>
    <row r="411">
      <c r="I411" s="27">
        <f>IF(C411="",0,IFERROR(INDEX($E411:$H411,MATCH('Recepción'!$C$5,$E$1:$H$1,0)),0))</f>
        <v/>
      </c>
      <c r="J411" s="27">
        <f>IF(I411=0,0,IF(A411="S",1,IF(A411="BH",IF(COUNTIFS(A412:A501,"B",J412:J501,1)&gt;0,1,0),IF(OR(B411='Recepción'!$C$13,B411='Recepción'!$C$14,B411='Recepción'!$C$15,AND(B411="Contacto con líquido",'Recepción'!$D$29="Sí"),AND(B411="Golpe / Caída",'Recepción'!$D$28="Sí"),AND(B411="No enciende",'Recepción'!$D$31="No")),1,0))))</f>
        <v/>
      </c>
      <c r="K411" s="27">
        <f>IF(J411=1,COUNTIF($J$2:J411,1),0)</f>
        <v/>
      </c>
    </row>
    <row r="412">
      <c r="I412" s="27">
        <f>IF(C412="",0,IFERROR(INDEX($E412:$H412,MATCH('Recepción'!$C$5,$E$1:$H$1,0)),0))</f>
        <v/>
      </c>
      <c r="J412" s="27">
        <f>IF(I412=0,0,IF(A412="S",1,IF(A412="BH",IF(COUNTIFS(A413:A501,"B",J413:J501,1)&gt;0,1,0),IF(OR(B412='Recepción'!$C$13,B412='Recepción'!$C$14,B412='Recepción'!$C$15,AND(B412="Contacto con líquido",'Recepción'!$D$29="Sí"),AND(B412="Golpe / Caída",'Recepción'!$D$28="Sí"),AND(B412="No enciende",'Recepción'!$D$31="No")),1,0))))</f>
        <v/>
      </c>
      <c r="K412" s="27">
        <f>IF(J412=1,COUNTIF($J$2:J412,1),0)</f>
        <v/>
      </c>
    </row>
    <row r="413">
      <c r="I413" s="27">
        <f>IF(C413="",0,IFERROR(INDEX($E413:$H413,MATCH('Recepción'!$C$5,$E$1:$H$1,0)),0))</f>
        <v/>
      </c>
      <c r="J413" s="27">
        <f>IF(I413=0,0,IF(A413="S",1,IF(A413="BH",IF(COUNTIFS(A414:A501,"B",J414:J501,1)&gt;0,1,0),IF(OR(B413='Recepción'!$C$13,B413='Recepción'!$C$14,B413='Recepción'!$C$15,AND(B413="Contacto con líquido",'Recepción'!$D$29="Sí"),AND(B413="Golpe / Caída",'Recepción'!$D$28="Sí"),AND(B413="No enciende",'Recepción'!$D$31="No")),1,0))))</f>
        <v/>
      </c>
      <c r="K413" s="27">
        <f>IF(J413=1,COUNTIF($J$2:J413,1),0)</f>
        <v/>
      </c>
    </row>
    <row r="414">
      <c r="I414" s="27">
        <f>IF(C414="",0,IFERROR(INDEX($E414:$H414,MATCH('Recepción'!$C$5,$E$1:$H$1,0)),0))</f>
        <v/>
      </c>
      <c r="J414" s="27">
        <f>IF(I414=0,0,IF(A414="S",1,IF(A414="BH",IF(COUNTIFS(A415:A501,"B",J415:J501,1)&gt;0,1,0),IF(OR(B414='Recepción'!$C$13,B414='Recepción'!$C$14,B414='Recepción'!$C$15,AND(B414="Contacto con líquido",'Recepción'!$D$29="Sí"),AND(B414="Golpe / Caída",'Recepción'!$D$28="Sí"),AND(B414="No enciende",'Recepción'!$D$31="No")),1,0))))</f>
        <v/>
      </c>
      <c r="K414" s="27">
        <f>IF(J414=1,COUNTIF($J$2:J414,1),0)</f>
        <v/>
      </c>
    </row>
    <row r="415">
      <c r="I415" s="27">
        <f>IF(C415="",0,IFERROR(INDEX($E415:$H415,MATCH('Recepción'!$C$5,$E$1:$H$1,0)),0))</f>
        <v/>
      </c>
      <c r="J415" s="27">
        <f>IF(I415=0,0,IF(A415="S",1,IF(A415="BH",IF(COUNTIFS(A416:A501,"B",J416:J501,1)&gt;0,1,0),IF(OR(B415='Recepción'!$C$13,B415='Recepción'!$C$14,B415='Recepción'!$C$15,AND(B415="Contacto con líquido",'Recepción'!$D$29="Sí"),AND(B415="Golpe / Caída",'Recepción'!$D$28="Sí"),AND(B415="No enciende",'Recepción'!$D$31="No")),1,0))))</f>
        <v/>
      </c>
      <c r="K415" s="27">
        <f>IF(J415=1,COUNTIF($J$2:J415,1),0)</f>
        <v/>
      </c>
    </row>
    <row r="416">
      <c r="I416" s="27">
        <f>IF(C416="",0,IFERROR(INDEX($E416:$H416,MATCH('Recepción'!$C$5,$E$1:$H$1,0)),0))</f>
        <v/>
      </c>
      <c r="J416" s="27">
        <f>IF(I416=0,0,IF(A416="S",1,IF(A416="BH",IF(COUNTIFS(A417:A501,"B",J417:J501,1)&gt;0,1,0),IF(OR(B416='Recepción'!$C$13,B416='Recepción'!$C$14,B416='Recepción'!$C$15,AND(B416="Contacto con líquido",'Recepción'!$D$29="Sí"),AND(B416="Golpe / Caída",'Recepción'!$D$28="Sí"),AND(B416="No enciende",'Recepción'!$D$31="No")),1,0))))</f>
        <v/>
      </c>
      <c r="K416" s="27">
        <f>IF(J416=1,COUNTIF($J$2:J416,1),0)</f>
        <v/>
      </c>
    </row>
    <row r="417">
      <c r="I417" s="27">
        <f>IF(C417="",0,IFERROR(INDEX($E417:$H417,MATCH('Recepción'!$C$5,$E$1:$H$1,0)),0))</f>
        <v/>
      </c>
      <c r="J417" s="27">
        <f>IF(I417=0,0,IF(A417="S",1,IF(A417="BH",IF(COUNTIFS(A418:A501,"B",J418:J501,1)&gt;0,1,0),IF(OR(B417='Recepción'!$C$13,B417='Recepción'!$C$14,B417='Recepción'!$C$15,AND(B417="Contacto con líquido",'Recepción'!$D$29="Sí"),AND(B417="Golpe / Caída",'Recepción'!$D$28="Sí"),AND(B417="No enciende",'Recepción'!$D$31="No")),1,0))))</f>
        <v/>
      </c>
      <c r="K417" s="27">
        <f>IF(J417=1,COUNTIF($J$2:J417,1),0)</f>
        <v/>
      </c>
    </row>
    <row r="418">
      <c r="I418" s="27">
        <f>IF(C418="",0,IFERROR(INDEX($E418:$H418,MATCH('Recepción'!$C$5,$E$1:$H$1,0)),0))</f>
        <v/>
      </c>
      <c r="J418" s="27">
        <f>IF(I418=0,0,IF(A418="S",1,IF(A418="BH",IF(COUNTIFS(A419:A501,"B",J419:J501,1)&gt;0,1,0),IF(OR(B418='Recepción'!$C$13,B418='Recepción'!$C$14,B418='Recepción'!$C$15,AND(B418="Contacto con líquido",'Recepción'!$D$29="Sí"),AND(B418="Golpe / Caída",'Recepción'!$D$28="Sí"),AND(B418="No enciende",'Recepción'!$D$31="No")),1,0))))</f>
        <v/>
      </c>
      <c r="K418" s="27">
        <f>IF(J418=1,COUNTIF($J$2:J418,1),0)</f>
        <v/>
      </c>
    </row>
    <row r="419">
      <c r="I419" s="27">
        <f>IF(C419="",0,IFERROR(INDEX($E419:$H419,MATCH('Recepción'!$C$5,$E$1:$H$1,0)),0))</f>
        <v/>
      </c>
      <c r="J419" s="27">
        <f>IF(I419=0,0,IF(A419="S",1,IF(A419="BH",IF(COUNTIFS(A420:A501,"B",J420:J501,1)&gt;0,1,0),IF(OR(B419='Recepción'!$C$13,B419='Recepción'!$C$14,B419='Recepción'!$C$15,AND(B419="Contacto con líquido",'Recepción'!$D$29="Sí"),AND(B419="Golpe / Caída",'Recepción'!$D$28="Sí"),AND(B419="No enciende",'Recepción'!$D$31="No")),1,0))))</f>
        <v/>
      </c>
      <c r="K419" s="27">
        <f>IF(J419=1,COUNTIF($J$2:J419,1),0)</f>
        <v/>
      </c>
    </row>
    <row r="420">
      <c r="I420" s="27">
        <f>IF(C420="",0,IFERROR(INDEX($E420:$H420,MATCH('Recepción'!$C$5,$E$1:$H$1,0)),0))</f>
        <v/>
      </c>
      <c r="J420" s="27">
        <f>IF(I420=0,0,IF(A420="S",1,IF(A420="BH",IF(COUNTIFS(A421:A501,"B",J421:J501,1)&gt;0,1,0),IF(OR(B420='Recepción'!$C$13,B420='Recepción'!$C$14,B420='Recepción'!$C$15,AND(B420="Contacto con líquido",'Recepción'!$D$29="Sí"),AND(B420="Golpe / Caída",'Recepción'!$D$28="Sí"),AND(B420="No enciende",'Recepción'!$D$31="No")),1,0))))</f>
        <v/>
      </c>
      <c r="K420" s="27">
        <f>IF(J420=1,COUNTIF($J$2:J420,1),0)</f>
        <v/>
      </c>
    </row>
    <row r="421">
      <c r="I421" s="27">
        <f>IF(C421="",0,IFERROR(INDEX($E421:$H421,MATCH('Recepción'!$C$5,$E$1:$H$1,0)),0))</f>
        <v/>
      </c>
      <c r="J421" s="27">
        <f>IF(I421=0,0,IF(A421="S",1,IF(A421="BH",IF(COUNTIFS(A422:A501,"B",J422:J501,1)&gt;0,1,0),IF(OR(B421='Recepción'!$C$13,B421='Recepción'!$C$14,B421='Recepción'!$C$15,AND(B421="Contacto con líquido",'Recepción'!$D$29="Sí"),AND(B421="Golpe / Caída",'Recepción'!$D$28="Sí"),AND(B421="No enciende",'Recepción'!$D$31="No")),1,0))))</f>
        <v/>
      </c>
      <c r="K421" s="27">
        <f>IF(J421=1,COUNTIF($J$2:J421,1),0)</f>
        <v/>
      </c>
    </row>
    <row r="422">
      <c r="I422" s="27">
        <f>IF(C422="",0,IFERROR(INDEX($E422:$H422,MATCH('Recepción'!$C$5,$E$1:$H$1,0)),0))</f>
        <v/>
      </c>
      <c r="J422" s="27">
        <f>IF(I422=0,0,IF(A422="S",1,IF(A422="BH",IF(COUNTIFS(A423:A501,"B",J423:J501,1)&gt;0,1,0),IF(OR(B422='Recepción'!$C$13,B422='Recepción'!$C$14,B422='Recepción'!$C$15,AND(B422="Contacto con líquido",'Recepción'!$D$29="Sí"),AND(B422="Golpe / Caída",'Recepción'!$D$28="Sí"),AND(B422="No enciende",'Recepción'!$D$31="No")),1,0))))</f>
        <v/>
      </c>
      <c r="K422" s="27">
        <f>IF(J422=1,COUNTIF($J$2:J422,1),0)</f>
        <v/>
      </c>
    </row>
    <row r="423">
      <c r="I423" s="27">
        <f>IF(C423="",0,IFERROR(INDEX($E423:$H423,MATCH('Recepción'!$C$5,$E$1:$H$1,0)),0))</f>
        <v/>
      </c>
      <c r="J423" s="27">
        <f>IF(I423=0,0,IF(A423="S",1,IF(A423="BH",IF(COUNTIFS(A424:A501,"B",J424:J501,1)&gt;0,1,0),IF(OR(B423='Recepción'!$C$13,B423='Recepción'!$C$14,B423='Recepción'!$C$15,AND(B423="Contacto con líquido",'Recepción'!$D$29="Sí"),AND(B423="Golpe / Caída",'Recepción'!$D$28="Sí"),AND(B423="No enciende",'Recepción'!$D$31="No")),1,0))))</f>
        <v/>
      </c>
      <c r="K423" s="27">
        <f>IF(J423=1,COUNTIF($J$2:J423,1),0)</f>
        <v/>
      </c>
    </row>
    <row r="424">
      <c r="I424" s="27">
        <f>IF(C424="",0,IFERROR(INDEX($E424:$H424,MATCH('Recepción'!$C$5,$E$1:$H$1,0)),0))</f>
        <v/>
      </c>
      <c r="J424" s="27">
        <f>IF(I424=0,0,IF(A424="S",1,IF(A424="BH",IF(COUNTIFS(A425:A501,"B",J425:J501,1)&gt;0,1,0),IF(OR(B424='Recepción'!$C$13,B424='Recepción'!$C$14,B424='Recepción'!$C$15,AND(B424="Contacto con líquido",'Recepción'!$D$29="Sí"),AND(B424="Golpe / Caída",'Recepción'!$D$28="Sí"),AND(B424="No enciende",'Recepción'!$D$31="No")),1,0))))</f>
        <v/>
      </c>
      <c r="K424" s="27">
        <f>IF(J424=1,COUNTIF($J$2:J424,1),0)</f>
        <v/>
      </c>
    </row>
    <row r="425">
      <c r="I425" s="27">
        <f>IF(C425="",0,IFERROR(INDEX($E425:$H425,MATCH('Recepción'!$C$5,$E$1:$H$1,0)),0))</f>
        <v/>
      </c>
      <c r="J425" s="27">
        <f>IF(I425=0,0,IF(A425="S",1,IF(A425="BH",IF(COUNTIFS(A426:A501,"B",J426:J501,1)&gt;0,1,0),IF(OR(B425='Recepción'!$C$13,B425='Recepción'!$C$14,B425='Recepción'!$C$15,AND(B425="Contacto con líquido",'Recepción'!$D$29="Sí"),AND(B425="Golpe / Caída",'Recepción'!$D$28="Sí"),AND(B425="No enciende",'Recepción'!$D$31="No")),1,0))))</f>
        <v/>
      </c>
      <c r="K425" s="27">
        <f>IF(J425=1,COUNTIF($J$2:J425,1),0)</f>
        <v/>
      </c>
    </row>
    <row r="426">
      <c r="I426" s="27">
        <f>IF(C426="",0,IFERROR(INDEX($E426:$H426,MATCH('Recepción'!$C$5,$E$1:$H$1,0)),0))</f>
        <v/>
      </c>
      <c r="J426" s="27">
        <f>IF(I426=0,0,IF(A426="S",1,IF(A426="BH",IF(COUNTIFS(A427:A501,"B",J427:J501,1)&gt;0,1,0),IF(OR(B426='Recepción'!$C$13,B426='Recepción'!$C$14,B426='Recepción'!$C$15,AND(B426="Contacto con líquido",'Recepción'!$D$29="Sí"),AND(B426="Golpe / Caída",'Recepción'!$D$28="Sí"),AND(B426="No enciende",'Recepción'!$D$31="No")),1,0))))</f>
        <v/>
      </c>
      <c r="K426" s="27">
        <f>IF(J426=1,COUNTIF($J$2:J426,1),0)</f>
        <v/>
      </c>
    </row>
    <row r="427">
      <c r="I427" s="27">
        <f>IF(C427="",0,IFERROR(INDEX($E427:$H427,MATCH('Recepción'!$C$5,$E$1:$H$1,0)),0))</f>
        <v/>
      </c>
      <c r="J427" s="27">
        <f>IF(I427=0,0,IF(A427="S",1,IF(A427="BH",IF(COUNTIFS(A428:A501,"B",J428:J501,1)&gt;0,1,0),IF(OR(B427='Recepción'!$C$13,B427='Recepción'!$C$14,B427='Recepción'!$C$15,AND(B427="Contacto con líquido",'Recepción'!$D$29="Sí"),AND(B427="Golpe / Caída",'Recepción'!$D$28="Sí"),AND(B427="No enciende",'Recepción'!$D$31="No")),1,0))))</f>
        <v/>
      </c>
      <c r="K427" s="27">
        <f>IF(J427=1,COUNTIF($J$2:J427,1),0)</f>
        <v/>
      </c>
    </row>
    <row r="428">
      <c r="I428" s="27">
        <f>IF(C428="",0,IFERROR(INDEX($E428:$H428,MATCH('Recepción'!$C$5,$E$1:$H$1,0)),0))</f>
        <v/>
      </c>
      <c r="J428" s="27">
        <f>IF(I428=0,0,IF(A428="S",1,IF(A428="BH",IF(COUNTIFS(A429:A501,"B",J429:J501,1)&gt;0,1,0),IF(OR(B428='Recepción'!$C$13,B428='Recepción'!$C$14,B428='Recepción'!$C$15,AND(B428="Contacto con líquido",'Recepción'!$D$29="Sí"),AND(B428="Golpe / Caída",'Recepción'!$D$28="Sí"),AND(B428="No enciende",'Recepción'!$D$31="No")),1,0))))</f>
        <v/>
      </c>
      <c r="K428" s="27">
        <f>IF(J428=1,COUNTIF($J$2:J428,1),0)</f>
        <v/>
      </c>
    </row>
    <row r="429">
      <c r="I429" s="27">
        <f>IF(C429="",0,IFERROR(INDEX($E429:$H429,MATCH('Recepción'!$C$5,$E$1:$H$1,0)),0))</f>
        <v/>
      </c>
      <c r="J429" s="27">
        <f>IF(I429=0,0,IF(A429="S",1,IF(A429="BH",IF(COUNTIFS(A430:A501,"B",J430:J501,1)&gt;0,1,0),IF(OR(B429='Recepción'!$C$13,B429='Recepción'!$C$14,B429='Recepción'!$C$15,AND(B429="Contacto con líquido",'Recepción'!$D$29="Sí"),AND(B429="Golpe / Caída",'Recepción'!$D$28="Sí"),AND(B429="No enciende",'Recepción'!$D$31="No")),1,0))))</f>
        <v/>
      </c>
      <c r="K429" s="27">
        <f>IF(J429=1,COUNTIF($J$2:J429,1),0)</f>
        <v/>
      </c>
    </row>
    <row r="430">
      <c r="I430" s="27">
        <f>IF(C430="",0,IFERROR(INDEX($E430:$H430,MATCH('Recepción'!$C$5,$E$1:$H$1,0)),0))</f>
        <v/>
      </c>
      <c r="J430" s="27">
        <f>IF(I430=0,0,IF(A430="S",1,IF(A430="BH",IF(COUNTIFS(A431:A501,"B",J431:J501,1)&gt;0,1,0),IF(OR(B430='Recepción'!$C$13,B430='Recepción'!$C$14,B430='Recepción'!$C$15,AND(B430="Contacto con líquido",'Recepción'!$D$29="Sí"),AND(B430="Golpe / Caída",'Recepción'!$D$28="Sí"),AND(B430="No enciende",'Recepción'!$D$31="No")),1,0))))</f>
        <v/>
      </c>
      <c r="K430" s="27">
        <f>IF(J430=1,COUNTIF($J$2:J430,1),0)</f>
        <v/>
      </c>
    </row>
    <row r="431">
      <c r="I431" s="27">
        <f>IF(C431="",0,IFERROR(INDEX($E431:$H431,MATCH('Recepción'!$C$5,$E$1:$H$1,0)),0))</f>
        <v/>
      </c>
      <c r="J431" s="27">
        <f>IF(I431=0,0,IF(A431="S",1,IF(A431="BH",IF(COUNTIFS(A432:A501,"B",J432:J501,1)&gt;0,1,0),IF(OR(B431='Recepción'!$C$13,B431='Recepción'!$C$14,B431='Recepción'!$C$15,AND(B431="Contacto con líquido",'Recepción'!$D$29="Sí"),AND(B431="Golpe / Caída",'Recepción'!$D$28="Sí"),AND(B431="No enciende",'Recepción'!$D$31="No")),1,0))))</f>
        <v/>
      </c>
      <c r="K431" s="27">
        <f>IF(J431=1,COUNTIF($J$2:J431,1),0)</f>
        <v/>
      </c>
    </row>
    <row r="432">
      <c r="I432" s="27">
        <f>IF(C432="",0,IFERROR(INDEX($E432:$H432,MATCH('Recepción'!$C$5,$E$1:$H$1,0)),0))</f>
        <v/>
      </c>
      <c r="J432" s="27">
        <f>IF(I432=0,0,IF(A432="S",1,IF(A432="BH",IF(COUNTIFS(A433:A501,"B",J433:J501,1)&gt;0,1,0),IF(OR(B432='Recepción'!$C$13,B432='Recepción'!$C$14,B432='Recepción'!$C$15,AND(B432="Contacto con líquido",'Recepción'!$D$29="Sí"),AND(B432="Golpe / Caída",'Recepción'!$D$28="Sí"),AND(B432="No enciende",'Recepción'!$D$31="No")),1,0))))</f>
        <v/>
      </c>
      <c r="K432" s="27">
        <f>IF(J432=1,COUNTIF($J$2:J432,1),0)</f>
        <v/>
      </c>
    </row>
    <row r="433">
      <c r="I433" s="27">
        <f>IF(C433="",0,IFERROR(INDEX($E433:$H433,MATCH('Recepción'!$C$5,$E$1:$H$1,0)),0))</f>
        <v/>
      </c>
      <c r="J433" s="27">
        <f>IF(I433=0,0,IF(A433="S",1,IF(A433="BH",IF(COUNTIFS(A434:A501,"B",J434:J501,1)&gt;0,1,0),IF(OR(B433='Recepción'!$C$13,B433='Recepción'!$C$14,B433='Recepción'!$C$15,AND(B433="Contacto con líquido",'Recepción'!$D$29="Sí"),AND(B433="Golpe / Caída",'Recepción'!$D$28="Sí"),AND(B433="No enciende",'Recepción'!$D$31="No")),1,0))))</f>
        <v/>
      </c>
      <c r="K433" s="27">
        <f>IF(J433=1,COUNTIF($J$2:J433,1),0)</f>
        <v/>
      </c>
    </row>
    <row r="434">
      <c r="I434" s="27">
        <f>IF(C434="",0,IFERROR(INDEX($E434:$H434,MATCH('Recepción'!$C$5,$E$1:$H$1,0)),0))</f>
        <v/>
      </c>
      <c r="J434" s="27">
        <f>IF(I434=0,0,IF(A434="S",1,IF(A434="BH",IF(COUNTIFS(A435:A501,"B",J435:J501,1)&gt;0,1,0),IF(OR(B434='Recepción'!$C$13,B434='Recepción'!$C$14,B434='Recepción'!$C$15,AND(B434="Contacto con líquido",'Recepción'!$D$29="Sí"),AND(B434="Golpe / Caída",'Recepción'!$D$28="Sí"),AND(B434="No enciende",'Recepción'!$D$31="No")),1,0))))</f>
        <v/>
      </c>
      <c r="K434" s="27">
        <f>IF(J434=1,COUNTIF($J$2:J434,1),0)</f>
        <v/>
      </c>
    </row>
    <row r="435">
      <c r="I435" s="27">
        <f>IF(C435="",0,IFERROR(INDEX($E435:$H435,MATCH('Recepción'!$C$5,$E$1:$H$1,0)),0))</f>
        <v/>
      </c>
      <c r="J435" s="27">
        <f>IF(I435=0,0,IF(A435="S",1,IF(A435="BH",IF(COUNTIFS(A436:A501,"B",J436:J501,1)&gt;0,1,0),IF(OR(B435='Recepción'!$C$13,B435='Recepción'!$C$14,B435='Recepción'!$C$15,AND(B435="Contacto con líquido",'Recepción'!$D$29="Sí"),AND(B435="Golpe / Caída",'Recepción'!$D$28="Sí"),AND(B435="No enciende",'Recepción'!$D$31="No")),1,0))))</f>
        <v/>
      </c>
      <c r="K435" s="27">
        <f>IF(J435=1,COUNTIF($J$2:J435,1),0)</f>
        <v/>
      </c>
    </row>
    <row r="436">
      <c r="I436" s="27">
        <f>IF(C436="",0,IFERROR(INDEX($E436:$H436,MATCH('Recepción'!$C$5,$E$1:$H$1,0)),0))</f>
        <v/>
      </c>
      <c r="J436" s="27">
        <f>IF(I436=0,0,IF(A436="S",1,IF(A436="BH",IF(COUNTIFS(A437:A501,"B",J437:J501,1)&gt;0,1,0),IF(OR(B436='Recepción'!$C$13,B436='Recepción'!$C$14,B436='Recepción'!$C$15,AND(B436="Contacto con líquido",'Recepción'!$D$29="Sí"),AND(B436="Golpe / Caída",'Recepción'!$D$28="Sí"),AND(B436="No enciende",'Recepción'!$D$31="No")),1,0))))</f>
        <v/>
      </c>
      <c r="K436" s="27">
        <f>IF(J436=1,COUNTIF($J$2:J436,1),0)</f>
        <v/>
      </c>
    </row>
    <row r="437">
      <c r="I437" s="27">
        <f>IF(C437="",0,IFERROR(INDEX($E437:$H437,MATCH('Recepción'!$C$5,$E$1:$H$1,0)),0))</f>
        <v/>
      </c>
      <c r="J437" s="27">
        <f>IF(I437=0,0,IF(A437="S",1,IF(A437="BH",IF(COUNTIFS(A438:A501,"B",J438:J501,1)&gt;0,1,0),IF(OR(B437='Recepción'!$C$13,B437='Recepción'!$C$14,B437='Recepción'!$C$15,AND(B437="Contacto con líquido",'Recepción'!$D$29="Sí"),AND(B437="Golpe / Caída",'Recepción'!$D$28="Sí"),AND(B437="No enciende",'Recepción'!$D$31="No")),1,0))))</f>
        <v/>
      </c>
      <c r="K437" s="27">
        <f>IF(J437=1,COUNTIF($J$2:J437,1),0)</f>
        <v/>
      </c>
    </row>
    <row r="438">
      <c r="I438" s="27">
        <f>IF(C438="",0,IFERROR(INDEX($E438:$H438,MATCH('Recepción'!$C$5,$E$1:$H$1,0)),0))</f>
        <v/>
      </c>
      <c r="J438" s="27">
        <f>IF(I438=0,0,IF(A438="S",1,IF(A438="BH",IF(COUNTIFS(A439:A501,"B",J439:J501,1)&gt;0,1,0),IF(OR(B438='Recepción'!$C$13,B438='Recepción'!$C$14,B438='Recepción'!$C$15,AND(B438="Contacto con líquido",'Recepción'!$D$29="Sí"),AND(B438="Golpe / Caída",'Recepción'!$D$28="Sí"),AND(B438="No enciende",'Recepción'!$D$31="No")),1,0))))</f>
        <v/>
      </c>
      <c r="K438" s="27">
        <f>IF(J438=1,COUNTIF($J$2:J438,1),0)</f>
        <v/>
      </c>
    </row>
    <row r="439">
      <c r="I439" s="27">
        <f>IF(C439="",0,IFERROR(INDEX($E439:$H439,MATCH('Recepción'!$C$5,$E$1:$H$1,0)),0))</f>
        <v/>
      </c>
      <c r="J439" s="27">
        <f>IF(I439=0,0,IF(A439="S",1,IF(A439="BH",IF(COUNTIFS(A440:A501,"B",J440:J501,1)&gt;0,1,0),IF(OR(B439='Recepción'!$C$13,B439='Recepción'!$C$14,B439='Recepción'!$C$15,AND(B439="Contacto con líquido",'Recepción'!$D$29="Sí"),AND(B439="Golpe / Caída",'Recepción'!$D$28="Sí"),AND(B439="No enciende",'Recepción'!$D$31="No")),1,0))))</f>
        <v/>
      </c>
      <c r="K439" s="27">
        <f>IF(J439=1,COUNTIF($J$2:J439,1),0)</f>
        <v/>
      </c>
    </row>
    <row r="440">
      <c r="I440" s="27">
        <f>IF(C440="",0,IFERROR(INDEX($E440:$H440,MATCH('Recepción'!$C$5,$E$1:$H$1,0)),0))</f>
        <v/>
      </c>
      <c r="J440" s="27">
        <f>IF(I440=0,0,IF(A440="S",1,IF(A440="BH",IF(COUNTIFS(A441:A501,"B",J441:J501,1)&gt;0,1,0),IF(OR(B440='Recepción'!$C$13,B440='Recepción'!$C$14,B440='Recepción'!$C$15,AND(B440="Contacto con líquido",'Recepción'!$D$29="Sí"),AND(B440="Golpe / Caída",'Recepción'!$D$28="Sí"),AND(B440="No enciende",'Recepción'!$D$31="No")),1,0))))</f>
        <v/>
      </c>
      <c r="K440" s="27">
        <f>IF(J440=1,COUNTIF($J$2:J440,1),0)</f>
        <v/>
      </c>
    </row>
    <row r="441">
      <c r="I441" s="27">
        <f>IF(C441="",0,IFERROR(INDEX($E441:$H441,MATCH('Recepción'!$C$5,$E$1:$H$1,0)),0))</f>
        <v/>
      </c>
      <c r="J441" s="27">
        <f>IF(I441=0,0,IF(A441="S",1,IF(A441="BH",IF(COUNTIFS(A442:A501,"B",J442:J501,1)&gt;0,1,0),IF(OR(B441='Recepción'!$C$13,B441='Recepción'!$C$14,B441='Recepción'!$C$15,AND(B441="Contacto con líquido",'Recepción'!$D$29="Sí"),AND(B441="Golpe / Caída",'Recepción'!$D$28="Sí"),AND(B441="No enciende",'Recepción'!$D$31="No")),1,0))))</f>
        <v/>
      </c>
      <c r="K441" s="27">
        <f>IF(J441=1,COUNTIF($J$2:J441,1),0)</f>
        <v/>
      </c>
    </row>
    <row r="442">
      <c r="I442" s="27">
        <f>IF(C442="",0,IFERROR(INDEX($E442:$H442,MATCH('Recepción'!$C$5,$E$1:$H$1,0)),0))</f>
        <v/>
      </c>
      <c r="J442" s="27">
        <f>IF(I442=0,0,IF(A442="S",1,IF(A442="BH",IF(COUNTIFS(A443:A501,"B",J443:J501,1)&gt;0,1,0),IF(OR(B442='Recepción'!$C$13,B442='Recepción'!$C$14,B442='Recepción'!$C$15,AND(B442="Contacto con líquido",'Recepción'!$D$29="Sí"),AND(B442="Golpe / Caída",'Recepción'!$D$28="Sí"),AND(B442="No enciende",'Recepción'!$D$31="No")),1,0))))</f>
        <v/>
      </c>
      <c r="K442" s="27">
        <f>IF(J442=1,COUNTIF($J$2:J442,1),0)</f>
        <v/>
      </c>
    </row>
    <row r="443">
      <c r="I443" s="27">
        <f>IF(C443="",0,IFERROR(INDEX($E443:$H443,MATCH('Recepción'!$C$5,$E$1:$H$1,0)),0))</f>
        <v/>
      </c>
      <c r="J443" s="27">
        <f>IF(I443=0,0,IF(A443="S",1,IF(A443="BH",IF(COUNTIFS(A444:A501,"B",J444:J501,1)&gt;0,1,0),IF(OR(B443='Recepción'!$C$13,B443='Recepción'!$C$14,B443='Recepción'!$C$15,AND(B443="Contacto con líquido",'Recepción'!$D$29="Sí"),AND(B443="Golpe / Caída",'Recepción'!$D$28="Sí"),AND(B443="No enciende",'Recepción'!$D$31="No")),1,0))))</f>
        <v/>
      </c>
      <c r="K443" s="27">
        <f>IF(J443=1,COUNTIF($J$2:J443,1),0)</f>
        <v/>
      </c>
    </row>
    <row r="444">
      <c r="I444" s="27">
        <f>IF(C444="",0,IFERROR(INDEX($E444:$H444,MATCH('Recepción'!$C$5,$E$1:$H$1,0)),0))</f>
        <v/>
      </c>
      <c r="J444" s="27">
        <f>IF(I444=0,0,IF(A444="S",1,IF(A444="BH",IF(COUNTIFS(A445:A501,"B",J445:J501,1)&gt;0,1,0),IF(OR(B444='Recepción'!$C$13,B444='Recepción'!$C$14,B444='Recepción'!$C$15,AND(B444="Contacto con líquido",'Recepción'!$D$29="Sí"),AND(B444="Golpe / Caída",'Recepción'!$D$28="Sí"),AND(B444="No enciende",'Recepción'!$D$31="No")),1,0))))</f>
        <v/>
      </c>
      <c r="K444" s="27">
        <f>IF(J444=1,COUNTIF($J$2:J444,1),0)</f>
        <v/>
      </c>
    </row>
    <row r="445">
      <c r="I445" s="27">
        <f>IF(C445="",0,IFERROR(INDEX($E445:$H445,MATCH('Recepción'!$C$5,$E$1:$H$1,0)),0))</f>
        <v/>
      </c>
      <c r="J445" s="27">
        <f>IF(I445=0,0,IF(A445="S",1,IF(A445="BH",IF(COUNTIFS(A446:A501,"B",J446:J501,1)&gt;0,1,0),IF(OR(B445='Recepción'!$C$13,B445='Recepción'!$C$14,B445='Recepción'!$C$15,AND(B445="Contacto con líquido",'Recepción'!$D$29="Sí"),AND(B445="Golpe / Caída",'Recepción'!$D$28="Sí"),AND(B445="No enciende",'Recepción'!$D$31="No")),1,0))))</f>
        <v/>
      </c>
      <c r="K445" s="27">
        <f>IF(J445=1,COUNTIF($J$2:J445,1),0)</f>
        <v/>
      </c>
    </row>
    <row r="446">
      <c r="I446" s="27">
        <f>IF(C446="",0,IFERROR(INDEX($E446:$H446,MATCH('Recepción'!$C$5,$E$1:$H$1,0)),0))</f>
        <v/>
      </c>
      <c r="J446" s="27">
        <f>IF(I446=0,0,IF(A446="S",1,IF(A446="BH",IF(COUNTIFS(A447:A501,"B",J447:J501,1)&gt;0,1,0),IF(OR(B446='Recepción'!$C$13,B446='Recepción'!$C$14,B446='Recepción'!$C$15,AND(B446="Contacto con líquido",'Recepción'!$D$29="Sí"),AND(B446="Golpe / Caída",'Recepción'!$D$28="Sí"),AND(B446="No enciende",'Recepción'!$D$31="No")),1,0))))</f>
        <v/>
      </c>
      <c r="K446" s="27">
        <f>IF(J446=1,COUNTIF($J$2:J446,1),0)</f>
        <v/>
      </c>
    </row>
    <row r="447">
      <c r="I447" s="27">
        <f>IF(C447="",0,IFERROR(INDEX($E447:$H447,MATCH('Recepción'!$C$5,$E$1:$H$1,0)),0))</f>
        <v/>
      </c>
      <c r="J447" s="27">
        <f>IF(I447=0,0,IF(A447="S",1,IF(A447="BH",IF(COUNTIFS(A448:A501,"B",J448:J501,1)&gt;0,1,0),IF(OR(B447='Recepción'!$C$13,B447='Recepción'!$C$14,B447='Recepción'!$C$15,AND(B447="Contacto con líquido",'Recepción'!$D$29="Sí"),AND(B447="Golpe / Caída",'Recepción'!$D$28="Sí"),AND(B447="No enciende",'Recepción'!$D$31="No")),1,0))))</f>
        <v/>
      </c>
      <c r="K447" s="27">
        <f>IF(J447=1,COUNTIF($J$2:J447,1),0)</f>
        <v/>
      </c>
    </row>
    <row r="448">
      <c r="I448" s="27">
        <f>IF(C448="",0,IFERROR(INDEX($E448:$H448,MATCH('Recepción'!$C$5,$E$1:$H$1,0)),0))</f>
        <v/>
      </c>
      <c r="J448" s="27">
        <f>IF(I448=0,0,IF(A448="S",1,IF(A448="BH",IF(COUNTIFS(A449:A501,"B",J449:J501,1)&gt;0,1,0),IF(OR(B448='Recepción'!$C$13,B448='Recepción'!$C$14,B448='Recepción'!$C$15,AND(B448="Contacto con líquido",'Recepción'!$D$29="Sí"),AND(B448="Golpe / Caída",'Recepción'!$D$28="Sí"),AND(B448="No enciende",'Recepción'!$D$31="No")),1,0))))</f>
        <v/>
      </c>
      <c r="K448" s="27">
        <f>IF(J448=1,COUNTIF($J$2:J448,1),0)</f>
        <v/>
      </c>
    </row>
    <row r="449">
      <c r="I449" s="27">
        <f>IF(C449="",0,IFERROR(INDEX($E449:$H449,MATCH('Recepción'!$C$5,$E$1:$H$1,0)),0))</f>
        <v/>
      </c>
      <c r="J449" s="27">
        <f>IF(I449=0,0,IF(A449="S",1,IF(A449="BH",IF(COUNTIFS(A450:A501,"B",J450:J501,1)&gt;0,1,0),IF(OR(B449='Recepción'!$C$13,B449='Recepción'!$C$14,B449='Recepción'!$C$15,AND(B449="Contacto con líquido",'Recepción'!$D$29="Sí"),AND(B449="Golpe / Caída",'Recepción'!$D$28="Sí"),AND(B449="No enciende",'Recepción'!$D$31="No")),1,0))))</f>
        <v/>
      </c>
      <c r="K449" s="27">
        <f>IF(J449=1,COUNTIF($J$2:J449,1),0)</f>
        <v/>
      </c>
    </row>
    <row r="450">
      <c r="I450" s="27">
        <f>IF(C450="",0,IFERROR(INDEX($E450:$H450,MATCH('Recepción'!$C$5,$E$1:$H$1,0)),0))</f>
        <v/>
      </c>
      <c r="J450" s="27">
        <f>IF(I450=0,0,IF(A450="S",1,IF(A450="BH",IF(COUNTIFS(A451:A501,"B",J451:J501,1)&gt;0,1,0),IF(OR(B450='Recepción'!$C$13,B450='Recepción'!$C$14,B450='Recepción'!$C$15,AND(B450="Contacto con líquido",'Recepción'!$D$29="Sí"),AND(B450="Golpe / Caída",'Recepción'!$D$28="Sí"),AND(B450="No enciende",'Recepción'!$D$31="No")),1,0))))</f>
        <v/>
      </c>
      <c r="K450" s="27">
        <f>IF(J450=1,COUNTIF($J$2:J450,1),0)</f>
        <v/>
      </c>
    </row>
    <row r="451">
      <c r="I451" s="27">
        <f>IF(C451="",0,IFERROR(INDEX($E451:$H451,MATCH('Recepción'!$C$5,$E$1:$H$1,0)),0))</f>
        <v/>
      </c>
      <c r="J451" s="27">
        <f>IF(I451=0,0,IF(A451="S",1,IF(A451="BH",IF(COUNTIFS(A452:A501,"B",J452:J501,1)&gt;0,1,0),IF(OR(B451='Recepción'!$C$13,B451='Recepción'!$C$14,B451='Recepción'!$C$15,AND(B451="Contacto con líquido",'Recepción'!$D$29="Sí"),AND(B451="Golpe / Caída",'Recepción'!$D$28="Sí"),AND(B451="No enciende",'Recepción'!$D$31="No")),1,0))))</f>
        <v/>
      </c>
      <c r="K451" s="27">
        <f>IF(J451=1,COUNTIF($J$2:J451,1),0)</f>
        <v/>
      </c>
    </row>
    <row r="452">
      <c r="I452" s="27">
        <f>IF(C452="",0,IFERROR(INDEX($E452:$H452,MATCH('Recepción'!$C$5,$E$1:$H$1,0)),0))</f>
        <v/>
      </c>
      <c r="J452" s="27">
        <f>IF(I452=0,0,IF(A452="S",1,IF(A452="BH",IF(COUNTIFS(A453:A501,"B",J453:J501,1)&gt;0,1,0),IF(OR(B452='Recepción'!$C$13,B452='Recepción'!$C$14,B452='Recepción'!$C$15,AND(B452="Contacto con líquido",'Recepción'!$D$29="Sí"),AND(B452="Golpe / Caída",'Recepción'!$D$28="Sí"),AND(B452="No enciende",'Recepción'!$D$31="No")),1,0))))</f>
        <v/>
      </c>
      <c r="K452" s="27">
        <f>IF(J452=1,COUNTIF($J$2:J452,1),0)</f>
        <v/>
      </c>
    </row>
    <row r="453">
      <c r="I453" s="27">
        <f>IF(C453="",0,IFERROR(INDEX($E453:$H453,MATCH('Recepción'!$C$5,$E$1:$H$1,0)),0))</f>
        <v/>
      </c>
      <c r="J453" s="27">
        <f>IF(I453=0,0,IF(A453="S",1,IF(A453="BH",IF(COUNTIFS(A454:A501,"B",J454:J501,1)&gt;0,1,0),IF(OR(B453='Recepción'!$C$13,B453='Recepción'!$C$14,B453='Recepción'!$C$15,AND(B453="Contacto con líquido",'Recepción'!$D$29="Sí"),AND(B453="Golpe / Caída",'Recepción'!$D$28="Sí"),AND(B453="No enciende",'Recepción'!$D$31="No")),1,0))))</f>
        <v/>
      </c>
      <c r="K453" s="27">
        <f>IF(J453=1,COUNTIF($J$2:J453,1),0)</f>
        <v/>
      </c>
    </row>
    <row r="454">
      <c r="I454" s="27">
        <f>IF(C454="",0,IFERROR(INDEX($E454:$H454,MATCH('Recepción'!$C$5,$E$1:$H$1,0)),0))</f>
        <v/>
      </c>
      <c r="J454" s="27">
        <f>IF(I454=0,0,IF(A454="S",1,IF(A454="BH",IF(COUNTIFS(A455:A501,"B",J455:J501,1)&gt;0,1,0),IF(OR(B454='Recepción'!$C$13,B454='Recepción'!$C$14,B454='Recepción'!$C$15,AND(B454="Contacto con líquido",'Recepción'!$D$29="Sí"),AND(B454="Golpe / Caída",'Recepción'!$D$28="Sí"),AND(B454="No enciende",'Recepción'!$D$31="No")),1,0))))</f>
        <v/>
      </c>
      <c r="K454" s="27">
        <f>IF(J454=1,COUNTIF($J$2:J454,1),0)</f>
        <v/>
      </c>
    </row>
    <row r="455">
      <c r="I455" s="27">
        <f>IF(C455="",0,IFERROR(INDEX($E455:$H455,MATCH('Recepción'!$C$5,$E$1:$H$1,0)),0))</f>
        <v/>
      </c>
      <c r="J455" s="27">
        <f>IF(I455=0,0,IF(A455="S",1,IF(A455="BH",IF(COUNTIFS(A456:A501,"B",J456:J501,1)&gt;0,1,0),IF(OR(B455='Recepción'!$C$13,B455='Recepción'!$C$14,B455='Recepción'!$C$15,AND(B455="Contacto con líquido",'Recepción'!$D$29="Sí"),AND(B455="Golpe / Caída",'Recepción'!$D$28="Sí"),AND(B455="No enciende",'Recepción'!$D$31="No")),1,0))))</f>
        <v/>
      </c>
      <c r="K455" s="27">
        <f>IF(J455=1,COUNTIF($J$2:J455,1),0)</f>
        <v/>
      </c>
    </row>
    <row r="456">
      <c r="I456" s="27">
        <f>IF(C456="",0,IFERROR(INDEX($E456:$H456,MATCH('Recepción'!$C$5,$E$1:$H$1,0)),0))</f>
        <v/>
      </c>
      <c r="J456" s="27">
        <f>IF(I456=0,0,IF(A456="S",1,IF(A456="BH",IF(COUNTIFS(A457:A501,"B",J457:J501,1)&gt;0,1,0),IF(OR(B456='Recepción'!$C$13,B456='Recepción'!$C$14,B456='Recepción'!$C$15,AND(B456="Contacto con líquido",'Recepción'!$D$29="Sí"),AND(B456="Golpe / Caída",'Recepción'!$D$28="Sí"),AND(B456="No enciende",'Recepción'!$D$31="No")),1,0))))</f>
        <v/>
      </c>
      <c r="K456" s="27">
        <f>IF(J456=1,COUNTIF($J$2:J456,1),0)</f>
        <v/>
      </c>
    </row>
    <row r="457">
      <c r="I457" s="27">
        <f>IF(C457="",0,IFERROR(INDEX($E457:$H457,MATCH('Recepción'!$C$5,$E$1:$H$1,0)),0))</f>
        <v/>
      </c>
      <c r="J457" s="27">
        <f>IF(I457=0,0,IF(A457="S",1,IF(A457="BH",IF(COUNTIFS(A458:A501,"B",J458:J501,1)&gt;0,1,0),IF(OR(B457='Recepción'!$C$13,B457='Recepción'!$C$14,B457='Recepción'!$C$15,AND(B457="Contacto con líquido",'Recepción'!$D$29="Sí"),AND(B457="Golpe / Caída",'Recepción'!$D$28="Sí"),AND(B457="No enciende",'Recepción'!$D$31="No")),1,0))))</f>
        <v/>
      </c>
      <c r="K457" s="27">
        <f>IF(J457=1,COUNTIF($J$2:J457,1),0)</f>
        <v/>
      </c>
    </row>
    <row r="458">
      <c r="I458" s="27">
        <f>IF(C458="",0,IFERROR(INDEX($E458:$H458,MATCH('Recepción'!$C$5,$E$1:$H$1,0)),0))</f>
        <v/>
      </c>
      <c r="J458" s="27">
        <f>IF(I458=0,0,IF(A458="S",1,IF(A458="BH",IF(COUNTIFS(A459:A501,"B",J459:J501,1)&gt;0,1,0),IF(OR(B458='Recepción'!$C$13,B458='Recepción'!$C$14,B458='Recepción'!$C$15,AND(B458="Contacto con líquido",'Recepción'!$D$29="Sí"),AND(B458="Golpe / Caída",'Recepción'!$D$28="Sí"),AND(B458="No enciende",'Recepción'!$D$31="No")),1,0))))</f>
        <v/>
      </c>
      <c r="K458" s="27">
        <f>IF(J458=1,COUNTIF($J$2:J458,1),0)</f>
        <v/>
      </c>
    </row>
    <row r="459">
      <c r="I459" s="27">
        <f>IF(C459="",0,IFERROR(INDEX($E459:$H459,MATCH('Recepción'!$C$5,$E$1:$H$1,0)),0))</f>
        <v/>
      </c>
      <c r="J459" s="27">
        <f>IF(I459=0,0,IF(A459="S",1,IF(A459="BH",IF(COUNTIFS(A460:A501,"B",J460:J501,1)&gt;0,1,0),IF(OR(B459='Recepción'!$C$13,B459='Recepción'!$C$14,B459='Recepción'!$C$15,AND(B459="Contacto con líquido",'Recepción'!$D$29="Sí"),AND(B459="Golpe / Caída",'Recepción'!$D$28="Sí"),AND(B459="No enciende",'Recepción'!$D$31="No")),1,0))))</f>
        <v/>
      </c>
      <c r="K459" s="27">
        <f>IF(J459=1,COUNTIF($J$2:J459,1),0)</f>
        <v/>
      </c>
    </row>
    <row r="460">
      <c r="I460" s="27">
        <f>IF(C460="",0,IFERROR(INDEX($E460:$H460,MATCH('Recepción'!$C$5,$E$1:$H$1,0)),0))</f>
        <v/>
      </c>
      <c r="J460" s="27">
        <f>IF(I460=0,0,IF(A460="S",1,IF(A460="BH",IF(COUNTIFS(A461:A501,"B",J461:J501,1)&gt;0,1,0),IF(OR(B460='Recepción'!$C$13,B460='Recepción'!$C$14,B460='Recepción'!$C$15,AND(B460="Contacto con líquido",'Recepción'!$D$29="Sí"),AND(B460="Golpe / Caída",'Recepción'!$D$28="Sí"),AND(B460="No enciende",'Recepción'!$D$31="No")),1,0))))</f>
        <v/>
      </c>
      <c r="K460" s="27">
        <f>IF(J460=1,COUNTIF($J$2:J460,1),0)</f>
        <v/>
      </c>
    </row>
    <row r="461">
      <c r="I461" s="27">
        <f>IF(C461="",0,IFERROR(INDEX($E461:$H461,MATCH('Recepción'!$C$5,$E$1:$H$1,0)),0))</f>
        <v/>
      </c>
      <c r="J461" s="27">
        <f>IF(I461=0,0,IF(A461="S",1,IF(A461="BH",IF(COUNTIFS(A462:A501,"B",J462:J501,1)&gt;0,1,0),IF(OR(B461='Recepción'!$C$13,B461='Recepción'!$C$14,B461='Recepción'!$C$15,AND(B461="Contacto con líquido",'Recepción'!$D$29="Sí"),AND(B461="Golpe / Caída",'Recepción'!$D$28="Sí"),AND(B461="No enciende",'Recepción'!$D$31="No")),1,0))))</f>
        <v/>
      </c>
      <c r="K461" s="27">
        <f>IF(J461=1,COUNTIF($J$2:J461,1),0)</f>
        <v/>
      </c>
    </row>
    <row r="462">
      <c r="I462" s="27">
        <f>IF(C462="",0,IFERROR(INDEX($E462:$H462,MATCH('Recepción'!$C$5,$E$1:$H$1,0)),0))</f>
        <v/>
      </c>
      <c r="J462" s="27">
        <f>IF(I462=0,0,IF(A462="S",1,IF(A462="BH",IF(COUNTIFS(A463:A501,"B",J463:J501,1)&gt;0,1,0),IF(OR(B462='Recepción'!$C$13,B462='Recepción'!$C$14,B462='Recepción'!$C$15,AND(B462="Contacto con líquido",'Recepción'!$D$29="Sí"),AND(B462="Golpe / Caída",'Recepción'!$D$28="Sí"),AND(B462="No enciende",'Recepción'!$D$31="No")),1,0))))</f>
        <v/>
      </c>
      <c r="K462" s="27">
        <f>IF(J462=1,COUNTIF($J$2:J462,1),0)</f>
        <v/>
      </c>
    </row>
    <row r="463">
      <c r="I463" s="27">
        <f>IF(C463="",0,IFERROR(INDEX($E463:$H463,MATCH('Recepción'!$C$5,$E$1:$H$1,0)),0))</f>
        <v/>
      </c>
      <c r="J463" s="27">
        <f>IF(I463=0,0,IF(A463="S",1,IF(A463="BH",IF(COUNTIFS(A464:A501,"B",J464:J501,1)&gt;0,1,0),IF(OR(B463='Recepción'!$C$13,B463='Recepción'!$C$14,B463='Recepción'!$C$15,AND(B463="Contacto con líquido",'Recepción'!$D$29="Sí"),AND(B463="Golpe / Caída",'Recepción'!$D$28="Sí"),AND(B463="No enciende",'Recepción'!$D$31="No")),1,0))))</f>
        <v/>
      </c>
      <c r="K463" s="27">
        <f>IF(J463=1,COUNTIF($J$2:J463,1),0)</f>
        <v/>
      </c>
    </row>
    <row r="464">
      <c r="I464" s="27">
        <f>IF(C464="",0,IFERROR(INDEX($E464:$H464,MATCH('Recepción'!$C$5,$E$1:$H$1,0)),0))</f>
        <v/>
      </c>
      <c r="J464" s="27">
        <f>IF(I464=0,0,IF(A464="S",1,IF(A464="BH",IF(COUNTIFS(A465:A501,"B",J465:J501,1)&gt;0,1,0),IF(OR(B464='Recepción'!$C$13,B464='Recepción'!$C$14,B464='Recepción'!$C$15,AND(B464="Contacto con líquido",'Recepción'!$D$29="Sí"),AND(B464="Golpe / Caída",'Recepción'!$D$28="Sí"),AND(B464="No enciende",'Recepción'!$D$31="No")),1,0))))</f>
        <v/>
      </c>
      <c r="K464" s="27">
        <f>IF(J464=1,COUNTIF($J$2:J464,1),0)</f>
        <v/>
      </c>
    </row>
    <row r="465">
      <c r="I465" s="27">
        <f>IF(C465="",0,IFERROR(INDEX($E465:$H465,MATCH('Recepción'!$C$5,$E$1:$H$1,0)),0))</f>
        <v/>
      </c>
      <c r="J465" s="27">
        <f>IF(I465=0,0,IF(A465="S",1,IF(A465="BH",IF(COUNTIFS(A466:A501,"B",J466:J501,1)&gt;0,1,0),IF(OR(B465='Recepción'!$C$13,B465='Recepción'!$C$14,B465='Recepción'!$C$15,AND(B465="Contacto con líquido",'Recepción'!$D$29="Sí"),AND(B465="Golpe / Caída",'Recepción'!$D$28="Sí"),AND(B465="No enciende",'Recepción'!$D$31="No")),1,0))))</f>
        <v/>
      </c>
      <c r="K465" s="27">
        <f>IF(J465=1,COUNTIF($J$2:J465,1),0)</f>
        <v/>
      </c>
    </row>
    <row r="466">
      <c r="I466" s="27">
        <f>IF(C466="",0,IFERROR(INDEX($E466:$H466,MATCH('Recepción'!$C$5,$E$1:$H$1,0)),0))</f>
        <v/>
      </c>
      <c r="J466" s="27">
        <f>IF(I466=0,0,IF(A466="S",1,IF(A466="BH",IF(COUNTIFS(A467:A501,"B",J467:J501,1)&gt;0,1,0),IF(OR(B466='Recepción'!$C$13,B466='Recepción'!$C$14,B466='Recepción'!$C$15,AND(B466="Contacto con líquido",'Recepción'!$D$29="Sí"),AND(B466="Golpe / Caída",'Recepción'!$D$28="Sí"),AND(B466="No enciende",'Recepción'!$D$31="No")),1,0))))</f>
        <v/>
      </c>
      <c r="K466" s="27">
        <f>IF(J466=1,COUNTIF($J$2:J466,1),0)</f>
        <v/>
      </c>
    </row>
    <row r="467">
      <c r="I467" s="27">
        <f>IF(C467="",0,IFERROR(INDEX($E467:$H467,MATCH('Recepción'!$C$5,$E$1:$H$1,0)),0))</f>
        <v/>
      </c>
      <c r="J467" s="27">
        <f>IF(I467=0,0,IF(A467="S",1,IF(A467="BH",IF(COUNTIFS(A468:A501,"B",J468:J501,1)&gt;0,1,0),IF(OR(B467='Recepción'!$C$13,B467='Recepción'!$C$14,B467='Recepción'!$C$15,AND(B467="Contacto con líquido",'Recepción'!$D$29="Sí"),AND(B467="Golpe / Caída",'Recepción'!$D$28="Sí"),AND(B467="No enciende",'Recepción'!$D$31="No")),1,0))))</f>
        <v/>
      </c>
      <c r="K467" s="27">
        <f>IF(J467=1,COUNTIF($J$2:J467,1),0)</f>
        <v/>
      </c>
    </row>
    <row r="468">
      <c r="I468" s="27">
        <f>IF(C468="",0,IFERROR(INDEX($E468:$H468,MATCH('Recepción'!$C$5,$E$1:$H$1,0)),0))</f>
        <v/>
      </c>
      <c r="J468" s="27">
        <f>IF(I468=0,0,IF(A468="S",1,IF(A468="BH",IF(COUNTIFS(A469:A501,"B",J469:J501,1)&gt;0,1,0),IF(OR(B468='Recepción'!$C$13,B468='Recepción'!$C$14,B468='Recepción'!$C$15,AND(B468="Contacto con líquido",'Recepción'!$D$29="Sí"),AND(B468="Golpe / Caída",'Recepción'!$D$28="Sí"),AND(B468="No enciende",'Recepción'!$D$31="No")),1,0))))</f>
        <v/>
      </c>
      <c r="K468" s="27">
        <f>IF(J468=1,COUNTIF($J$2:J468,1),0)</f>
        <v/>
      </c>
    </row>
    <row r="469">
      <c r="I469" s="27">
        <f>IF(C469="",0,IFERROR(INDEX($E469:$H469,MATCH('Recepción'!$C$5,$E$1:$H$1,0)),0))</f>
        <v/>
      </c>
      <c r="J469" s="27">
        <f>IF(I469=0,0,IF(A469="S",1,IF(A469="BH",IF(COUNTIFS(A470:A501,"B",J470:J501,1)&gt;0,1,0),IF(OR(B469='Recepción'!$C$13,B469='Recepción'!$C$14,B469='Recepción'!$C$15,AND(B469="Contacto con líquido",'Recepción'!$D$29="Sí"),AND(B469="Golpe / Caída",'Recepción'!$D$28="Sí"),AND(B469="No enciende",'Recepción'!$D$31="No")),1,0))))</f>
        <v/>
      </c>
      <c r="K469" s="27">
        <f>IF(J469=1,COUNTIF($J$2:J469,1),0)</f>
        <v/>
      </c>
    </row>
    <row r="470">
      <c r="I470" s="27">
        <f>IF(C470="",0,IFERROR(INDEX($E470:$H470,MATCH('Recepción'!$C$5,$E$1:$H$1,0)),0))</f>
        <v/>
      </c>
      <c r="J470" s="27">
        <f>IF(I470=0,0,IF(A470="S",1,IF(A470="BH",IF(COUNTIFS(A471:A501,"B",J471:J501,1)&gt;0,1,0),IF(OR(B470='Recepción'!$C$13,B470='Recepción'!$C$14,B470='Recepción'!$C$15,AND(B470="Contacto con líquido",'Recepción'!$D$29="Sí"),AND(B470="Golpe / Caída",'Recepción'!$D$28="Sí"),AND(B470="No enciende",'Recepción'!$D$31="No")),1,0))))</f>
        <v/>
      </c>
      <c r="K470" s="27">
        <f>IF(J470=1,COUNTIF($J$2:J470,1),0)</f>
        <v/>
      </c>
    </row>
    <row r="471">
      <c r="I471" s="27">
        <f>IF(C471="",0,IFERROR(INDEX($E471:$H471,MATCH('Recepción'!$C$5,$E$1:$H$1,0)),0))</f>
        <v/>
      </c>
      <c r="J471" s="27">
        <f>IF(I471=0,0,IF(A471="S",1,IF(A471="BH",IF(COUNTIFS(A472:A501,"B",J472:J501,1)&gt;0,1,0),IF(OR(B471='Recepción'!$C$13,B471='Recepción'!$C$14,B471='Recepción'!$C$15,AND(B471="Contacto con líquido",'Recepción'!$D$29="Sí"),AND(B471="Golpe / Caída",'Recepción'!$D$28="Sí"),AND(B471="No enciende",'Recepción'!$D$31="No")),1,0))))</f>
        <v/>
      </c>
      <c r="K471" s="27">
        <f>IF(J471=1,COUNTIF($J$2:J471,1),0)</f>
        <v/>
      </c>
    </row>
    <row r="472">
      <c r="I472" s="27">
        <f>IF(C472="",0,IFERROR(INDEX($E472:$H472,MATCH('Recepción'!$C$5,$E$1:$H$1,0)),0))</f>
        <v/>
      </c>
      <c r="J472" s="27">
        <f>IF(I472=0,0,IF(A472="S",1,IF(A472="BH",IF(COUNTIFS(A473:A501,"B",J473:J501,1)&gt;0,1,0),IF(OR(B472='Recepción'!$C$13,B472='Recepción'!$C$14,B472='Recepción'!$C$15,AND(B472="Contacto con líquido",'Recepción'!$D$29="Sí"),AND(B472="Golpe / Caída",'Recepción'!$D$28="Sí"),AND(B472="No enciende",'Recepción'!$D$31="No")),1,0))))</f>
        <v/>
      </c>
      <c r="K472" s="27">
        <f>IF(J472=1,COUNTIF($J$2:J472,1),0)</f>
        <v/>
      </c>
    </row>
    <row r="473">
      <c r="I473" s="27">
        <f>IF(C473="",0,IFERROR(INDEX($E473:$H473,MATCH('Recepción'!$C$5,$E$1:$H$1,0)),0))</f>
        <v/>
      </c>
      <c r="J473" s="27">
        <f>IF(I473=0,0,IF(A473="S",1,IF(A473="BH",IF(COUNTIFS(A474:A501,"B",J474:J501,1)&gt;0,1,0),IF(OR(B473='Recepción'!$C$13,B473='Recepción'!$C$14,B473='Recepción'!$C$15,AND(B473="Contacto con líquido",'Recepción'!$D$29="Sí"),AND(B473="Golpe / Caída",'Recepción'!$D$28="Sí"),AND(B473="No enciende",'Recepción'!$D$31="No")),1,0))))</f>
        <v/>
      </c>
      <c r="K473" s="27">
        <f>IF(J473=1,COUNTIF($J$2:J473,1),0)</f>
        <v/>
      </c>
    </row>
    <row r="474">
      <c r="I474" s="27">
        <f>IF(C474="",0,IFERROR(INDEX($E474:$H474,MATCH('Recepción'!$C$5,$E$1:$H$1,0)),0))</f>
        <v/>
      </c>
      <c r="J474" s="27">
        <f>IF(I474=0,0,IF(A474="S",1,IF(A474="BH",IF(COUNTIFS(A475:A501,"B",J475:J501,1)&gt;0,1,0),IF(OR(B474='Recepción'!$C$13,B474='Recepción'!$C$14,B474='Recepción'!$C$15,AND(B474="Contacto con líquido",'Recepción'!$D$29="Sí"),AND(B474="Golpe / Caída",'Recepción'!$D$28="Sí"),AND(B474="No enciende",'Recepción'!$D$31="No")),1,0))))</f>
        <v/>
      </c>
      <c r="K474" s="27">
        <f>IF(J474=1,COUNTIF($J$2:J474,1),0)</f>
        <v/>
      </c>
    </row>
    <row r="475">
      <c r="I475" s="27">
        <f>IF(C475="",0,IFERROR(INDEX($E475:$H475,MATCH('Recepción'!$C$5,$E$1:$H$1,0)),0))</f>
        <v/>
      </c>
      <c r="J475" s="27">
        <f>IF(I475=0,0,IF(A475="S",1,IF(A475="BH",IF(COUNTIFS(A476:A501,"B",J476:J501,1)&gt;0,1,0),IF(OR(B475='Recepción'!$C$13,B475='Recepción'!$C$14,B475='Recepción'!$C$15,AND(B475="Contacto con líquido",'Recepción'!$D$29="Sí"),AND(B475="Golpe / Caída",'Recepción'!$D$28="Sí"),AND(B475="No enciende",'Recepción'!$D$31="No")),1,0))))</f>
        <v/>
      </c>
      <c r="K475" s="27">
        <f>IF(J475=1,COUNTIF($J$2:J475,1),0)</f>
        <v/>
      </c>
    </row>
    <row r="476">
      <c r="I476" s="27">
        <f>IF(C476="",0,IFERROR(INDEX($E476:$H476,MATCH('Recepción'!$C$5,$E$1:$H$1,0)),0))</f>
        <v/>
      </c>
      <c r="J476" s="27">
        <f>IF(I476=0,0,IF(A476="S",1,IF(A476="BH",IF(COUNTIFS(A477:A501,"B",J477:J501,1)&gt;0,1,0),IF(OR(B476='Recepción'!$C$13,B476='Recepción'!$C$14,B476='Recepción'!$C$15,AND(B476="Contacto con líquido",'Recepción'!$D$29="Sí"),AND(B476="Golpe / Caída",'Recepción'!$D$28="Sí"),AND(B476="No enciende",'Recepción'!$D$31="No")),1,0))))</f>
        <v/>
      </c>
      <c r="K476" s="27">
        <f>IF(J476=1,COUNTIF($J$2:J476,1),0)</f>
        <v/>
      </c>
    </row>
    <row r="477">
      <c r="I477" s="27">
        <f>IF(C477="",0,IFERROR(INDEX($E477:$H477,MATCH('Recepción'!$C$5,$E$1:$H$1,0)),0))</f>
        <v/>
      </c>
      <c r="J477" s="27">
        <f>IF(I477=0,0,IF(A477="S",1,IF(A477="BH",IF(COUNTIFS(A478:A501,"B",J478:J501,1)&gt;0,1,0),IF(OR(B477='Recepción'!$C$13,B477='Recepción'!$C$14,B477='Recepción'!$C$15,AND(B477="Contacto con líquido",'Recepción'!$D$29="Sí"),AND(B477="Golpe / Caída",'Recepción'!$D$28="Sí"),AND(B477="No enciende",'Recepción'!$D$31="No")),1,0))))</f>
        <v/>
      </c>
      <c r="K477" s="27">
        <f>IF(J477=1,COUNTIF($J$2:J477,1),0)</f>
        <v/>
      </c>
    </row>
    <row r="478">
      <c r="I478" s="27">
        <f>IF(C478="",0,IFERROR(INDEX($E478:$H478,MATCH('Recepción'!$C$5,$E$1:$H$1,0)),0))</f>
        <v/>
      </c>
      <c r="J478" s="27">
        <f>IF(I478=0,0,IF(A478="S",1,IF(A478="BH",IF(COUNTIFS(A479:A501,"B",J479:J501,1)&gt;0,1,0),IF(OR(B478='Recepción'!$C$13,B478='Recepción'!$C$14,B478='Recepción'!$C$15,AND(B478="Contacto con líquido",'Recepción'!$D$29="Sí"),AND(B478="Golpe / Caída",'Recepción'!$D$28="Sí"),AND(B478="No enciende",'Recepción'!$D$31="No")),1,0))))</f>
        <v/>
      </c>
      <c r="K478" s="27">
        <f>IF(J478=1,COUNTIF($J$2:J478,1),0)</f>
        <v/>
      </c>
    </row>
    <row r="479">
      <c r="I479" s="27">
        <f>IF(C479="",0,IFERROR(INDEX($E479:$H479,MATCH('Recepción'!$C$5,$E$1:$H$1,0)),0))</f>
        <v/>
      </c>
      <c r="J479" s="27">
        <f>IF(I479=0,0,IF(A479="S",1,IF(A479="BH",IF(COUNTIFS(A480:A501,"B",J480:J501,1)&gt;0,1,0),IF(OR(B479='Recepción'!$C$13,B479='Recepción'!$C$14,B479='Recepción'!$C$15,AND(B479="Contacto con líquido",'Recepción'!$D$29="Sí"),AND(B479="Golpe / Caída",'Recepción'!$D$28="Sí"),AND(B479="No enciende",'Recepción'!$D$31="No")),1,0))))</f>
        <v/>
      </c>
      <c r="K479" s="27">
        <f>IF(J479=1,COUNTIF($J$2:J479,1),0)</f>
        <v/>
      </c>
    </row>
    <row r="480">
      <c r="I480" s="27">
        <f>IF(C480="",0,IFERROR(INDEX($E480:$H480,MATCH('Recepción'!$C$5,$E$1:$H$1,0)),0))</f>
        <v/>
      </c>
      <c r="J480" s="27">
        <f>IF(I480=0,0,IF(A480="S",1,IF(A480="BH",IF(COUNTIFS(A481:A501,"B",J481:J501,1)&gt;0,1,0),IF(OR(B480='Recepción'!$C$13,B480='Recepción'!$C$14,B480='Recepción'!$C$15,AND(B480="Contacto con líquido",'Recepción'!$D$29="Sí"),AND(B480="Golpe / Caída",'Recepción'!$D$28="Sí"),AND(B480="No enciende",'Recepción'!$D$31="No")),1,0))))</f>
        <v/>
      </c>
      <c r="K480" s="27">
        <f>IF(J480=1,COUNTIF($J$2:J480,1),0)</f>
        <v/>
      </c>
    </row>
    <row r="481">
      <c r="I481" s="27">
        <f>IF(C481="",0,IFERROR(INDEX($E481:$H481,MATCH('Recepción'!$C$5,$E$1:$H$1,0)),0))</f>
        <v/>
      </c>
      <c r="J481" s="27">
        <f>IF(I481=0,0,IF(A481="S",1,IF(A481="BH",IF(COUNTIFS(A482:A501,"B",J482:J501,1)&gt;0,1,0),IF(OR(B481='Recepción'!$C$13,B481='Recepción'!$C$14,B481='Recepción'!$C$15,AND(B481="Contacto con líquido",'Recepción'!$D$29="Sí"),AND(B481="Golpe / Caída",'Recepción'!$D$28="Sí"),AND(B481="No enciende",'Recepción'!$D$31="No")),1,0))))</f>
        <v/>
      </c>
      <c r="K481" s="27">
        <f>IF(J481=1,COUNTIF($J$2:J481,1),0)</f>
        <v/>
      </c>
    </row>
    <row r="482">
      <c r="I482" s="27">
        <f>IF(C482="",0,IFERROR(INDEX($E482:$H482,MATCH('Recepción'!$C$5,$E$1:$H$1,0)),0))</f>
        <v/>
      </c>
      <c r="J482" s="27">
        <f>IF(I482=0,0,IF(A482="S",1,IF(A482="BH",IF(COUNTIFS(A483:A501,"B",J483:J501,1)&gt;0,1,0),IF(OR(B482='Recepción'!$C$13,B482='Recepción'!$C$14,B482='Recepción'!$C$15,AND(B482="Contacto con líquido",'Recepción'!$D$29="Sí"),AND(B482="Golpe / Caída",'Recepción'!$D$28="Sí"),AND(B482="No enciende",'Recepción'!$D$31="No")),1,0))))</f>
        <v/>
      </c>
      <c r="K482" s="27">
        <f>IF(J482=1,COUNTIF($J$2:J482,1),0)</f>
        <v/>
      </c>
    </row>
    <row r="483">
      <c r="I483" s="27">
        <f>IF(C483="",0,IFERROR(INDEX($E483:$H483,MATCH('Recepción'!$C$5,$E$1:$H$1,0)),0))</f>
        <v/>
      </c>
      <c r="J483" s="27">
        <f>IF(I483=0,0,IF(A483="S",1,IF(A483="BH",IF(COUNTIFS(A484:A501,"B",J484:J501,1)&gt;0,1,0),IF(OR(B483='Recepción'!$C$13,B483='Recepción'!$C$14,B483='Recepción'!$C$15,AND(B483="Contacto con líquido",'Recepción'!$D$29="Sí"),AND(B483="Golpe / Caída",'Recepción'!$D$28="Sí"),AND(B483="No enciende",'Recepción'!$D$31="No")),1,0))))</f>
        <v/>
      </c>
      <c r="K483" s="27">
        <f>IF(J483=1,COUNTIF($J$2:J483,1),0)</f>
        <v/>
      </c>
    </row>
    <row r="484">
      <c r="I484" s="27">
        <f>IF(C484="",0,IFERROR(INDEX($E484:$H484,MATCH('Recepción'!$C$5,$E$1:$H$1,0)),0))</f>
        <v/>
      </c>
      <c r="J484" s="27">
        <f>IF(I484=0,0,IF(A484="S",1,IF(A484="BH",IF(COUNTIFS(A485:A501,"B",J485:J501,1)&gt;0,1,0),IF(OR(B484='Recepción'!$C$13,B484='Recepción'!$C$14,B484='Recepción'!$C$15,AND(B484="Contacto con líquido",'Recepción'!$D$29="Sí"),AND(B484="Golpe / Caída",'Recepción'!$D$28="Sí"),AND(B484="No enciende",'Recepción'!$D$31="No")),1,0))))</f>
        <v/>
      </c>
      <c r="K484" s="27">
        <f>IF(J484=1,COUNTIF($J$2:J484,1),0)</f>
        <v/>
      </c>
    </row>
    <row r="485">
      <c r="I485" s="27">
        <f>IF(C485="",0,IFERROR(INDEX($E485:$H485,MATCH('Recepción'!$C$5,$E$1:$H$1,0)),0))</f>
        <v/>
      </c>
      <c r="J485" s="27">
        <f>IF(I485=0,0,IF(A485="S",1,IF(A485="BH",IF(COUNTIFS(A486:A501,"B",J486:J501,1)&gt;0,1,0),IF(OR(B485='Recepción'!$C$13,B485='Recepción'!$C$14,B485='Recepción'!$C$15,AND(B485="Contacto con líquido",'Recepción'!$D$29="Sí"),AND(B485="Golpe / Caída",'Recepción'!$D$28="Sí"),AND(B485="No enciende",'Recepción'!$D$31="No")),1,0))))</f>
        <v/>
      </c>
      <c r="K485" s="27">
        <f>IF(J485=1,COUNTIF($J$2:J485,1),0)</f>
        <v/>
      </c>
    </row>
    <row r="486">
      <c r="I486" s="27">
        <f>IF(C486="",0,IFERROR(INDEX($E486:$H486,MATCH('Recepción'!$C$5,$E$1:$H$1,0)),0))</f>
        <v/>
      </c>
      <c r="J486" s="27">
        <f>IF(I486=0,0,IF(A486="S",1,IF(A486="BH",IF(COUNTIFS(A487:A501,"B",J487:J501,1)&gt;0,1,0),IF(OR(B486='Recepción'!$C$13,B486='Recepción'!$C$14,B486='Recepción'!$C$15,AND(B486="Contacto con líquido",'Recepción'!$D$29="Sí"),AND(B486="Golpe / Caída",'Recepción'!$D$28="Sí"),AND(B486="No enciende",'Recepción'!$D$31="No")),1,0))))</f>
        <v/>
      </c>
      <c r="K486" s="27">
        <f>IF(J486=1,COUNTIF($J$2:J486,1),0)</f>
        <v/>
      </c>
    </row>
    <row r="487">
      <c r="I487" s="27">
        <f>IF(C487="",0,IFERROR(INDEX($E487:$H487,MATCH('Recepción'!$C$5,$E$1:$H$1,0)),0))</f>
        <v/>
      </c>
      <c r="J487" s="27">
        <f>IF(I487=0,0,IF(A487="S",1,IF(A487="BH",IF(COUNTIFS(A488:A501,"B",J488:J501,1)&gt;0,1,0),IF(OR(B487='Recepción'!$C$13,B487='Recepción'!$C$14,B487='Recepción'!$C$15,AND(B487="Contacto con líquido",'Recepción'!$D$29="Sí"),AND(B487="Golpe / Caída",'Recepción'!$D$28="Sí"),AND(B487="No enciende",'Recepción'!$D$31="No")),1,0))))</f>
        <v/>
      </c>
      <c r="K487" s="27">
        <f>IF(J487=1,COUNTIF($J$2:J487,1),0)</f>
        <v/>
      </c>
    </row>
    <row r="488">
      <c r="I488" s="27">
        <f>IF(C488="",0,IFERROR(INDEX($E488:$H488,MATCH('Recepción'!$C$5,$E$1:$H$1,0)),0))</f>
        <v/>
      </c>
      <c r="J488" s="27">
        <f>IF(I488=0,0,IF(A488="S",1,IF(A488="BH",IF(COUNTIFS(A489:A501,"B",J489:J501,1)&gt;0,1,0),IF(OR(B488='Recepción'!$C$13,B488='Recepción'!$C$14,B488='Recepción'!$C$15,AND(B488="Contacto con líquido",'Recepción'!$D$29="Sí"),AND(B488="Golpe / Caída",'Recepción'!$D$28="Sí"),AND(B488="No enciende",'Recepción'!$D$31="No")),1,0))))</f>
        <v/>
      </c>
      <c r="K488" s="27">
        <f>IF(J488=1,COUNTIF($J$2:J488,1),0)</f>
        <v/>
      </c>
    </row>
    <row r="489">
      <c r="I489" s="27">
        <f>IF(C489="",0,IFERROR(INDEX($E489:$H489,MATCH('Recepción'!$C$5,$E$1:$H$1,0)),0))</f>
        <v/>
      </c>
      <c r="J489" s="27">
        <f>IF(I489=0,0,IF(A489="S",1,IF(A489="BH",IF(COUNTIFS(A490:A501,"B",J490:J501,1)&gt;0,1,0),IF(OR(B489='Recepción'!$C$13,B489='Recepción'!$C$14,B489='Recepción'!$C$15,AND(B489="Contacto con líquido",'Recepción'!$D$29="Sí"),AND(B489="Golpe / Caída",'Recepción'!$D$28="Sí"),AND(B489="No enciende",'Recepción'!$D$31="No")),1,0))))</f>
        <v/>
      </c>
      <c r="K489" s="27">
        <f>IF(J489=1,COUNTIF($J$2:J489,1),0)</f>
        <v/>
      </c>
    </row>
    <row r="490">
      <c r="I490" s="27">
        <f>IF(C490="",0,IFERROR(INDEX($E490:$H490,MATCH('Recepción'!$C$5,$E$1:$H$1,0)),0))</f>
        <v/>
      </c>
      <c r="J490" s="27">
        <f>IF(I490=0,0,IF(A490="S",1,IF(A490="BH",IF(COUNTIFS(A491:A501,"B",J491:J501,1)&gt;0,1,0),IF(OR(B490='Recepción'!$C$13,B490='Recepción'!$C$14,B490='Recepción'!$C$15,AND(B490="Contacto con líquido",'Recepción'!$D$29="Sí"),AND(B490="Golpe / Caída",'Recepción'!$D$28="Sí"),AND(B490="No enciende",'Recepción'!$D$31="No")),1,0))))</f>
        <v/>
      </c>
      <c r="K490" s="27">
        <f>IF(J490=1,COUNTIF($J$2:J490,1),0)</f>
        <v/>
      </c>
    </row>
    <row r="491">
      <c r="I491" s="27">
        <f>IF(C491="",0,IFERROR(INDEX($E491:$H491,MATCH('Recepción'!$C$5,$E$1:$H$1,0)),0))</f>
        <v/>
      </c>
      <c r="J491" s="27">
        <f>IF(I491=0,0,IF(A491="S",1,IF(A491="BH",IF(COUNTIFS(A492:A501,"B",J492:J501,1)&gt;0,1,0),IF(OR(B491='Recepción'!$C$13,B491='Recepción'!$C$14,B491='Recepción'!$C$15,AND(B491="Contacto con líquido",'Recepción'!$D$29="Sí"),AND(B491="Golpe / Caída",'Recepción'!$D$28="Sí"),AND(B491="No enciende",'Recepción'!$D$31="No")),1,0))))</f>
        <v/>
      </c>
      <c r="K491" s="27">
        <f>IF(J491=1,COUNTIF($J$2:J491,1),0)</f>
        <v/>
      </c>
    </row>
    <row r="492">
      <c r="I492" s="27">
        <f>IF(C492="",0,IFERROR(INDEX($E492:$H492,MATCH('Recepción'!$C$5,$E$1:$H$1,0)),0))</f>
        <v/>
      </c>
      <c r="J492" s="27">
        <f>IF(I492=0,0,IF(A492="S",1,IF(A492="BH",IF(COUNTIFS(A493:A501,"B",J493:J501,1)&gt;0,1,0),IF(OR(B492='Recepción'!$C$13,B492='Recepción'!$C$14,B492='Recepción'!$C$15,AND(B492="Contacto con líquido",'Recepción'!$D$29="Sí"),AND(B492="Golpe / Caída",'Recepción'!$D$28="Sí"),AND(B492="No enciende",'Recepción'!$D$31="No")),1,0))))</f>
        <v/>
      </c>
      <c r="K492" s="27">
        <f>IF(J492=1,COUNTIF($J$2:J492,1),0)</f>
        <v/>
      </c>
    </row>
    <row r="493">
      <c r="I493" s="27">
        <f>IF(C493="",0,IFERROR(INDEX($E493:$H493,MATCH('Recepción'!$C$5,$E$1:$H$1,0)),0))</f>
        <v/>
      </c>
      <c r="J493" s="27">
        <f>IF(I493=0,0,IF(A493="S",1,IF(A493="BH",IF(COUNTIFS(A494:A501,"B",J494:J501,1)&gt;0,1,0),IF(OR(B493='Recepción'!$C$13,B493='Recepción'!$C$14,B493='Recepción'!$C$15,AND(B493="Contacto con líquido",'Recepción'!$D$29="Sí"),AND(B493="Golpe / Caída",'Recepción'!$D$28="Sí"),AND(B493="No enciende",'Recepción'!$D$31="No")),1,0))))</f>
        <v/>
      </c>
      <c r="K493" s="27">
        <f>IF(J493=1,COUNTIF($J$2:J493,1),0)</f>
        <v/>
      </c>
    </row>
    <row r="494">
      <c r="I494" s="27">
        <f>IF(C494="",0,IFERROR(INDEX($E494:$H494,MATCH('Recepción'!$C$5,$E$1:$H$1,0)),0))</f>
        <v/>
      </c>
      <c r="J494" s="27">
        <f>IF(I494=0,0,IF(A494="S",1,IF(A494="BH",IF(COUNTIFS(A495:A501,"B",J495:J501,1)&gt;0,1,0),IF(OR(B494='Recepción'!$C$13,B494='Recepción'!$C$14,B494='Recepción'!$C$15,AND(B494="Contacto con líquido",'Recepción'!$D$29="Sí"),AND(B494="Golpe / Caída",'Recepción'!$D$28="Sí"),AND(B494="No enciende",'Recepción'!$D$31="No")),1,0))))</f>
        <v/>
      </c>
      <c r="K494" s="27">
        <f>IF(J494=1,COUNTIF($J$2:J494,1),0)</f>
        <v/>
      </c>
    </row>
    <row r="495">
      <c r="I495" s="27">
        <f>IF(C495="",0,IFERROR(INDEX($E495:$H495,MATCH('Recepción'!$C$5,$E$1:$H$1,0)),0))</f>
        <v/>
      </c>
      <c r="J495" s="27">
        <f>IF(I495=0,0,IF(A495="S",1,IF(A495="BH",IF(COUNTIFS(A496:A501,"B",J496:J501,1)&gt;0,1,0),IF(OR(B495='Recepción'!$C$13,B495='Recepción'!$C$14,B495='Recepción'!$C$15,AND(B495="Contacto con líquido",'Recepción'!$D$29="Sí"),AND(B495="Golpe / Caída",'Recepción'!$D$28="Sí"),AND(B495="No enciende",'Recepción'!$D$31="No")),1,0))))</f>
        <v/>
      </c>
      <c r="K495" s="27">
        <f>IF(J495=1,COUNTIF($J$2:J495,1),0)</f>
        <v/>
      </c>
    </row>
    <row r="496">
      <c r="I496" s="27">
        <f>IF(C496="",0,IFERROR(INDEX($E496:$H496,MATCH('Recepción'!$C$5,$E$1:$H$1,0)),0))</f>
        <v/>
      </c>
      <c r="J496" s="27">
        <f>IF(I496=0,0,IF(A496="S",1,IF(A496="BH",IF(COUNTIFS(A497:A501,"B",J497:J501,1)&gt;0,1,0),IF(OR(B496='Recepción'!$C$13,B496='Recepción'!$C$14,B496='Recepción'!$C$15,AND(B496="Contacto con líquido",'Recepción'!$D$29="Sí"),AND(B496="Golpe / Caída",'Recepción'!$D$28="Sí"),AND(B496="No enciende",'Recepción'!$D$31="No")),1,0))))</f>
        <v/>
      </c>
      <c r="K496" s="27">
        <f>IF(J496=1,COUNTIF($J$2:J496,1),0)</f>
        <v/>
      </c>
    </row>
    <row r="497">
      <c r="I497" s="27">
        <f>IF(C497="",0,IFERROR(INDEX($E497:$H497,MATCH('Recepción'!$C$5,$E$1:$H$1,0)),0))</f>
        <v/>
      </c>
      <c r="J497" s="27">
        <f>IF(I497=0,0,IF(A497="S",1,IF(A497="BH",IF(COUNTIFS(A498:A501,"B",J498:J501,1)&gt;0,1,0),IF(OR(B497='Recepción'!$C$13,B497='Recepción'!$C$14,B497='Recepción'!$C$15,AND(B497="Contacto con líquido",'Recepción'!$D$29="Sí"),AND(B497="Golpe / Caída",'Recepción'!$D$28="Sí"),AND(B497="No enciende",'Recepción'!$D$31="No")),1,0))))</f>
        <v/>
      </c>
      <c r="K497" s="27">
        <f>IF(J497=1,COUNTIF($J$2:J497,1),0)</f>
        <v/>
      </c>
    </row>
    <row r="498">
      <c r="I498" s="27">
        <f>IF(C498="",0,IFERROR(INDEX($E498:$H498,MATCH('Recepción'!$C$5,$E$1:$H$1,0)),0))</f>
        <v/>
      </c>
      <c r="J498" s="27">
        <f>IF(I498=0,0,IF(A498="S",1,IF(A498="BH",IF(COUNTIFS(A499:A501,"B",J499:J501,1)&gt;0,1,0),IF(OR(B498='Recepción'!$C$13,B498='Recepción'!$C$14,B498='Recepción'!$C$15,AND(B498="Contacto con líquido",'Recepción'!$D$29="Sí"),AND(B498="Golpe / Caída",'Recepción'!$D$28="Sí"),AND(B498="No enciende",'Recepción'!$D$31="No")),1,0))))</f>
        <v/>
      </c>
      <c r="K498" s="27">
        <f>IF(J498=1,COUNTIF($J$2:J498,1),0)</f>
        <v/>
      </c>
    </row>
    <row r="499">
      <c r="I499" s="27">
        <f>IF(C499="",0,IFERROR(INDEX($E499:$H499,MATCH('Recepción'!$C$5,$E$1:$H$1,0)),0))</f>
        <v/>
      </c>
      <c r="J499" s="27">
        <f>IF(I499=0,0,IF(A499="S",1,IF(A499="BH",IF(COUNTIFS(A500:A501,"B",J500:J501,1)&gt;0,1,0),IF(OR(B499='Recepción'!$C$13,B499='Recepción'!$C$14,B499='Recepción'!$C$15,AND(B499="Contacto con líquido",'Recepción'!$D$29="Sí"),AND(B499="Golpe / Caída",'Recepción'!$D$28="Sí"),AND(B499="No enciende",'Recepción'!$D$31="No")),1,0))))</f>
        <v/>
      </c>
      <c r="K499" s="27">
        <f>IF(J499=1,COUNTIF($J$2:J499,1),0)</f>
        <v/>
      </c>
    </row>
    <row r="500">
      <c r="I500" s="27">
        <f>IF(C500="",0,IFERROR(INDEX($E500:$H500,MATCH('Recepción'!$C$5,$E$1:$H$1,0)),0))</f>
        <v/>
      </c>
      <c r="J500" s="27">
        <f>IF(I500=0,0,IF(A500="S",1,IF(A500="BH",IF(COUNTIFS(A501:A501,"B",J501:J501,1)&gt;0,1,0),IF(OR(B500='Recepción'!$C$13,B500='Recepción'!$C$14,B500='Recepción'!$C$15,AND(B500="Contacto con líquido",'Recepción'!$D$29="Sí"),AND(B500="Golpe / Caída",'Recepción'!$D$28="Sí"),AND(B500="No enciende",'Recepción'!$D$31="No")),1,0))))</f>
        <v/>
      </c>
      <c r="K500" s="27">
        <f>IF(J500=1,COUNTIF($J$2:J500,1),0)</f>
        <v/>
      </c>
    </row>
  </sheetData>
  <autoFilter ref="A1:K232"/>
  <dataValidations count="2">
    <dataValidation sqref="E2:H500" showDropDown="0" showInputMessage="0" showErrorMessage="0" allowBlank="1" type="list">
      <formula1>"1,0"</formula1>
    </dataValidation>
    <dataValidation sqref="D2:D500" showDropDown="0" showInputMessage="0" showErrorMessage="0" allowBlank="1" type="list">
      <formula1>"YN,YNS,YNC,FUN,TXT,HEAD"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5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</cols>
  <sheetData>
    <row r="1">
      <c r="A1" s="28" t="inlineStr">
        <is>
          <t>Tipo de equipo</t>
        </is>
      </c>
      <c r="B1" s="28" t="inlineStr">
        <is>
          <t>Clave</t>
        </is>
      </c>
      <c r="C1" s="28" t="inlineStr">
        <is>
          <t>L_YN</t>
        </is>
      </c>
      <c r="D1" s="28" t="inlineStr">
        <is>
          <t>L_YNS</t>
        </is>
      </c>
      <c r="F1" s="28" t="inlineStr">
        <is>
          <t>F_Celular</t>
        </is>
      </c>
      <c r="G1" s="28" t="inlineStr">
        <is>
          <t>F_Reloj</t>
        </is>
      </c>
      <c r="H1" s="28" t="inlineStr">
        <is>
          <t>F_Computadora</t>
        </is>
      </c>
      <c r="I1" s="28" t="inlineStr">
        <is>
          <t>F_Consola</t>
        </is>
      </c>
      <c r="T1" s="28" t="inlineStr">
        <is>
          <t>L_YNC</t>
        </is>
      </c>
      <c r="U1" s="28" t="inlineStr">
        <is>
          <t>L_FUN</t>
        </is>
      </c>
      <c r="V1" s="28" t="inlineStr">
        <is>
          <t>L_FALLAP</t>
        </is>
      </c>
      <c r="W1" s="28" t="inlineStr">
        <is>
          <t>L_DESDE</t>
        </is>
      </c>
      <c r="X1" s="28" t="inlineStr">
        <is>
          <t>L_PERM</t>
        </is>
      </c>
      <c r="Y1" s="28" t="inlineStr">
        <is>
          <t>L_ENC</t>
        </is>
      </c>
      <c r="Z1" s="28" t="inlineStr">
        <is>
          <t>L_OTRAF</t>
        </is>
      </c>
      <c r="AA1" s="28" t="inlineStr">
        <is>
          <t>L_LUZ</t>
        </is>
      </c>
      <c r="AB1" s="28" t="inlineStr">
        <is>
          <t>L_SENAL</t>
        </is>
      </c>
      <c r="AC1" s="28" t="inlineStr">
        <is>
          <t>L_AUTON</t>
        </is>
      </c>
      <c r="AD1" s="28" t="inlineStr">
        <is>
          <t>L_ZONAC</t>
        </is>
      </c>
      <c r="AE1" s="28" t="inlineStr">
        <is>
          <t>L_MANT</t>
        </is>
      </c>
      <c r="AF1" s="28" t="inlineStr">
        <is>
          <t>L_ABCE</t>
        </is>
      </c>
      <c r="AG1" s="28" t="inlineStr">
        <is>
          <t>L_ZONAI</t>
        </is>
      </c>
      <c r="AH1" s="28" t="inlineStr">
        <is>
          <t>L_ERR</t>
        </is>
      </c>
      <c r="AI1" s="28" t="inlineStr">
        <is>
          <t>L_PROG</t>
        </is>
      </c>
      <c r="AJ1" s="28" t="inlineStr">
        <is>
          <t>L_SO</t>
        </is>
      </c>
      <c r="AK1" s="28" t="inlineStr">
        <is>
          <t>L_TEL</t>
        </is>
      </c>
      <c r="AL1" s="28" t="inlineStr">
        <is>
          <t>L_JUE</t>
        </is>
      </c>
      <c r="AM1" s="28" t="inlineStr">
        <is>
          <t>L_NCTRL</t>
        </is>
      </c>
      <c r="AN1" s="28" t="inlineStr">
        <is>
          <t>L_SOL</t>
        </is>
      </c>
      <c r="AO1" s="28" t="inlineStr">
        <is>
          <t>L_DANO</t>
        </is>
      </c>
      <c r="AP1" s="28" t="inlineStr">
        <is>
          <t>L_CUANDO</t>
        </is>
      </c>
      <c r="AQ1" s="28" t="inlineStr">
        <is>
          <t>L_MOM</t>
        </is>
      </c>
      <c r="AR1" s="28" t="inlineStr">
        <is>
          <t>L_LIQ</t>
        </is>
      </c>
      <c r="AS1" s="28" t="inlineStr">
        <is>
          <t>L_E_PANT</t>
        </is>
      </c>
      <c r="AT1" s="28" t="inlineStr">
        <is>
          <t>L_E_CARC</t>
        </is>
      </c>
      <c r="AU1" s="28" t="inlineStr">
        <is>
          <t>L_PIN</t>
        </is>
      </c>
    </row>
    <row r="2">
      <c r="A2" s="29" t="inlineStr">
        <is>
          <t>Celular</t>
        </is>
      </c>
      <c r="B2" s="29" t="inlineStr">
        <is>
          <t>Celular</t>
        </is>
      </c>
      <c r="C2" t="inlineStr">
        <is>
          <t>Sí</t>
        </is>
      </c>
      <c r="D2" t="inlineStr">
        <is>
          <t>Sí</t>
        </is>
      </c>
      <c r="F2" s="29" t="inlineStr">
        <is>
          <t>No enciende</t>
        </is>
      </c>
      <c r="G2" s="29" t="inlineStr">
        <is>
          <t>No enciende</t>
        </is>
      </c>
      <c r="H2" s="29" t="inlineStr">
        <is>
          <t>No enciende</t>
        </is>
      </c>
      <c r="I2" s="29" t="inlineStr">
        <is>
          <t>No enciende</t>
        </is>
      </c>
      <c r="T2" t="inlineStr">
        <is>
          <t>Sí</t>
        </is>
      </c>
      <c r="U2" t="inlineStr">
        <is>
          <t>Funciona</t>
        </is>
      </c>
      <c r="V2" t="inlineStr">
        <is>
          <t>No enciende</t>
        </is>
      </c>
      <c r="W2" t="inlineStr">
        <is>
          <t>Hoy</t>
        </is>
      </c>
      <c r="X2" t="inlineStr">
        <is>
          <t>Permanente</t>
        </is>
      </c>
      <c r="Y2" t="inlineStr">
        <is>
          <t>Sí</t>
        </is>
      </c>
      <c r="Z2" t="inlineStr">
        <is>
          <t>Ninguna</t>
        </is>
      </c>
      <c r="AA2" t="inlineStr">
        <is>
          <t>Ninguna</t>
        </is>
      </c>
      <c r="AB2" t="inlineStr">
        <is>
          <t>Ninguna</t>
        </is>
      </c>
      <c r="AC2" t="inlineStr">
        <is>
          <t>Menos de 30 minutos</t>
        </is>
      </c>
      <c r="AD2" t="inlineStr">
        <is>
          <t>Parte trasera</t>
        </is>
      </c>
      <c r="AE2" t="inlineStr">
        <is>
          <t>Nunca</t>
        </is>
      </c>
      <c r="AF2" t="inlineStr">
        <is>
          <t>Abierta</t>
        </is>
      </c>
      <c r="AG2" t="inlineStr">
        <is>
          <t>Pantalla</t>
        </is>
      </c>
      <c r="AH2" t="inlineStr">
        <is>
          <t>No aparece error</t>
        </is>
      </c>
      <c r="AI2" t="inlineStr">
        <is>
          <t>Todos por igual</t>
        </is>
      </c>
      <c r="AJ2" t="inlineStr">
        <is>
          <t>Windows 11</t>
        </is>
      </c>
      <c r="AK2" t="inlineStr">
        <is>
          <t>iPhone</t>
        </is>
      </c>
      <c r="AL2" t="inlineStr">
        <is>
          <t>Todos los discos</t>
        </is>
      </c>
      <c r="AM2" t="inlineStr">
        <is>
          <t>Ninguno</t>
        </is>
      </c>
      <c r="AN2" t="inlineStr">
        <is>
          <t>Ninguna</t>
        </is>
      </c>
      <c r="AO2" t="inlineStr">
        <is>
          <t>Ninguno</t>
        </is>
      </c>
      <c r="AP2" t="inlineStr">
        <is>
          <t>Hoy</t>
        </is>
      </c>
      <c r="AQ2" t="inlineStr">
        <is>
          <t>Uso normal</t>
        </is>
      </c>
      <c r="AR2" t="inlineStr">
        <is>
          <t>Agua</t>
        </is>
      </c>
      <c r="AS2" t="inlineStr">
        <is>
          <t>Sin daño</t>
        </is>
      </c>
      <c r="AT2" t="inlineStr">
        <is>
          <t>Buen estado</t>
        </is>
      </c>
      <c r="AU2" t="inlineStr">
        <is>
          <t>Proporcionó la contraseña</t>
        </is>
      </c>
    </row>
    <row r="3">
      <c r="A3" s="29" t="inlineStr">
        <is>
          <t>Reloj</t>
        </is>
      </c>
      <c r="B3" s="29" t="inlineStr">
        <is>
          <t>Reloj</t>
        </is>
      </c>
      <c r="C3" t="inlineStr">
        <is>
          <t>No</t>
        </is>
      </c>
      <c r="D3" t="inlineStr">
        <is>
          <t>No</t>
        </is>
      </c>
      <c r="F3" s="29" t="inlineStr">
        <is>
          <t>Batería / No carga</t>
        </is>
      </c>
      <c r="G3" s="29" t="inlineStr">
        <is>
          <t>Batería / No carga</t>
        </is>
      </c>
      <c r="H3" s="29" t="inlineStr">
        <is>
          <t>Batería / No carga</t>
        </is>
      </c>
      <c r="I3" s="29" t="inlineStr">
        <is>
          <t>Batería / No carga</t>
        </is>
      </c>
      <c r="T3" t="inlineStr">
        <is>
          <t>No</t>
        </is>
      </c>
      <c r="U3" t="inlineStr">
        <is>
          <t>No funciona</t>
        </is>
      </c>
      <c r="V3" t="inlineStr">
        <is>
          <t>No carga / batería</t>
        </is>
      </c>
      <c r="W3" t="inlineStr">
        <is>
          <t>Últimos 3 días</t>
        </is>
      </c>
      <c r="X3" t="inlineStr">
        <is>
          <t>Sucede algunas veces</t>
        </is>
      </c>
      <c r="Y3" t="inlineStr">
        <is>
          <t>No</t>
        </is>
      </c>
      <c r="Z3" t="inlineStr">
        <is>
          <t>Pantalla</t>
        </is>
      </c>
      <c r="AA3" t="inlineStr">
        <is>
          <t>Roja</t>
        </is>
      </c>
      <c r="AB3" t="inlineStr">
        <is>
          <t>Luz</t>
        </is>
      </c>
      <c r="AC3" t="inlineStr">
        <is>
          <t>30 min a 1 hora</t>
        </is>
      </c>
      <c r="AD3" t="inlineStr">
        <is>
          <t>Parte superior</t>
        </is>
      </c>
      <c r="AE3" t="inlineStr">
        <is>
          <t>Menos de 6 meses</t>
        </is>
      </c>
      <c r="AF3" t="inlineStr">
        <is>
          <t>Cerrada</t>
        </is>
      </c>
      <c r="AG3" t="inlineStr">
        <is>
          <t>Esquina</t>
        </is>
      </c>
      <c r="AH3" t="inlineStr">
        <is>
          <t>Error de actualización</t>
        </is>
      </c>
      <c r="AI3" t="inlineStr">
        <is>
          <t>Navegador</t>
        </is>
      </c>
      <c r="AJ3" t="inlineStr">
        <is>
          <t>Windows 10</t>
        </is>
      </c>
      <c r="AK3" t="inlineStr">
        <is>
          <t>Android</t>
        </is>
      </c>
      <c r="AL3" t="inlineStr">
        <is>
          <t>Solo algunos</t>
        </is>
      </c>
      <c r="AM3" t="inlineStr">
        <is>
          <t>1</t>
        </is>
      </c>
      <c r="AN3" t="inlineStr">
        <is>
          <t>Reinició el equipo</t>
        </is>
      </c>
      <c r="AO3" t="inlineStr">
        <is>
          <t>Rayones leves</t>
        </is>
      </c>
      <c r="AP3" t="inlineStr">
        <is>
          <t>Esta semana</t>
        </is>
      </c>
      <c r="AQ3" t="inlineStr">
        <is>
          <t>Juegos</t>
        </is>
      </c>
      <c r="AR3" t="inlineStr">
        <is>
          <t>Agua de piscina</t>
        </is>
      </c>
      <c r="AS3" t="inlineStr">
        <is>
          <t>Rayones</t>
        </is>
      </c>
      <c r="AT3" t="inlineStr">
        <is>
          <t>Rayones</t>
        </is>
      </c>
      <c r="AU3" t="inlineStr">
        <is>
          <t>Cliente la ingresará en la prueba</t>
        </is>
      </c>
    </row>
    <row r="4">
      <c r="A4" s="29" t="inlineStr">
        <is>
          <t>Computadora</t>
        </is>
      </c>
      <c r="B4" s="29" t="inlineStr">
        <is>
          <t>Computadora</t>
        </is>
      </c>
      <c r="D4" t="inlineStr">
        <is>
          <t>No sé</t>
        </is>
      </c>
      <c r="F4" s="29" t="inlineStr">
        <is>
          <t>Calentamiento / Se apaga</t>
        </is>
      </c>
      <c r="G4" s="29" t="inlineStr">
        <is>
          <t>Contacto con líquido</t>
        </is>
      </c>
      <c r="H4" s="29" t="inlineStr">
        <is>
          <t>Calentamiento / Se apaga</t>
        </is>
      </c>
      <c r="I4" s="29" t="inlineStr">
        <is>
          <t>Calentamiento / Se apaga</t>
        </is>
      </c>
      <c r="T4" t="inlineStr">
        <is>
          <t>No fue posible comprobar</t>
        </is>
      </c>
      <c r="U4" t="inlineStr">
        <is>
          <t>No probado</t>
        </is>
      </c>
      <c r="V4" t="inlineStr">
        <is>
          <t>Pantalla dañada o sin imagen</t>
        </is>
      </c>
      <c r="W4" t="inlineStr">
        <is>
          <t>Esta semana</t>
        </is>
      </c>
      <c r="X4" t="inlineStr">
        <is>
          <t>No sabe</t>
        </is>
      </c>
      <c r="Y4" t="inlineStr">
        <is>
          <t>Intermitente</t>
        </is>
      </c>
      <c r="Z4" t="inlineStr">
        <is>
          <t>Batería o carga</t>
        </is>
      </c>
      <c r="AA4" t="inlineStr">
        <is>
          <t>Azul</t>
        </is>
      </c>
      <c r="AB4" t="inlineStr">
        <is>
          <t>Vibración</t>
        </is>
      </c>
      <c r="AC4" t="inlineStr">
        <is>
          <t>1 a 3 horas</t>
        </is>
      </c>
      <c r="AD4" t="inlineStr">
        <is>
          <t>Cerca de la batería</t>
        </is>
      </c>
      <c r="AE4" t="inlineStr">
        <is>
          <t>6 a 12 meses</t>
        </is>
      </c>
      <c r="AF4" t="inlineStr">
        <is>
          <t>No sabe</t>
        </is>
      </c>
      <c r="AG4" t="inlineStr">
        <is>
          <t>Parte trasera</t>
        </is>
      </c>
      <c r="AH4" t="inlineStr">
        <is>
          <t>Error de disco</t>
        </is>
      </c>
      <c r="AI4" t="inlineStr">
        <is>
          <t>Juegos</t>
        </is>
      </c>
      <c r="AJ4" t="inlineStr">
        <is>
          <t>Windows 7 o anterior</t>
        </is>
      </c>
      <c r="AK4" t="inlineStr">
        <is>
          <t>No sabe</t>
        </is>
      </c>
      <c r="AL4" t="inlineStr">
        <is>
          <t>Un solo disco</t>
        </is>
      </c>
      <c r="AM4" t="inlineStr">
        <is>
          <t>2</t>
        </is>
      </c>
      <c r="AN4" t="inlineStr">
        <is>
          <t>Cambió cargador o cable</t>
        </is>
      </c>
      <c r="AO4" t="inlineStr">
        <is>
          <t>Golpes</t>
        </is>
      </c>
      <c r="AP4" t="inlineStr">
        <is>
          <t>Este mes</t>
        </is>
      </c>
      <c r="AQ4" t="inlineStr">
        <is>
          <t>Cargando</t>
        </is>
      </c>
      <c r="AR4" t="inlineStr">
        <is>
          <t>Agua de mar</t>
        </is>
      </c>
      <c r="AS4" t="inlineStr">
        <is>
          <t>Quebrada</t>
        </is>
      </c>
      <c r="AT4" t="inlineStr">
        <is>
          <t>Golpes o abolladuras</t>
        </is>
      </c>
      <c r="AU4" t="inlineStr">
        <is>
          <t>No proporcionó contraseña</t>
        </is>
      </c>
    </row>
    <row r="5">
      <c r="A5" s="29" t="inlineStr">
        <is>
          <t>Consola</t>
        </is>
      </c>
      <c r="B5" s="29" t="inlineStr">
        <is>
          <t>Consola</t>
        </is>
      </c>
      <c r="F5" s="29" t="inlineStr">
        <is>
          <t>Contacto con líquido</t>
        </is>
      </c>
      <c r="G5" s="29" t="inlineStr">
        <is>
          <t>Golpe / Caída</t>
        </is>
      </c>
      <c r="H5" s="29" t="inlineStr">
        <is>
          <t>Contacto con líquido</t>
        </is>
      </c>
      <c r="I5" s="29" t="inlineStr">
        <is>
          <t>Contacto con líquido</t>
        </is>
      </c>
      <c r="V5" t="inlineStr">
        <is>
          <t>Se calienta o se apaga</t>
        </is>
      </c>
      <c r="W5" t="inlineStr">
        <is>
          <t>Este mes</t>
        </is>
      </c>
      <c r="Y5" t="inlineStr">
        <is>
          <t>No sé</t>
        </is>
      </c>
      <c r="Z5" t="inlineStr">
        <is>
          <t>Sonido</t>
        </is>
      </c>
      <c r="AA5" t="inlineStr">
        <is>
          <t>Blanca</t>
        </is>
      </c>
      <c r="AB5" t="inlineStr">
        <is>
          <t>Sonido</t>
        </is>
      </c>
      <c r="AC5" t="inlineStr">
        <is>
          <t>3 a 6 horas</t>
        </is>
      </c>
      <c r="AD5" t="inlineStr">
        <is>
          <t>Cerca de la cámara</t>
        </is>
      </c>
      <c r="AE5" t="inlineStr">
        <is>
          <t>Más de 1 año</t>
        </is>
      </c>
      <c r="AG5" t="inlineStr">
        <is>
          <t>Lateral</t>
        </is>
      </c>
      <c r="AH5" t="inlineStr">
        <is>
          <t>Error de red</t>
        </is>
      </c>
      <c r="AI5" t="inlineStr">
        <is>
          <t>Programas de trabajo</t>
        </is>
      </c>
      <c r="AJ5" t="inlineStr">
        <is>
          <t>macOS</t>
        </is>
      </c>
      <c r="AL5" t="inlineStr">
        <is>
          <t>No aplica</t>
        </is>
      </c>
      <c r="AM5" t="inlineStr">
        <is>
          <t>3 o más</t>
        </is>
      </c>
      <c r="AN5" t="inlineStr">
        <is>
          <t>Restableció de fábrica</t>
        </is>
      </c>
      <c r="AO5" t="inlineStr">
        <is>
          <t>Grietas</t>
        </is>
      </c>
      <c r="AP5" t="inlineStr">
        <is>
          <t>Hace más de 1 mes</t>
        </is>
      </c>
      <c r="AQ5" t="inlineStr">
        <is>
          <t>Siempre</t>
        </is>
      </c>
      <c r="AR5" t="inlineStr">
        <is>
          <t>Café</t>
        </is>
      </c>
      <c r="AS5" t="inlineStr">
        <is>
          <t>Manchas o líneas</t>
        </is>
      </c>
      <c r="AT5" t="inlineStr">
        <is>
          <t>Carcasa rota</t>
        </is>
      </c>
      <c r="AU5" t="inlineStr">
        <is>
          <t>No aplica</t>
        </is>
      </c>
    </row>
    <row r="6">
      <c r="F6" s="29" t="inlineStr">
        <is>
          <t>Golpe / Caída</t>
        </is>
      </c>
      <c r="G6" s="29" t="inlineStr">
        <is>
          <t>Pantalla / Imagen</t>
        </is>
      </c>
      <c r="H6" s="29" t="inlineStr">
        <is>
          <t>Golpe / Caída</t>
        </is>
      </c>
      <c r="I6" s="29" t="inlineStr">
        <is>
          <t>Golpe / Caída</t>
        </is>
      </c>
      <c r="V6" t="inlineStr">
        <is>
          <t>Lentitud o se congela</t>
        </is>
      </c>
      <c r="W6" t="inlineStr">
        <is>
          <t>Hace 1 a 3 meses</t>
        </is>
      </c>
      <c r="Z6" t="inlineStr">
        <is>
          <t>Cámara</t>
        </is>
      </c>
      <c r="AA6" t="inlineStr">
        <is>
          <t>Naranja</t>
        </is>
      </c>
      <c r="AB6" t="inlineStr">
        <is>
          <t>Varias señales</t>
        </is>
      </c>
      <c r="AC6" t="inlineStr">
        <is>
          <t>Más de 6 horas</t>
        </is>
      </c>
      <c r="AD6" t="inlineStr">
        <is>
          <t>Todo el equipo</t>
        </is>
      </c>
      <c r="AE6" t="inlineStr">
        <is>
          <t>No sabe</t>
        </is>
      </c>
      <c r="AG6" t="inlineStr">
        <is>
          <t>Parte inferior</t>
        </is>
      </c>
      <c r="AH6" t="inlineStr">
        <is>
          <t>Error de hardware</t>
        </is>
      </c>
      <c r="AI6" t="inlineStr">
        <is>
          <t>Redes sociales / mensajería</t>
        </is>
      </c>
      <c r="AJ6" t="inlineStr">
        <is>
          <t>Linux</t>
        </is>
      </c>
      <c r="AN6" t="inlineStr">
        <is>
          <t>Lo llevó a otro taller</t>
        </is>
      </c>
      <c r="AO6" t="inlineStr">
        <is>
          <t>Piezas sueltas</t>
        </is>
      </c>
      <c r="AP6" t="inlineStr">
        <is>
          <t>No sabe</t>
        </is>
      </c>
      <c r="AR6" t="inlineStr">
        <is>
          <t>Gaseosa</t>
        </is>
      </c>
    </row>
    <row r="7">
      <c r="F7" s="29" t="inlineStr">
        <is>
          <t>Pantalla / Imagen</t>
        </is>
      </c>
      <c r="G7" s="29" t="inlineStr">
        <is>
          <t>Lentitud / Sistema</t>
        </is>
      </c>
      <c r="H7" s="29" t="inlineStr">
        <is>
          <t>Pantalla / Imagen</t>
        </is>
      </c>
      <c r="I7" s="29" t="inlineStr">
        <is>
          <t>Pantalla / Imagen</t>
        </is>
      </c>
      <c r="V7" t="inlineStr">
        <is>
          <t>Golpe o caída</t>
        </is>
      </c>
      <c r="W7" t="inlineStr">
        <is>
          <t>Hace más de 3 meses</t>
        </is>
      </c>
      <c r="Z7" t="inlineStr">
        <is>
          <t>Señal / Wi-Fi</t>
        </is>
      </c>
      <c r="AA7" t="inlineStr">
        <is>
          <t>Verde</t>
        </is>
      </c>
      <c r="AC7" t="inlineStr">
        <is>
          <t>No sabe</t>
        </is>
      </c>
      <c r="AD7" t="inlineStr">
        <is>
          <t>No sabe</t>
        </is>
      </c>
      <c r="AG7" t="inlineStr">
        <is>
          <t>Parte superior</t>
        </is>
      </c>
      <c r="AH7" t="inlineStr">
        <is>
          <t>No sabe</t>
        </is>
      </c>
      <c r="AI7" t="inlineStr">
        <is>
          <t>Ninguno en específico</t>
        </is>
      </c>
      <c r="AJ7" t="inlineStr">
        <is>
          <t>No sabe</t>
        </is>
      </c>
      <c r="AN7" t="inlineStr">
        <is>
          <t>Lo intentó reparar personalmente</t>
        </is>
      </c>
      <c r="AO7" t="inlineStr">
        <is>
          <t>Faltan piezas</t>
        </is>
      </c>
      <c r="AR7" t="inlineStr">
        <is>
          <t>Alcohol</t>
        </is>
      </c>
    </row>
    <row r="8">
      <c r="F8" s="29" t="inlineStr">
        <is>
          <t>Lentitud / Sistema</t>
        </is>
      </c>
      <c r="G8" s="29" t="inlineStr">
        <is>
          <t>Cuenta / Bloqueo</t>
        </is>
      </c>
      <c r="H8" s="29" t="inlineStr">
        <is>
          <t>Lentitud / Sistema</t>
        </is>
      </c>
      <c r="I8" s="29" t="inlineStr">
        <is>
          <t>Lentitud / Sistema</t>
        </is>
      </c>
      <c r="V8" t="inlineStr">
        <is>
          <t>Contacto con líquido</t>
        </is>
      </c>
      <c r="W8" t="inlineStr">
        <is>
          <t>No sabe</t>
        </is>
      </c>
      <c r="Z8" t="inlineStr">
        <is>
          <t>Botones</t>
        </is>
      </c>
      <c r="AA8" t="inlineStr">
        <is>
          <t>Parpadea</t>
        </is>
      </c>
      <c r="AG8" t="inlineStr">
        <is>
          <t>Varias zonas</t>
        </is>
      </c>
      <c r="AI8" t="inlineStr">
        <is>
          <t>Otro (ver Detalle)</t>
        </is>
      </c>
      <c r="AN8" t="inlineStr">
        <is>
          <t>Otra (ver Detalle)</t>
        </is>
      </c>
      <c r="AO8" t="inlineStr">
        <is>
          <t>Otro (ver Detalle)</t>
        </is>
      </c>
      <c r="AR8" t="inlineStr">
        <is>
          <t>Otro líquido</t>
        </is>
      </c>
    </row>
    <row r="9">
      <c r="F9" s="29" t="inlineStr">
        <is>
          <t>Cuenta / Bloqueo</t>
        </is>
      </c>
      <c r="G9" s="29" t="inlineStr">
        <is>
          <t>Audio / Cámara / Micrófono</t>
        </is>
      </c>
      <c r="H9" s="29" t="inlineStr">
        <is>
          <t>Disco / Almacenamiento</t>
        </is>
      </c>
      <c r="I9" s="29" t="inlineStr">
        <is>
          <t>Disco / Almacenamiento</t>
        </is>
      </c>
      <c r="V9" t="inlineStr">
        <is>
          <t>Sin sonido / cámara / micrófono</t>
        </is>
      </c>
      <c r="Z9" t="inlineStr">
        <is>
          <t>Lentitud</t>
        </is>
      </c>
      <c r="AG9" t="inlineStr">
        <is>
          <t>No sabe</t>
        </is>
      </c>
    </row>
    <row r="10">
      <c r="F10" s="29" t="inlineStr">
        <is>
          <t>Audio / Cámara / Micrófono</t>
        </is>
      </c>
      <c r="G10" s="29" t="inlineStr">
        <is>
          <t>Red / Señal / Conectividad</t>
        </is>
      </c>
      <c r="H10" s="29" t="inlineStr">
        <is>
          <t>Cuenta / Bloqueo</t>
        </is>
      </c>
      <c r="I10" s="29" t="inlineStr">
        <is>
          <t>Cuenta / Bloqueo</t>
        </is>
      </c>
      <c r="V10" t="inlineStr">
        <is>
          <t>Sin señal o conexión</t>
        </is>
      </c>
      <c r="Z10" t="inlineStr">
        <is>
          <t>Otra (ver Detalle)</t>
        </is>
      </c>
    </row>
    <row r="11">
      <c r="F11" s="29" t="inlineStr">
        <is>
          <t>Red / Señal / Conectividad</t>
        </is>
      </c>
      <c r="G11" s="29" t="inlineStr">
        <is>
          <t>Sensores / Botones / Correa</t>
        </is>
      </c>
      <c r="H11" s="29" t="inlineStr">
        <is>
          <t>Audio / Cámara / Micrófono</t>
        </is>
      </c>
      <c r="I11" s="29" t="inlineStr">
        <is>
          <t>Audio / Cámara / Micrófono</t>
        </is>
      </c>
      <c r="V11" t="inlineStr">
        <is>
          <t>Botones o teclado</t>
        </is>
      </c>
    </row>
    <row r="12">
      <c r="F12" s="29" t="inlineStr">
        <is>
          <t>Otra falla</t>
        </is>
      </c>
      <c r="G12" s="29" t="inlineStr">
        <is>
          <t>Otra falla</t>
        </is>
      </c>
      <c r="H12" s="29" t="inlineStr">
        <is>
          <t>Red / Señal / Conectividad</t>
        </is>
      </c>
      <c r="I12" s="29" t="inlineStr">
        <is>
          <t>Red / Señal / Conectividad</t>
        </is>
      </c>
      <c r="V12" t="inlineStr">
        <is>
          <t>Otra falla</t>
        </is>
      </c>
    </row>
    <row r="13">
      <c r="H13" s="29" t="inlineStr">
        <is>
          <t>Teclado / Touchpad / Puertos</t>
        </is>
      </c>
      <c r="I13" s="29" t="inlineStr">
        <is>
          <t>Lector de disco / Juegos</t>
        </is>
      </c>
    </row>
    <row r="14">
      <c r="H14" s="29" t="inlineStr">
        <is>
          <t>Otra falla</t>
        </is>
      </c>
      <c r="I14" s="29" t="inlineStr">
        <is>
          <t>Control / Mando</t>
        </is>
      </c>
    </row>
    <row r="15">
      <c r="I15" s="29" t="inlineStr">
        <is>
          <t>Otra falla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2026-09-30T16:44:32Z</dcterms:created>
  <dcterms:modified xsi:type="dcterms:W3CDTF">2026-09-30T16:44:32Z</dcterms:modified>
</cp:coreProperties>
</file>