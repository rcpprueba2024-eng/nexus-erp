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Recepción" sheetId="2" state="visible" r:id="rId2"/>
    <sheet name="Banco_Preguntas" sheetId="3" state="visible" r:id="rId3"/>
    <sheet name="Listas" sheetId="4" state="visible" r:id="rId4"/>
  </sheets>
  <definedNames>
    <definedName name="T_EQUIPO">Listas!$A$2:$A$10</definedName>
    <definedName name="L_SN">Listas!$D$2:$D$3</definedName>
    <definedName name="L_SNS">Listas!$E$2:$E$4</definedName>
    <definedName name="L_SNI">Listas!$F$2:$F$4</definedName>
    <definedName name="L_PI">Listas!$G$2:$G$3</definedName>
    <definedName name="L_SNC">Listas!$H$2:$H$4</definedName>
    <definedName name="L_OKF">Listas!$I$2:$I$5</definedName>
    <definedName name="L_PR">Listas!$J$2:$J$3</definedName>
    <definedName name="L_FOTO">Listas!$K$2:$K$4</definedName>
    <definedName name="L_LIQ">Listas!$L$2:$L$8</definedName>
    <definedName name="L_CUANDO">Listas!$M$2:$M$6</definedName>
    <definedName name="L_MOM">Listas!$N$2:$N$6</definedName>
    <definedName name="L_PIN">Listas!$O$2:$O$5</definedName>
    <definedName name="L_AUT">Listas!$P$2:$P$3</definedName>
    <definedName name="L_E_PANT">Listas!$Q$2:$Q$6</definedName>
    <definedName name="L_E_CARC">Listas!$R$2:$R$7</definedName>
    <definedName name="L_E_TORN">Listas!$S$2:$S$4</definedName>
    <definedName name="L_E_BIS">Listas!$T$2:$T$4</definedName>
    <definedName name="L_E_GEN">Listas!$U$2:$U$4</definedName>
    <definedName name="L_TXT">Listas!$V$2:$V$2</definedName>
    <definedName name="F_Celular">Listas!$X$2:$X$12</definedName>
    <definedName name="F_Tablet">Listas!$Y$2:$Y$12</definedName>
    <definedName name="F_Reloj">Listas!$Z$2:$Z$12</definedName>
    <definedName name="F_Laptop">Listas!$AA$2:$AA$14</definedName>
    <definedName name="F_PC">Listas!$AB$2:$AB$13</definedName>
    <definedName name="F_MacBook">Listas!$AC$2:$AC$14</definedName>
    <definedName name="F_iMac">Listas!$AD$2:$AD$13</definedName>
    <definedName name="F_Consola">Listas!$AE$2:$AE$15</definedName>
    <definedName name="F_Otro">Listas!$AF$2:$AF$11</definedName>
    <definedName name="_xlnm.Print_Titles" localSheetId="1">'Recepción'!$1:$2</definedName>
    <definedName name="_xlnm._FilterDatabase" localSheetId="2" hidden="1">'Banco_Preguntas'!$A$1:$P$264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808080"/>
      <sz val="10"/>
    </font>
    <font>
      <name val="Arial"/>
      <i val="1"/>
      <color rgb="00808080"/>
      <sz val="10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i val="1"/>
      <color rgb="002E75B6"/>
      <sz val="10"/>
    </font>
    <font>
      <name val="Arial"/>
      <b val="1"/>
      <color rgb="009C0006"/>
      <sz val="10"/>
    </font>
    <font>
      <name val="Arial"/>
      <b val="1"/>
      <color rgb="009C0006"/>
      <sz val="16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8DC"/>
        <bgColor rgb="00FFF8D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3" borderId="0" pivotButton="0" quotePrefix="0" xfId="0"/>
    <xf numFmtId="0" fontId="9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11" fillId="6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  <xf numFmtId="0" fontId="8" fillId="3" borderId="0" applyAlignment="1" pivotButton="0" quotePrefix="0" xfId="0">
      <alignment vertical="center" indent="1"/>
    </xf>
    <xf numFmtId="0" fontId="9" fillId="4" borderId="1" applyAlignment="1" pivotButton="0" quotePrefix="0" xfId="0">
      <alignment vertical="center" indent="1"/>
    </xf>
    <xf numFmtId="0" fontId="1" fillId="5" borderId="1" applyAlignment="1" pivotButton="0" quotePrefix="0" xfId="0">
      <alignment vertical="center" indent="1"/>
    </xf>
    <xf numFmtId="164" fontId="1" fillId="5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9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9C0006"/>
      </font>
      <fill>
        <patternFill patternType="solid">
          <bgColor rgb="00FFC7CE"/>
        </patternFill>
      </fill>
    </dxf>
    <dxf>
      <font>
        <name val="Arial"/>
        <b val="1"/>
        <color rgb="00FFFFFF"/>
        <sz val="11"/>
      </font>
      <fill>
        <patternFill patternType="solid">
          <bgColor rgb="001F3864"/>
        </patternFill>
      </fill>
    </dxf>
    <dxf>
      <border>
        <left style="thin">
          <color rgb="00BFBFBF"/>
        </left>
        <right style="thin">
          <color rgb="00BFBFBF"/>
        </right>
        <top style="thin">
          <color rgb="00BFBFBF"/>
        </top>
        <bottom style="thin">
          <color rgb="00BFBFBF"/>
        </bottom>
      </border>
    </dxf>
    <dxf>
      <fill>
        <patternFill patternType="solid">
          <bgColor rgb="00FFF8DC"/>
        </patternFill>
      </fill>
    </dxf>
    <dxf>
      <font>
        <name val="Arial"/>
        <b val="1"/>
        <color rgb="002E75B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95" customWidth="1" min="3" max="3"/>
  </cols>
  <sheetData>
    <row r="1" ht="36" customHeight="1">
      <c r="B1" s="1" t="inlineStr">
        <is>
          <t>RCP · Checklist de Recepción Técnica</t>
        </is>
      </c>
    </row>
    <row r="3">
      <c r="B3" s="2" t="inlineStr">
        <is>
          <t>CÓMO USARLO</t>
        </is>
      </c>
    </row>
    <row r="4" ht="30" customHeight="1">
      <c r="B4" s="3" t="inlineStr">
        <is>
          <t>1. Datos del cliente</t>
        </is>
      </c>
      <c r="C4" s="4" t="inlineStr">
        <is>
          <t>En la hoja «Recepción» llene las casillas amarillas: tipo de equipo, marca/modelo, serial/IMEI, cliente, teléfono, quién recibe y fecha.</t>
        </is>
      </c>
    </row>
    <row r="5" ht="30" customHeight="1">
      <c r="B5" s="3" t="inlineStr">
        <is>
          <t>2. Tipo de equipo</t>
        </is>
      </c>
      <c r="C5" s="4" t="inlineStr">
        <is>
          <t>Elija en la lista: Celular, Tablet, Reloj inteligente, Laptop, PC de escritorio, MacBook, iMac, Consola de videojuegos u Otro. El formulario se adapta solo.</t>
        </is>
      </c>
    </row>
    <row r="6" ht="30" customHeight="1">
      <c r="B6" s="3" t="inlineStr">
        <is>
          <t>3. Falla reportada</t>
        </is>
      </c>
      <c r="C6" s="4" t="inlineStr">
        <is>
          <t>Elija la falla principal (y hasta dos más). Cada equipo muestra únicamente las fallas que le corresponden.</t>
        </is>
      </c>
    </row>
    <row r="7" ht="44" customHeight="1">
      <c r="B7" s="3" t="inlineStr">
        <is>
          <t>4. Preguntas</t>
        </is>
      </c>
      <c r="C7" s="4" t="inlineStr">
        <is>
          <t>La sección A (10 preguntas) es igual para todos. Debajo aparecen solo las preguntas de la falla elegida, la verificación física, accesorios, fotos, pruebas de ingreso y autorizaciones de ese equipo.</t>
        </is>
      </c>
    </row>
    <row r="8" ht="44" customHeight="1">
      <c r="B8" s="3" t="inlineStr">
        <is>
          <t>5. Reglas automáticas</t>
        </is>
      </c>
      <c r="C8" s="4" t="inlineStr">
        <is>
          <t>Si el cliente responde Sí a líquido (P5), se agrega el bloque de líquido; Sí a golpe (P4), el de golpe; No a «Enciende» (P7), el de «No enciende». Aparecen alertas rojas para líquido, batería inflada, datos sin respaldo, reparación previa y golpe.</t>
        </is>
      </c>
    </row>
    <row r="9" ht="30" customHeight="1">
      <c r="B9" s="3" t="inlineStr">
        <is>
          <t>6. Guardar</t>
        </is>
      </c>
      <c r="C9" s="4" t="inlineStr">
        <is>
          <t>Por cada cliente use «Guardar como» con un nombre nuevo (ej. RCP_Recepcion_Cliente_2026-09-30.xlsx) y deje esta versión como plantilla limpia.</t>
        </is>
      </c>
    </row>
    <row r="10">
      <c r="B10" s="2" t="inlineStr">
        <is>
          <t>LEYENDA</t>
        </is>
      </c>
    </row>
    <row r="11" ht="18" customHeight="1">
      <c r="B11" s="5" t="inlineStr">
        <is>
          <t>Casilla amarilla</t>
        </is>
      </c>
      <c r="C11" s="4" t="inlineStr">
        <is>
          <t>Se llena (lista desplegable o texto libre en «Detalle»).</t>
        </is>
      </c>
    </row>
    <row r="12" ht="18" customHeight="1">
      <c r="B12" s="6" t="inlineStr">
        <is>
          <t>Fila azul oscuro</t>
        </is>
      </c>
      <c r="C12" s="4" t="inlineStr">
        <is>
          <t>Título de sección (se genera automáticamente).</t>
        </is>
      </c>
    </row>
    <row r="13" ht="18" customHeight="1">
      <c r="B13" s="7" t="inlineStr">
        <is>
          <t>Rojo</t>
        </is>
      </c>
      <c r="C13" s="4" t="inlineStr">
        <is>
          <t>Alerta que el técnico y recepción deben atender.</t>
        </is>
      </c>
    </row>
    <row r="14">
      <c r="B14" s="2" t="inlineStr">
        <is>
          <t>PERSONALIZAR</t>
        </is>
      </c>
    </row>
    <row r="15" ht="30" customHeight="1">
      <c r="B15" s="3" t="inlineStr">
        <is>
          <t>Hoja Banco_Preguntas</t>
        </is>
      </c>
      <c r="C15" s="4" t="inlineStr">
        <is>
          <t>Contiene todas las preguntas. Puede editar el texto, o agregar preguntas nuevas al final marcando con 1/0 los equipos donde aplican. La hoja «Listas» guarda las opciones de respuesta.</t>
        </is>
      </c>
    </row>
    <row r="16" ht="30" customHeight="1">
      <c r="B16" s="3" t="inlineStr">
        <is>
          <t>Impresión</t>
        </is>
      </c>
      <c r="C16" s="4" t="inlineStr">
        <is>
          <t>La hoja «Recepción» está lista para imprimir a lo ancho de una página; ajuste el área de impresión al final de las preguntas visibles.</t>
        </is>
      </c>
    </row>
    <row r="17" ht="30" customHeight="1">
      <c r="B17" s="3" t="inlineStr">
        <is>
          <t>Ejemplo</t>
        </is>
      </c>
      <c r="C17" s="4" t="inlineStr">
        <is>
          <t>Al abrir el archivo ya está seleccionado «Celular» para que vea el funcionamiento; cambie el tipo de equipo y las preguntas cambian.</t>
        </is>
      </c>
    </row>
  </sheetData>
  <mergeCells count="4">
    <mergeCell ref="B1:C1"/>
    <mergeCell ref="B3:C3"/>
    <mergeCell ref="B14:C14"/>
    <mergeCell ref="B10:C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I1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26" customWidth="1" min="3" max="3"/>
    <col width="66" customWidth="1" min="4" max="4"/>
    <col width="27" customWidth="1" min="5" max="5"/>
    <col width="46" customWidth="1" min="6" max="6"/>
    <col hidden="1" width="10" customWidth="1" min="7" max="7"/>
    <col hidden="1" width="6" customWidth="1" min="8" max="8"/>
    <col hidden="1" width="10" customWidth="1" min="9" max="9"/>
  </cols>
  <sheetData>
    <row r="1" ht="36" customHeight="1">
      <c r="B1" s="1" t="inlineStr">
        <is>
          <t>RCP · CHECKLIST DE RECEPCIÓN TÉCNICA</t>
        </is>
      </c>
    </row>
    <row r="2">
      <c r="B2" s="8" t="inlineStr">
        <is>
          <t>Elija el tipo de equipo y la falla: solo aparecen las preguntas que corresponden. Casillas amarillas = se llenan.</t>
        </is>
      </c>
    </row>
    <row r="4" ht="22" customHeight="1">
      <c r="B4" s="9" t="inlineStr">
        <is>
          <t>DATOS DEL EQUIPO Y DEL CLIENTE</t>
        </is>
      </c>
    </row>
    <row r="5" ht="21" customHeight="1">
      <c r="C5" s="10" t="inlineStr">
        <is>
          <t>Tipo de equipo *</t>
        </is>
      </c>
      <c r="D5" s="11" t="inlineStr">
        <is>
          <t>Celular</t>
        </is>
      </c>
      <c r="E5" s="10" t="inlineStr">
        <is>
          <t>N.º de orden</t>
        </is>
      </c>
      <c r="F5" s="11" t="n"/>
      <c r="G5">
        <f>IFERROR(INDEX(Listas!$B$2:$B$10,MATCH(D5,Listas!$A$2:$A$10,0)),"Otro")</f>
        <v/>
      </c>
    </row>
    <row r="6" ht="21" customHeight="1">
      <c r="C6" s="10" t="inlineStr">
        <is>
          <t>Marca / Modelo</t>
        </is>
      </c>
      <c r="D6" s="11" t="n"/>
      <c r="E6" s="10" t="inlineStr">
        <is>
          <t>Serial / IMEI</t>
        </is>
      </c>
      <c r="F6" s="11" t="n"/>
    </row>
    <row r="7" ht="21" customHeight="1">
      <c r="C7" s="10" t="inlineStr">
        <is>
          <t>Cliente</t>
        </is>
      </c>
      <c r="D7" s="11" t="n"/>
      <c r="E7" s="10" t="inlineStr">
        <is>
          <t>Teléfono / WhatsApp</t>
        </is>
      </c>
      <c r="F7" s="11" t="n"/>
    </row>
    <row r="8" ht="21" customHeight="1">
      <c r="C8" s="10" t="inlineStr">
        <is>
          <t>Recibido por</t>
        </is>
      </c>
      <c r="D8" s="11" t="n"/>
      <c r="E8" s="10" t="inlineStr">
        <is>
          <t>Fecha de recepción</t>
        </is>
      </c>
      <c r="F8" s="12" t="n"/>
    </row>
    <row r="9" ht="21" customHeight="1">
      <c r="C9" s="10" t="inlineStr">
        <is>
          <t>Falla reportada (principal) *</t>
        </is>
      </c>
      <c r="D9" s="11" t="n"/>
      <c r="E9" s="10" t="inlineStr">
        <is>
          <t>Segunda falla (opcional)</t>
        </is>
      </c>
      <c r="F9" s="11" t="n"/>
    </row>
    <row r="10" ht="21" customHeight="1">
      <c r="C10" s="10" t="inlineStr">
        <is>
          <t>Tercera falla (opcional)</t>
        </is>
      </c>
      <c r="D10" s="11" t="n"/>
      <c r="E10" s="10" t="inlineStr">
        <is>
          <t>Nivel de atención</t>
        </is>
      </c>
      <c r="F10" s="13">
        <f>IF(OR(E25="Sí",SUMPRODUCT(ISNUMBER(SEARCH("inflada",$D$32:$D$161))*($E$32:$E$161="Sí"))&gt;0),"ALTA PRIORIDAD","Normal")</f>
        <v/>
      </c>
    </row>
    <row r="11">
      <c r="C11" s="14">
        <f>IF(COUNTIF(Banco_Preguntas!$O$2:$O$400,1)&gt;130,"AVISO: hay más preguntas que filas disponibles; reduzca las fallas seleccionadas.",IF(D5="","Seleccione el tipo de equipo para comenzar.",IF(D9="","Seleccione la falla reportada (fila 9) para desplegar las preguntas específicas.",IF(COUNTIF(INDEX(Listas!$X$2:$AF$20,0,MATCH(D5,Listas!$A$2:$A$10,0)),D9)=0,"La falla elegida no aplica a este tipo de equipo: vuelva a seleccionarla.","Equipo: "&amp;D5&amp;"  ·  falla: "&amp;D9&amp;IF(F9&lt;&gt;""," + "&amp;F9,"")&amp;IF(D10&lt;&gt;""," + "&amp;D10,"")))))</f>
        <v/>
      </c>
    </row>
    <row r="12" ht="22" customHeight="1">
      <c r="B12" s="9" t="inlineStr">
        <is>
          <t>ALERTAS AUTOMÁTICAS PARA RECEPCIÓN Y TÉCNICOS</t>
        </is>
      </c>
    </row>
    <row r="13">
      <c r="B13" s="15" t="inlineStr">
        <is>
          <t>!</t>
        </is>
      </c>
      <c r="C13" s="16">
        <f>IF(E25="Sí","ALTA PRIORIDAD · Ingresa por CONTAMINACIÓN DE LÍQUIDO: registrarlo claramente en la orden; no encender ni conectar al cargador.","")</f>
        <v/>
      </c>
    </row>
    <row r="14">
      <c r="C14" s="16">
        <f>IF(SUMPRODUCT(ISNUMBER(SEARCH("inflada",$D$32:$D$161))*($E$32:$E$161="Sí"))&gt;0,"ALTA PRIORIDAD · Batería inflada / equipo deformado: riesgo de seguridad, manipular con cuidado y aislar el equipo.","")</f>
        <v/>
      </c>
    </row>
    <row r="15">
      <c r="C15" s="16">
        <f>IF(AND(E28="Sí",E29&lt;&gt;"Sí"),"DATOS EN RIESGO · Información importante SIN respaldo reciente: reforzar la autorización de la sección D antes de intervenir.","")</f>
        <v/>
      </c>
    </row>
    <row r="16">
      <c r="C16" s="16">
        <f>IF(E26="Sí","Equipo abierto o reparado antes: fotografiar señales de apertura y anotar quién lo intervino.","")</f>
        <v/>
      </c>
    </row>
    <row r="17">
      <c r="C17" s="16">
        <f>IF(E24="Sí","Golpe o caída reportado: documentar la zona del impacto y fotografiar daños existentes.","")</f>
        <v/>
      </c>
    </row>
    <row r="19" ht="22" customHeight="1">
      <c r="B19" s="9" t="inlineStr">
        <is>
          <t>A. PREGUNTAS OBLIGATORIAS · TODOS LOS EQUIPOS</t>
        </is>
      </c>
    </row>
    <row r="20">
      <c r="B20" s="17" t="inlineStr">
        <is>
          <t>N.º</t>
        </is>
      </c>
      <c r="C20" s="17" t="inlineStr">
        <is>
          <t>Bloque</t>
        </is>
      </c>
      <c r="D20" s="17" t="inlineStr">
        <is>
          <t>Pregunta</t>
        </is>
      </c>
      <c r="E20" s="17" t="inlineStr">
        <is>
          <t>Respuesta</t>
        </is>
      </c>
      <c r="F20" s="17" t="inlineStr">
        <is>
          <t>Detalle / observación</t>
        </is>
      </c>
    </row>
    <row r="21">
      <c r="B21" s="18" t="n">
        <v>1</v>
      </c>
      <c r="C21" s="19" t="inlineStr">
        <is>
          <t>General</t>
        </is>
      </c>
      <c r="D21" s="20" t="inlineStr">
        <is>
          <t>¿Cuál es la falla principal que presenta el equipo?</t>
        </is>
      </c>
      <c r="E21" s="21" t="n"/>
      <c r="F21" s="21" t="n"/>
    </row>
    <row r="22">
      <c r="B22" s="18" t="n">
        <v>2</v>
      </c>
      <c r="C22" s="19" t="inlineStr">
        <is>
          <t>General</t>
        </is>
      </c>
      <c r="D22" s="20" t="inlineStr">
        <is>
          <t>¿Desde cuándo presenta la falla?</t>
        </is>
      </c>
      <c r="E22" s="21" t="n"/>
      <c r="F22" s="21" t="n"/>
    </row>
    <row r="23">
      <c r="B23" s="18" t="n">
        <v>3</v>
      </c>
      <c r="C23" s="19" t="inlineStr">
        <is>
          <t>General</t>
        </is>
      </c>
      <c r="D23" s="20" t="inlineStr">
        <is>
          <t>¿La falla es permanente o sucede algunas veces?</t>
        </is>
      </c>
      <c r="E23" s="21" t="n"/>
      <c r="F23" s="21" t="n"/>
    </row>
    <row r="24">
      <c r="B24" s="18" t="n">
        <v>4</v>
      </c>
      <c r="C24" s="19" t="inlineStr">
        <is>
          <t>General</t>
        </is>
      </c>
      <c r="D24" s="20" t="inlineStr">
        <is>
          <t>¿Sufrió algún golpe o caída recientemente?</t>
        </is>
      </c>
      <c r="E24" s="21" t="n"/>
      <c r="F24" s="21" t="n"/>
    </row>
    <row r="25">
      <c r="B25" s="18" t="n">
        <v>5</v>
      </c>
      <c r="C25" s="19" t="inlineStr">
        <is>
          <t>General</t>
        </is>
      </c>
      <c r="D25" s="20" t="inlineStr">
        <is>
          <t>¿Ha tenido contacto con agua, humedad o algún líquido?</t>
        </is>
      </c>
      <c r="E25" s="21" t="n"/>
      <c r="F25" s="21" t="n"/>
    </row>
    <row r="26">
      <c r="B26" s="18" t="n">
        <v>6</v>
      </c>
      <c r="C26" s="19" t="inlineStr">
        <is>
          <t>General</t>
        </is>
      </c>
      <c r="D26" s="20" t="inlineStr">
        <is>
          <t>¿Ha sido abierto o reparado anteriormente?</t>
        </is>
      </c>
      <c r="E26" s="21" t="n"/>
      <c r="F26" s="21" t="n"/>
    </row>
    <row r="27">
      <c r="B27" s="18" t="n">
        <v>7</v>
      </c>
      <c r="C27" s="19" t="inlineStr">
        <is>
          <t>General</t>
        </is>
      </c>
      <c r="D27" s="20" t="inlineStr">
        <is>
          <t>¿Enciende actualmente?</t>
        </is>
      </c>
      <c r="E27" s="21" t="n"/>
      <c r="F27" s="21" t="n"/>
    </row>
    <row r="28">
      <c r="B28" s="18" t="n">
        <v>8</v>
      </c>
      <c r="C28" s="19" t="inlineStr">
        <is>
          <t>General</t>
        </is>
      </c>
      <c r="D28" s="20" t="inlineStr">
        <is>
          <t>¿Tiene información importante que no puede perder?</t>
        </is>
      </c>
      <c r="E28" s="21" t="n"/>
      <c r="F28" s="21" t="n"/>
    </row>
    <row r="29">
      <c r="B29" s="18" t="n">
        <v>9</v>
      </c>
      <c r="C29" s="19" t="inlineStr">
        <is>
          <t>General</t>
        </is>
      </c>
      <c r="D29" s="20" t="inlineStr">
        <is>
          <t>¿Tiene respaldo reciente de su información?</t>
        </is>
      </c>
      <c r="E29" s="21" t="n"/>
      <c r="F29" s="21" t="n"/>
    </row>
    <row r="30">
      <c r="B30" s="18" t="n">
        <v>10</v>
      </c>
      <c r="C30" s="19" t="inlineStr">
        <is>
          <t>General</t>
        </is>
      </c>
      <c r="D30" s="20" t="inlineStr">
        <is>
          <t>¿Hay alguna otra falla o condición que debamos conocer?</t>
        </is>
      </c>
      <c r="E30" s="21" t="n"/>
      <c r="F30" s="21" t="n"/>
    </row>
    <row r="31" ht="8" customHeight="1"/>
    <row r="32">
      <c r="B32" s="22">
        <f>IF(OR(H32=0,I32="HEAD"),"",10+COUNTIFS($H$32:H32,"&gt;0",$I$32:I32,"&lt;&gt;HEAD"))</f>
        <v/>
      </c>
      <c r="C32" s="23">
        <f>IF(OR(H32=0,I32="HEAD"),"",INDEX(Banco_Preguntas!$B$2:$B$400,H32))</f>
        <v/>
      </c>
      <c r="D32" s="24">
        <f>IF(H32=0,"",INDEX(Banco_Preguntas!$C$2:$C$400,H32))</f>
        <v/>
      </c>
      <c r="E32" s="24" t="n"/>
      <c r="F32" s="24" t="n"/>
      <c r="G32">
        <f>IF(OR(I32="",I32="HEAD"),"L_TXT","L_"&amp;I32)</f>
        <v/>
      </c>
      <c r="H32">
        <f>IFERROR(MATCH(1,Banco_Preguntas!$P$2:$P$400,0),0)</f>
        <v/>
      </c>
      <c r="I32">
        <f>IF(H32=0,"",INDEX(Banco_Preguntas!$D$2:$D$400,H32))</f>
        <v/>
      </c>
    </row>
    <row r="33">
      <c r="B33" s="22">
        <f>IF(OR(H33=0,I33="HEAD"),"",10+COUNTIFS($H$32:H33,"&gt;0",$I$32:I33,"&lt;&gt;HEAD"))</f>
        <v/>
      </c>
      <c r="C33" s="23">
        <f>IF(OR(H33=0,I33="HEAD"),"",INDEX(Banco_Preguntas!$B$2:$B$400,H33))</f>
        <v/>
      </c>
      <c r="D33" s="24">
        <f>IF(H33=0,"",INDEX(Banco_Preguntas!$C$2:$C$400,H33))</f>
        <v/>
      </c>
      <c r="E33" s="24" t="n"/>
      <c r="F33" s="24" t="n"/>
      <c r="G33">
        <f>IF(OR(I33="",I33="HEAD"),"L_TXT","L_"&amp;I33)</f>
        <v/>
      </c>
      <c r="H33">
        <f>IFERROR(MATCH(2,Banco_Preguntas!$P$2:$P$400,0),0)</f>
        <v/>
      </c>
      <c r="I33">
        <f>IF(H33=0,"",INDEX(Banco_Preguntas!$D$2:$D$400,H33))</f>
        <v/>
      </c>
    </row>
    <row r="34">
      <c r="B34" s="22">
        <f>IF(OR(H34=0,I34="HEAD"),"",10+COUNTIFS($H$32:H34,"&gt;0",$I$32:I34,"&lt;&gt;HEAD"))</f>
        <v/>
      </c>
      <c r="C34" s="23">
        <f>IF(OR(H34=0,I34="HEAD"),"",INDEX(Banco_Preguntas!$B$2:$B$400,H34))</f>
        <v/>
      </c>
      <c r="D34" s="24">
        <f>IF(H34=0,"",INDEX(Banco_Preguntas!$C$2:$C$400,H34))</f>
        <v/>
      </c>
      <c r="E34" s="24" t="n"/>
      <c r="F34" s="24" t="n"/>
      <c r="G34">
        <f>IF(OR(I34="",I34="HEAD"),"L_TXT","L_"&amp;I34)</f>
        <v/>
      </c>
      <c r="H34">
        <f>IFERROR(MATCH(3,Banco_Preguntas!$P$2:$P$400,0),0)</f>
        <v/>
      </c>
      <c r="I34">
        <f>IF(H34=0,"",INDEX(Banco_Preguntas!$D$2:$D$400,H34))</f>
        <v/>
      </c>
    </row>
    <row r="35">
      <c r="B35" s="22">
        <f>IF(OR(H35=0,I35="HEAD"),"",10+COUNTIFS($H$32:H35,"&gt;0",$I$32:I35,"&lt;&gt;HEAD"))</f>
        <v/>
      </c>
      <c r="C35" s="23">
        <f>IF(OR(H35=0,I35="HEAD"),"",INDEX(Banco_Preguntas!$B$2:$B$400,H35))</f>
        <v/>
      </c>
      <c r="D35" s="24">
        <f>IF(H35=0,"",INDEX(Banco_Preguntas!$C$2:$C$400,H35))</f>
        <v/>
      </c>
      <c r="E35" s="24" t="n"/>
      <c r="F35" s="24" t="n"/>
      <c r="G35">
        <f>IF(OR(I35="",I35="HEAD"),"L_TXT","L_"&amp;I35)</f>
        <v/>
      </c>
      <c r="H35">
        <f>IFERROR(MATCH(4,Banco_Preguntas!$P$2:$P$400,0),0)</f>
        <v/>
      </c>
      <c r="I35">
        <f>IF(H35=0,"",INDEX(Banco_Preguntas!$D$2:$D$400,H35))</f>
        <v/>
      </c>
    </row>
    <row r="36">
      <c r="B36" s="22">
        <f>IF(OR(H36=0,I36="HEAD"),"",10+COUNTIFS($H$32:H36,"&gt;0",$I$32:I36,"&lt;&gt;HEAD"))</f>
        <v/>
      </c>
      <c r="C36" s="23">
        <f>IF(OR(H36=0,I36="HEAD"),"",INDEX(Banco_Preguntas!$B$2:$B$400,H36))</f>
        <v/>
      </c>
      <c r="D36" s="24">
        <f>IF(H36=0,"",INDEX(Banco_Preguntas!$C$2:$C$400,H36))</f>
        <v/>
      </c>
      <c r="E36" s="24" t="n"/>
      <c r="F36" s="24" t="n"/>
      <c r="G36">
        <f>IF(OR(I36="",I36="HEAD"),"L_TXT","L_"&amp;I36)</f>
        <v/>
      </c>
      <c r="H36">
        <f>IFERROR(MATCH(5,Banco_Preguntas!$P$2:$P$400,0),0)</f>
        <v/>
      </c>
      <c r="I36">
        <f>IF(H36=0,"",INDEX(Banco_Preguntas!$D$2:$D$400,H36))</f>
        <v/>
      </c>
    </row>
    <row r="37">
      <c r="B37" s="22">
        <f>IF(OR(H37=0,I37="HEAD"),"",10+COUNTIFS($H$32:H37,"&gt;0",$I$32:I37,"&lt;&gt;HEAD"))</f>
        <v/>
      </c>
      <c r="C37" s="23">
        <f>IF(OR(H37=0,I37="HEAD"),"",INDEX(Banco_Preguntas!$B$2:$B$400,H37))</f>
        <v/>
      </c>
      <c r="D37" s="24">
        <f>IF(H37=0,"",INDEX(Banco_Preguntas!$C$2:$C$400,H37))</f>
        <v/>
      </c>
      <c r="E37" s="24" t="n"/>
      <c r="F37" s="24" t="n"/>
      <c r="G37">
        <f>IF(OR(I37="",I37="HEAD"),"L_TXT","L_"&amp;I37)</f>
        <v/>
      </c>
      <c r="H37">
        <f>IFERROR(MATCH(6,Banco_Preguntas!$P$2:$P$400,0),0)</f>
        <v/>
      </c>
      <c r="I37">
        <f>IF(H37=0,"",INDEX(Banco_Preguntas!$D$2:$D$400,H37))</f>
        <v/>
      </c>
    </row>
    <row r="38">
      <c r="B38" s="22">
        <f>IF(OR(H38=0,I38="HEAD"),"",10+COUNTIFS($H$32:H38,"&gt;0",$I$32:I38,"&lt;&gt;HEAD"))</f>
        <v/>
      </c>
      <c r="C38" s="23">
        <f>IF(OR(H38=0,I38="HEAD"),"",INDEX(Banco_Preguntas!$B$2:$B$400,H38))</f>
        <v/>
      </c>
      <c r="D38" s="24">
        <f>IF(H38=0,"",INDEX(Banco_Preguntas!$C$2:$C$400,H38))</f>
        <v/>
      </c>
      <c r="E38" s="24" t="n"/>
      <c r="F38" s="24" t="n"/>
      <c r="G38">
        <f>IF(OR(I38="",I38="HEAD"),"L_TXT","L_"&amp;I38)</f>
        <v/>
      </c>
      <c r="H38">
        <f>IFERROR(MATCH(7,Banco_Preguntas!$P$2:$P$400,0),0)</f>
        <v/>
      </c>
      <c r="I38">
        <f>IF(H38=0,"",INDEX(Banco_Preguntas!$D$2:$D$400,H38))</f>
        <v/>
      </c>
    </row>
    <row r="39">
      <c r="B39" s="22">
        <f>IF(OR(H39=0,I39="HEAD"),"",10+COUNTIFS($H$32:H39,"&gt;0",$I$32:I39,"&lt;&gt;HEAD"))</f>
        <v/>
      </c>
      <c r="C39" s="23">
        <f>IF(OR(H39=0,I39="HEAD"),"",INDEX(Banco_Preguntas!$B$2:$B$400,H39))</f>
        <v/>
      </c>
      <c r="D39" s="24">
        <f>IF(H39=0,"",INDEX(Banco_Preguntas!$C$2:$C$400,H39))</f>
        <v/>
      </c>
      <c r="E39" s="24" t="n"/>
      <c r="F39" s="24" t="n"/>
      <c r="G39">
        <f>IF(OR(I39="",I39="HEAD"),"L_TXT","L_"&amp;I39)</f>
        <v/>
      </c>
      <c r="H39">
        <f>IFERROR(MATCH(8,Banco_Preguntas!$P$2:$P$400,0),0)</f>
        <v/>
      </c>
      <c r="I39">
        <f>IF(H39=0,"",INDEX(Banco_Preguntas!$D$2:$D$400,H39))</f>
        <v/>
      </c>
    </row>
    <row r="40">
      <c r="B40" s="22">
        <f>IF(OR(H40=0,I40="HEAD"),"",10+COUNTIFS($H$32:H40,"&gt;0",$I$32:I40,"&lt;&gt;HEAD"))</f>
        <v/>
      </c>
      <c r="C40" s="23">
        <f>IF(OR(H40=0,I40="HEAD"),"",INDEX(Banco_Preguntas!$B$2:$B$400,H40))</f>
        <v/>
      </c>
      <c r="D40" s="24">
        <f>IF(H40=0,"",INDEX(Banco_Preguntas!$C$2:$C$400,H40))</f>
        <v/>
      </c>
      <c r="E40" s="24" t="n"/>
      <c r="F40" s="24" t="n"/>
      <c r="G40">
        <f>IF(OR(I40="",I40="HEAD"),"L_TXT","L_"&amp;I40)</f>
        <v/>
      </c>
      <c r="H40">
        <f>IFERROR(MATCH(9,Banco_Preguntas!$P$2:$P$400,0),0)</f>
        <v/>
      </c>
      <c r="I40">
        <f>IF(H40=0,"",INDEX(Banco_Preguntas!$D$2:$D$400,H40))</f>
        <v/>
      </c>
    </row>
    <row r="41">
      <c r="B41" s="22">
        <f>IF(OR(H41=0,I41="HEAD"),"",10+COUNTIFS($H$32:H41,"&gt;0",$I$32:I41,"&lt;&gt;HEAD"))</f>
        <v/>
      </c>
      <c r="C41" s="23">
        <f>IF(OR(H41=0,I41="HEAD"),"",INDEX(Banco_Preguntas!$B$2:$B$400,H41))</f>
        <v/>
      </c>
      <c r="D41" s="24">
        <f>IF(H41=0,"",INDEX(Banco_Preguntas!$C$2:$C$400,H41))</f>
        <v/>
      </c>
      <c r="E41" s="24" t="n"/>
      <c r="F41" s="24" t="n"/>
      <c r="G41">
        <f>IF(OR(I41="",I41="HEAD"),"L_TXT","L_"&amp;I41)</f>
        <v/>
      </c>
      <c r="H41">
        <f>IFERROR(MATCH(10,Banco_Preguntas!$P$2:$P$400,0),0)</f>
        <v/>
      </c>
      <c r="I41">
        <f>IF(H41=0,"",INDEX(Banco_Preguntas!$D$2:$D$400,H41))</f>
        <v/>
      </c>
    </row>
    <row r="42">
      <c r="B42" s="22">
        <f>IF(OR(H42=0,I42="HEAD"),"",10+COUNTIFS($H$32:H42,"&gt;0",$I$32:I42,"&lt;&gt;HEAD"))</f>
        <v/>
      </c>
      <c r="C42" s="23">
        <f>IF(OR(H42=0,I42="HEAD"),"",INDEX(Banco_Preguntas!$B$2:$B$400,H42))</f>
        <v/>
      </c>
      <c r="D42" s="24">
        <f>IF(H42=0,"",INDEX(Banco_Preguntas!$C$2:$C$400,H42))</f>
        <v/>
      </c>
      <c r="E42" s="24" t="n"/>
      <c r="F42" s="24" t="n"/>
      <c r="G42">
        <f>IF(OR(I42="",I42="HEAD"),"L_TXT","L_"&amp;I42)</f>
        <v/>
      </c>
      <c r="H42">
        <f>IFERROR(MATCH(11,Banco_Preguntas!$P$2:$P$400,0),0)</f>
        <v/>
      </c>
      <c r="I42">
        <f>IF(H42=0,"",INDEX(Banco_Preguntas!$D$2:$D$400,H42))</f>
        <v/>
      </c>
    </row>
    <row r="43">
      <c r="B43" s="22">
        <f>IF(OR(H43=0,I43="HEAD"),"",10+COUNTIFS($H$32:H43,"&gt;0",$I$32:I43,"&lt;&gt;HEAD"))</f>
        <v/>
      </c>
      <c r="C43" s="23">
        <f>IF(OR(H43=0,I43="HEAD"),"",INDEX(Banco_Preguntas!$B$2:$B$400,H43))</f>
        <v/>
      </c>
      <c r="D43" s="24">
        <f>IF(H43=0,"",INDEX(Banco_Preguntas!$C$2:$C$400,H43))</f>
        <v/>
      </c>
      <c r="E43" s="24" t="n"/>
      <c r="F43" s="24" t="n"/>
      <c r="G43">
        <f>IF(OR(I43="",I43="HEAD"),"L_TXT","L_"&amp;I43)</f>
        <v/>
      </c>
      <c r="H43">
        <f>IFERROR(MATCH(12,Banco_Preguntas!$P$2:$P$400,0),0)</f>
        <v/>
      </c>
      <c r="I43">
        <f>IF(H43=0,"",INDEX(Banco_Preguntas!$D$2:$D$400,H43))</f>
        <v/>
      </c>
    </row>
    <row r="44">
      <c r="B44" s="22">
        <f>IF(OR(H44=0,I44="HEAD"),"",10+COUNTIFS($H$32:H44,"&gt;0",$I$32:I44,"&lt;&gt;HEAD"))</f>
        <v/>
      </c>
      <c r="C44" s="23">
        <f>IF(OR(H44=0,I44="HEAD"),"",INDEX(Banco_Preguntas!$B$2:$B$400,H44))</f>
        <v/>
      </c>
      <c r="D44" s="24">
        <f>IF(H44=0,"",INDEX(Banco_Preguntas!$C$2:$C$400,H44))</f>
        <v/>
      </c>
      <c r="E44" s="24" t="n"/>
      <c r="F44" s="24" t="n"/>
      <c r="G44">
        <f>IF(OR(I44="",I44="HEAD"),"L_TXT","L_"&amp;I44)</f>
        <v/>
      </c>
      <c r="H44">
        <f>IFERROR(MATCH(13,Banco_Preguntas!$P$2:$P$400,0),0)</f>
        <v/>
      </c>
      <c r="I44">
        <f>IF(H44=0,"",INDEX(Banco_Preguntas!$D$2:$D$400,H44))</f>
        <v/>
      </c>
    </row>
    <row r="45">
      <c r="B45" s="22">
        <f>IF(OR(H45=0,I45="HEAD"),"",10+COUNTIFS($H$32:H45,"&gt;0",$I$32:I45,"&lt;&gt;HEAD"))</f>
        <v/>
      </c>
      <c r="C45" s="23">
        <f>IF(OR(H45=0,I45="HEAD"),"",INDEX(Banco_Preguntas!$B$2:$B$400,H45))</f>
        <v/>
      </c>
      <c r="D45" s="24">
        <f>IF(H45=0,"",INDEX(Banco_Preguntas!$C$2:$C$400,H45))</f>
        <v/>
      </c>
      <c r="E45" s="24" t="n"/>
      <c r="F45" s="24" t="n"/>
      <c r="G45">
        <f>IF(OR(I45="",I45="HEAD"),"L_TXT","L_"&amp;I45)</f>
        <v/>
      </c>
      <c r="H45">
        <f>IFERROR(MATCH(14,Banco_Preguntas!$P$2:$P$400,0),0)</f>
        <v/>
      </c>
      <c r="I45">
        <f>IF(H45=0,"",INDEX(Banco_Preguntas!$D$2:$D$400,H45))</f>
        <v/>
      </c>
    </row>
    <row r="46">
      <c r="B46" s="22">
        <f>IF(OR(H46=0,I46="HEAD"),"",10+COUNTIFS($H$32:H46,"&gt;0",$I$32:I46,"&lt;&gt;HEAD"))</f>
        <v/>
      </c>
      <c r="C46" s="23">
        <f>IF(OR(H46=0,I46="HEAD"),"",INDEX(Banco_Preguntas!$B$2:$B$400,H46))</f>
        <v/>
      </c>
      <c r="D46" s="24">
        <f>IF(H46=0,"",INDEX(Banco_Preguntas!$C$2:$C$400,H46))</f>
        <v/>
      </c>
      <c r="E46" s="24" t="n"/>
      <c r="F46" s="24" t="n"/>
      <c r="G46">
        <f>IF(OR(I46="",I46="HEAD"),"L_TXT","L_"&amp;I46)</f>
        <v/>
      </c>
      <c r="H46">
        <f>IFERROR(MATCH(15,Banco_Preguntas!$P$2:$P$400,0),0)</f>
        <v/>
      </c>
      <c r="I46">
        <f>IF(H46=0,"",INDEX(Banco_Preguntas!$D$2:$D$400,H46))</f>
        <v/>
      </c>
    </row>
    <row r="47">
      <c r="B47" s="22">
        <f>IF(OR(H47=0,I47="HEAD"),"",10+COUNTIFS($H$32:H47,"&gt;0",$I$32:I47,"&lt;&gt;HEAD"))</f>
        <v/>
      </c>
      <c r="C47" s="23">
        <f>IF(OR(H47=0,I47="HEAD"),"",INDEX(Banco_Preguntas!$B$2:$B$400,H47))</f>
        <v/>
      </c>
      <c r="D47" s="24">
        <f>IF(H47=0,"",INDEX(Banco_Preguntas!$C$2:$C$400,H47))</f>
        <v/>
      </c>
      <c r="E47" s="24" t="n"/>
      <c r="F47" s="24" t="n"/>
      <c r="G47">
        <f>IF(OR(I47="",I47="HEAD"),"L_TXT","L_"&amp;I47)</f>
        <v/>
      </c>
      <c r="H47">
        <f>IFERROR(MATCH(16,Banco_Preguntas!$P$2:$P$400,0),0)</f>
        <v/>
      </c>
      <c r="I47">
        <f>IF(H47=0,"",INDEX(Banco_Preguntas!$D$2:$D$400,H47))</f>
        <v/>
      </c>
    </row>
    <row r="48">
      <c r="B48" s="22">
        <f>IF(OR(H48=0,I48="HEAD"),"",10+COUNTIFS($H$32:H48,"&gt;0",$I$32:I48,"&lt;&gt;HEAD"))</f>
        <v/>
      </c>
      <c r="C48" s="23">
        <f>IF(OR(H48=0,I48="HEAD"),"",INDEX(Banco_Preguntas!$B$2:$B$400,H48))</f>
        <v/>
      </c>
      <c r="D48" s="24">
        <f>IF(H48=0,"",INDEX(Banco_Preguntas!$C$2:$C$400,H48))</f>
        <v/>
      </c>
      <c r="E48" s="24" t="n"/>
      <c r="F48" s="24" t="n"/>
      <c r="G48">
        <f>IF(OR(I48="",I48="HEAD"),"L_TXT","L_"&amp;I48)</f>
        <v/>
      </c>
      <c r="H48">
        <f>IFERROR(MATCH(17,Banco_Preguntas!$P$2:$P$400,0),0)</f>
        <v/>
      </c>
      <c r="I48">
        <f>IF(H48=0,"",INDEX(Banco_Preguntas!$D$2:$D$400,H48))</f>
        <v/>
      </c>
    </row>
    <row r="49">
      <c r="B49" s="22">
        <f>IF(OR(H49=0,I49="HEAD"),"",10+COUNTIFS($H$32:H49,"&gt;0",$I$32:I49,"&lt;&gt;HEAD"))</f>
        <v/>
      </c>
      <c r="C49" s="23">
        <f>IF(OR(H49=0,I49="HEAD"),"",INDEX(Banco_Preguntas!$B$2:$B$400,H49))</f>
        <v/>
      </c>
      <c r="D49" s="24">
        <f>IF(H49=0,"",INDEX(Banco_Preguntas!$C$2:$C$400,H49))</f>
        <v/>
      </c>
      <c r="E49" s="24" t="n"/>
      <c r="F49" s="24" t="n"/>
      <c r="G49">
        <f>IF(OR(I49="",I49="HEAD"),"L_TXT","L_"&amp;I49)</f>
        <v/>
      </c>
      <c r="H49">
        <f>IFERROR(MATCH(18,Banco_Preguntas!$P$2:$P$400,0),0)</f>
        <v/>
      </c>
      <c r="I49">
        <f>IF(H49=0,"",INDEX(Banco_Preguntas!$D$2:$D$400,H49))</f>
        <v/>
      </c>
    </row>
    <row r="50">
      <c r="B50" s="22">
        <f>IF(OR(H50=0,I50="HEAD"),"",10+COUNTIFS($H$32:H50,"&gt;0",$I$32:I50,"&lt;&gt;HEAD"))</f>
        <v/>
      </c>
      <c r="C50" s="23">
        <f>IF(OR(H50=0,I50="HEAD"),"",INDEX(Banco_Preguntas!$B$2:$B$400,H50))</f>
        <v/>
      </c>
      <c r="D50" s="24">
        <f>IF(H50=0,"",INDEX(Banco_Preguntas!$C$2:$C$400,H50))</f>
        <v/>
      </c>
      <c r="E50" s="24" t="n"/>
      <c r="F50" s="24" t="n"/>
      <c r="G50">
        <f>IF(OR(I50="",I50="HEAD"),"L_TXT","L_"&amp;I50)</f>
        <v/>
      </c>
      <c r="H50">
        <f>IFERROR(MATCH(19,Banco_Preguntas!$P$2:$P$400,0),0)</f>
        <v/>
      </c>
      <c r="I50">
        <f>IF(H50=0,"",INDEX(Banco_Preguntas!$D$2:$D$400,H50))</f>
        <v/>
      </c>
    </row>
    <row r="51">
      <c r="B51" s="22">
        <f>IF(OR(H51=0,I51="HEAD"),"",10+COUNTIFS($H$32:H51,"&gt;0",$I$32:I51,"&lt;&gt;HEAD"))</f>
        <v/>
      </c>
      <c r="C51" s="23">
        <f>IF(OR(H51=0,I51="HEAD"),"",INDEX(Banco_Preguntas!$B$2:$B$400,H51))</f>
        <v/>
      </c>
      <c r="D51" s="24">
        <f>IF(H51=0,"",INDEX(Banco_Preguntas!$C$2:$C$400,H51))</f>
        <v/>
      </c>
      <c r="E51" s="24" t="n"/>
      <c r="F51" s="24" t="n"/>
      <c r="G51">
        <f>IF(OR(I51="",I51="HEAD"),"L_TXT","L_"&amp;I51)</f>
        <v/>
      </c>
      <c r="H51">
        <f>IFERROR(MATCH(20,Banco_Preguntas!$P$2:$P$400,0),0)</f>
        <v/>
      </c>
      <c r="I51">
        <f>IF(H51=0,"",INDEX(Banco_Preguntas!$D$2:$D$400,H51))</f>
        <v/>
      </c>
    </row>
    <row r="52">
      <c r="B52" s="22">
        <f>IF(OR(H52=0,I52="HEAD"),"",10+COUNTIFS($H$32:H52,"&gt;0",$I$32:I52,"&lt;&gt;HEAD"))</f>
        <v/>
      </c>
      <c r="C52" s="23">
        <f>IF(OR(H52=0,I52="HEAD"),"",INDEX(Banco_Preguntas!$B$2:$B$400,H52))</f>
        <v/>
      </c>
      <c r="D52" s="24">
        <f>IF(H52=0,"",INDEX(Banco_Preguntas!$C$2:$C$400,H52))</f>
        <v/>
      </c>
      <c r="E52" s="24" t="n"/>
      <c r="F52" s="24" t="n"/>
      <c r="G52">
        <f>IF(OR(I52="",I52="HEAD"),"L_TXT","L_"&amp;I52)</f>
        <v/>
      </c>
      <c r="H52">
        <f>IFERROR(MATCH(21,Banco_Preguntas!$P$2:$P$400,0),0)</f>
        <v/>
      </c>
      <c r="I52">
        <f>IF(H52=0,"",INDEX(Banco_Preguntas!$D$2:$D$400,H52))</f>
        <v/>
      </c>
    </row>
    <row r="53">
      <c r="B53" s="22">
        <f>IF(OR(H53=0,I53="HEAD"),"",10+COUNTIFS($H$32:H53,"&gt;0",$I$32:I53,"&lt;&gt;HEAD"))</f>
        <v/>
      </c>
      <c r="C53" s="23">
        <f>IF(OR(H53=0,I53="HEAD"),"",INDEX(Banco_Preguntas!$B$2:$B$400,H53))</f>
        <v/>
      </c>
      <c r="D53" s="24">
        <f>IF(H53=0,"",INDEX(Banco_Preguntas!$C$2:$C$400,H53))</f>
        <v/>
      </c>
      <c r="E53" s="24" t="n"/>
      <c r="F53" s="24" t="n"/>
      <c r="G53">
        <f>IF(OR(I53="",I53="HEAD"),"L_TXT","L_"&amp;I53)</f>
        <v/>
      </c>
      <c r="H53">
        <f>IFERROR(MATCH(22,Banco_Preguntas!$P$2:$P$400,0),0)</f>
        <v/>
      </c>
      <c r="I53">
        <f>IF(H53=0,"",INDEX(Banco_Preguntas!$D$2:$D$400,H53))</f>
        <v/>
      </c>
    </row>
    <row r="54">
      <c r="B54" s="22">
        <f>IF(OR(H54=0,I54="HEAD"),"",10+COUNTIFS($H$32:H54,"&gt;0",$I$32:I54,"&lt;&gt;HEAD"))</f>
        <v/>
      </c>
      <c r="C54" s="23">
        <f>IF(OR(H54=0,I54="HEAD"),"",INDEX(Banco_Preguntas!$B$2:$B$400,H54))</f>
        <v/>
      </c>
      <c r="D54" s="24">
        <f>IF(H54=0,"",INDEX(Banco_Preguntas!$C$2:$C$400,H54))</f>
        <v/>
      </c>
      <c r="E54" s="24" t="n"/>
      <c r="F54" s="24" t="n"/>
      <c r="G54">
        <f>IF(OR(I54="",I54="HEAD"),"L_TXT","L_"&amp;I54)</f>
        <v/>
      </c>
      <c r="H54">
        <f>IFERROR(MATCH(23,Banco_Preguntas!$P$2:$P$400,0),0)</f>
        <v/>
      </c>
      <c r="I54">
        <f>IF(H54=0,"",INDEX(Banco_Preguntas!$D$2:$D$400,H54))</f>
        <v/>
      </c>
    </row>
    <row r="55">
      <c r="B55" s="22">
        <f>IF(OR(H55=0,I55="HEAD"),"",10+COUNTIFS($H$32:H55,"&gt;0",$I$32:I55,"&lt;&gt;HEAD"))</f>
        <v/>
      </c>
      <c r="C55" s="23">
        <f>IF(OR(H55=0,I55="HEAD"),"",INDEX(Banco_Preguntas!$B$2:$B$400,H55))</f>
        <v/>
      </c>
      <c r="D55" s="24">
        <f>IF(H55=0,"",INDEX(Banco_Preguntas!$C$2:$C$400,H55))</f>
        <v/>
      </c>
      <c r="E55" s="24" t="n"/>
      <c r="F55" s="24" t="n"/>
      <c r="G55">
        <f>IF(OR(I55="",I55="HEAD"),"L_TXT","L_"&amp;I55)</f>
        <v/>
      </c>
      <c r="H55">
        <f>IFERROR(MATCH(24,Banco_Preguntas!$P$2:$P$400,0),0)</f>
        <v/>
      </c>
      <c r="I55">
        <f>IF(H55=0,"",INDEX(Banco_Preguntas!$D$2:$D$400,H55))</f>
        <v/>
      </c>
    </row>
    <row r="56">
      <c r="B56" s="22">
        <f>IF(OR(H56=0,I56="HEAD"),"",10+COUNTIFS($H$32:H56,"&gt;0",$I$32:I56,"&lt;&gt;HEAD"))</f>
        <v/>
      </c>
      <c r="C56" s="23">
        <f>IF(OR(H56=0,I56="HEAD"),"",INDEX(Banco_Preguntas!$B$2:$B$400,H56))</f>
        <v/>
      </c>
      <c r="D56" s="24">
        <f>IF(H56=0,"",INDEX(Banco_Preguntas!$C$2:$C$400,H56))</f>
        <v/>
      </c>
      <c r="E56" s="24" t="n"/>
      <c r="F56" s="24" t="n"/>
      <c r="G56">
        <f>IF(OR(I56="",I56="HEAD"),"L_TXT","L_"&amp;I56)</f>
        <v/>
      </c>
      <c r="H56">
        <f>IFERROR(MATCH(25,Banco_Preguntas!$P$2:$P$400,0),0)</f>
        <v/>
      </c>
      <c r="I56">
        <f>IF(H56=0,"",INDEX(Banco_Preguntas!$D$2:$D$400,H56))</f>
        <v/>
      </c>
    </row>
    <row r="57">
      <c r="B57" s="22">
        <f>IF(OR(H57=0,I57="HEAD"),"",10+COUNTIFS($H$32:H57,"&gt;0",$I$32:I57,"&lt;&gt;HEAD"))</f>
        <v/>
      </c>
      <c r="C57" s="23">
        <f>IF(OR(H57=0,I57="HEAD"),"",INDEX(Banco_Preguntas!$B$2:$B$400,H57))</f>
        <v/>
      </c>
      <c r="D57" s="24">
        <f>IF(H57=0,"",INDEX(Banco_Preguntas!$C$2:$C$400,H57))</f>
        <v/>
      </c>
      <c r="E57" s="24" t="n"/>
      <c r="F57" s="24" t="n"/>
      <c r="G57">
        <f>IF(OR(I57="",I57="HEAD"),"L_TXT","L_"&amp;I57)</f>
        <v/>
      </c>
      <c r="H57">
        <f>IFERROR(MATCH(26,Banco_Preguntas!$P$2:$P$400,0),0)</f>
        <v/>
      </c>
      <c r="I57">
        <f>IF(H57=0,"",INDEX(Banco_Preguntas!$D$2:$D$400,H57))</f>
        <v/>
      </c>
    </row>
    <row r="58">
      <c r="B58" s="22">
        <f>IF(OR(H58=0,I58="HEAD"),"",10+COUNTIFS($H$32:H58,"&gt;0",$I$32:I58,"&lt;&gt;HEAD"))</f>
        <v/>
      </c>
      <c r="C58" s="23">
        <f>IF(OR(H58=0,I58="HEAD"),"",INDEX(Banco_Preguntas!$B$2:$B$400,H58))</f>
        <v/>
      </c>
      <c r="D58" s="24">
        <f>IF(H58=0,"",INDEX(Banco_Preguntas!$C$2:$C$400,H58))</f>
        <v/>
      </c>
      <c r="E58" s="24" t="n"/>
      <c r="F58" s="24" t="n"/>
      <c r="G58">
        <f>IF(OR(I58="",I58="HEAD"),"L_TXT","L_"&amp;I58)</f>
        <v/>
      </c>
      <c r="H58">
        <f>IFERROR(MATCH(27,Banco_Preguntas!$P$2:$P$400,0),0)</f>
        <v/>
      </c>
      <c r="I58">
        <f>IF(H58=0,"",INDEX(Banco_Preguntas!$D$2:$D$400,H58))</f>
        <v/>
      </c>
    </row>
    <row r="59">
      <c r="B59" s="22">
        <f>IF(OR(H59=0,I59="HEAD"),"",10+COUNTIFS($H$32:H59,"&gt;0",$I$32:I59,"&lt;&gt;HEAD"))</f>
        <v/>
      </c>
      <c r="C59" s="23">
        <f>IF(OR(H59=0,I59="HEAD"),"",INDEX(Banco_Preguntas!$B$2:$B$400,H59))</f>
        <v/>
      </c>
      <c r="D59" s="24">
        <f>IF(H59=0,"",INDEX(Banco_Preguntas!$C$2:$C$400,H59))</f>
        <v/>
      </c>
      <c r="E59" s="24" t="n"/>
      <c r="F59" s="24" t="n"/>
      <c r="G59">
        <f>IF(OR(I59="",I59="HEAD"),"L_TXT","L_"&amp;I59)</f>
        <v/>
      </c>
      <c r="H59">
        <f>IFERROR(MATCH(28,Banco_Preguntas!$P$2:$P$400,0),0)</f>
        <v/>
      </c>
      <c r="I59">
        <f>IF(H59=0,"",INDEX(Banco_Preguntas!$D$2:$D$400,H59))</f>
        <v/>
      </c>
    </row>
    <row r="60">
      <c r="B60" s="22">
        <f>IF(OR(H60=0,I60="HEAD"),"",10+COUNTIFS($H$32:H60,"&gt;0",$I$32:I60,"&lt;&gt;HEAD"))</f>
        <v/>
      </c>
      <c r="C60" s="23">
        <f>IF(OR(H60=0,I60="HEAD"),"",INDEX(Banco_Preguntas!$B$2:$B$400,H60))</f>
        <v/>
      </c>
      <c r="D60" s="24">
        <f>IF(H60=0,"",INDEX(Banco_Preguntas!$C$2:$C$400,H60))</f>
        <v/>
      </c>
      <c r="E60" s="24" t="n"/>
      <c r="F60" s="24" t="n"/>
      <c r="G60">
        <f>IF(OR(I60="",I60="HEAD"),"L_TXT","L_"&amp;I60)</f>
        <v/>
      </c>
      <c r="H60">
        <f>IFERROR(MATCH(29,Banco_Preguntas!$P$2:$P$400,0),0)</f>
        <v/>
      </c>
      <c r="I60">
        <f>IF(H60=0,"",INDEX(Banco_Preguntas!$D$2:$D$400,H60))</f>
        <v/>
      </c>
    </row>
    <row r="61">
      <c r="B61" s="22">
        <f>IF(OR(H61=0,I61="HEAD"),"",10+COUNTIFS($H$32:H61,"&gt;0",$I$32:I61,"&lt;&gt;HEAD"))</f>
        <v/>
      </c>
      <c r="C61" s="23">
        <f>IF(OR(H61=0,I61="HEAD"),"",INDEX(Banco_Preguntas!$B$2:$B$400,H61))</f>
        <v/>
      </c>
      <c r="D61" s="24">
        <f>IF(H61=0,"",INDEX(Banco_Preguntas!$C$2:$C$400,H61))</f>
        <v/>
      </c>
      <c r="E61" s="24" t="n"/>
      <c r="F61" s="24" t="n"/>
      <c r="G61">
        <f>IF(OR(I61="",I61="HEAD"),"L_TXT","L_"&amp;I61)</f>
        <v/>
      </c>
      <c r="H61">
        <f>IFERROR(MATCH(30,Banco_Preguntas!$P$2:$P$400,0),0)</f>
        <v/>
      </c>
      <c r="I61">
        <f>IF(H61=0,"",INDEX(Banco_Preguntas!$D$2:$D$400,H61))</f>
        <v/>
      </c>
    </row>
    <row r="62">
      <c r="B62" s="22">
        <f>IF(OR(H62=0,I62="HEAD"),"",10+COUNTIFS($H$32:H62,"&gt;0",$I$32:I62,"&lt;&gt;HEAD"))</f>
        <v/>
      </c>
      <c r="C62" s="23">
        <f>IF(OR(H62=0,I62="HEAD"),"",INDEX(Banco_Preguntas!$B$2:$B$400,H62))</f>
        <v/>
      </c>
      <c r="D62" s="24">
        <f>IF(H62=0,"",INDEX(Banco_Preguntas!$C$2:$C$400,H62))</f>
        <v/>
      </c>
      <c r="E62" s="24" t="n"/>
      <c r="F62" s="24" t="n"/>
      <c r="G62">
        <f>IF(OR(I62="",I62="HEAD"),"L_TXT","L_"&amp;I62)</f>
        <v/>
      </c>
      <c r="H62">
        <f>IFERROR(MATCH(31,Banco_Preguntas!$P$2:$P$400,0),0)</f>
        <v/>
      </c>
      <c r="I62">
        <f>IF(H62=0,"",INDEX(Banco_Preguntas!$D$2:$D$400,H62))</f>
        <v/>
      </c>
    </row>
    <row r="63">
      <c r="B63" s="22">
        <f>IF(OR(H63=0,I63="HEAD"),"",10+COUNTIFS($H$32:H63,"&gt;0",$I$32:I63,"&lt;&gt;HEAD"))</f>
        <v/>
      </c>
      <c r="C63" s="23">
        <f>IF(OR(H63=0,I63="HEAD"),"",INDEX(Banco_Preguntas!$B$2:$B$400,H63))</f>
        <v/>
      </c>
      <c r="D63" s="24">
        <f>IF(H63=0,"",INDEX(Banco_Preguntas!$C$2:$C$400,H63))</f>
        <v/>
      </c>
      <c r="E63" s="24" t="n"/>
      <c r="F63" s="24" t="n"/>
      <c r="G63">
        <f>IF(OR(I63="",I63="HEAD"),"L_TXT","L_"&amp;I63)</f>
        <v/>
      </c>
      <c r="H63">
        <f>IFERROR(MATCH(32,Banco_Preguntas!$P$2:$P$400,0),0)</f>
        <v/>
      </c>
      <c r="I63">
        <f>IF(H63=0,"",INDEX(Banco_Preguntas!$D$2:$D$400,H63))</f>
        <v/>
      </c>
    </row>
    <row r="64">
      <c r="B64" s="22">
        <f>IF(OR(H64=0,I64="HEAD"),"",10+COUNTIFS($H$32:H64,"&gt;0",$I$32:I64,"&lt;&gt;HEAD"))</f>
        <v/>
      </c>
      <c r="C64" s="23">
        <f>IF(OR(H64=0,I64="HEAD"),"",INDEX(Banco_Preguntas!$B$2:$B$400,H64))</f>
        <v/>
      </c>
      <c r="D64" s="24">
        <f>IF(H64=0,"",INDEX(Banco_Preguntas!$C$2:$C$400,H64))</f>
        <v/>
      </c>
      <c r="E64" s="24" t="n"/>
      <c r="F64" s="24" t="n"/>
      <c r="G64">
        <f>IF(OR(I64="",I64="HEAD"),"L_TXT","L_"&amp;I64)</f>
        <v/>
      </c>
      <c r="H64">
        <f>IFERROR(MATCH(33,Banco_Preguntas!$P$2:$P$400,0),0)</f>
        <v/>
      </c>
      <c r="I64">
        <f>IF(H64=0,"",INDEX(Banco_Preguntas!$D$2:$D$400,H64))</f>
        <v/>
      </c>
    </row>
    <row r="65">
      <c r="B65" s="22">
        <f>IF(OR(H65=0,I65="HEAD"),"",10+COUNTIFS($H$32:H65,"&gt;0",$I$32:I65,"&lt;&gt;HEAD"))</f>
        <v/>
      </c>
      <c r="C65" s="23">
        <f>IF(OR(H65=0,I65="HEAD"),"",INDEX(Banco_Preguntas!$B$2:$B$400,H65))</f>
        <v/>
      </c>
      <c r="D65" s="24">
        <f>IF(H65=0,"",INDEX(Banco_Preguntas!$C$2:$C$400,H65))</f>
        <v/>
      </c>
      <c r="E65" s="24" t="n"/>
      <c r="F65" s="24" t="n"/>
      <c r="G65">
        <f>IF(OR(I65="",I65="HEAD"),"L_TXT","L_"&amp;I65)</f>
        <v/>
      </c>
      <c r="H65">
        <f>IFERROR(MATCH(34,Banco_Preguntas!$P$2:$P$400,0),0)</f>
        <v/>
      </c>
      <c r="I65">
        <f>IF(H65=0,"",INDEX(Banco_Preguntas!$D$2:$D$400,H65))</f>
        <v/>
      </c>
    </row>
    <row r="66">
      <c r="B66" s="22">
        <f>IF(OR(H66=0,I66="HEAD"),"",10+COUNTIFS($H$32:H66,"&gt;0",$I$32:I66,"&lt;&gt;HEAD"))</f>
        <v/>
      </c>
      <c r="C66" s="23">
        <f>IF(OR(H66=0,I66="HEAD"),"",INDEX(Banco_Preguntas!$B$2:$B$400,H66))</f>
        <v/>
      </c>
      <c r="D66" s="24">
        <f>IF(H66=0,"",INDEX(Banco_Preguntas!$C$2:$C$400,H66))</f>
        <v/>
      </c>
      <c r="E66" s="24" t="n"/>
      <c r="F66" s="24" t="n"/>
      <c r="G66">
        <f>IF(OR(I66="",I66="HEAD"),"L_TXT","L_"&amp;I66)</f>
        <v/>
      </c>
      <c r="H66">
        <f>IFERROR(MATCH(35,Banco_Preguntas!$P$2:$P$400,0),0)</f>
        <v/>
      </c>
      <c r="I66">
        <f>IF(H66=0,"",INDEX(Banco_Preguntas!$D$2:$D$400,H66))</f>
        <v/>
      </c>
    </row>
    <row r="67">
      <c r="B67" s="22">
        <f>IF(OR(H67=0,I67="HEAD"),"",10+COUNTIFS($H$32:H67,"&gt;0",$I$32:I67,"&lt;&gt;HEAD"))</f>
        <v/>
      </c>
      <c r="C67" s="23">
        <f>IF(OR(H67=0,I67="HEAD"),"",INDEX(Banco_Preguntas!$B$2:$B$400,H67))</f>
        <v/>
      </c>
      <c r="D67" s="24">
        <f>IF(H67=0,"",INDEX(Banco_Preguntas!$C$2:$C$400,H67))</f>
        <v/>
      </c>
      <c r="E67" s="24" t="n"/>
      <c r="F67" s="24" t="n"/>
      <c r="G67">
        <f>IF(OR(I67="",I67="HEAD"),"L_TXT","L_"&amp;I67)</f>
        <v/>
      </c>
      <c r="H67">
        <f>IFERROR(MATCH(36,Banco_Preguntas!$P$2:$P$400,0),0)</f>
        <v/>
      </c>
      <c r="I67">
        <f>IF(H67=0,"",INDEX(Banco_Preguntas!$D$2:$D$400,H67))</f>
        <v/>
      </c>
    </row>
    <row r="68">
      <c r="B68" s="22">
        <f>IF(OR(H68=0,I68="HEAD"),"",10+COUNTIFS($H$32:H68,"&gt;0",$I$32:I68,"&lt;&gt;HEAD"))</f>
        <v/>
      </c>
      <c r="C68" s="23">
        <f>IF(OR(H68=0,I68="HEAD"),"",INDEX(Banco_Preguntas!$B$2:$B$400,H68))</f>
        <v/>
      </c>
      <c r="D68" s="24">
        <f>IF(H68=0,"",INDEX(Banco_Preguntas!$C$2:$C$400,H68))</f>
        <v/>
      </c>
      <c r="E68" s="24" t="n"/>
      <c r="F68" s="24" t="n"/>
      <c r="G68">
        <f>IF(OR(I68="",I68="HEAD"),"L_TXT","L_"&amp;I68)</f>
        <v/>
      </c>
      <c r="H68">
        <f>IFERROR(MATCH(37,Banco_Preguntas!$P$2:$P$400,0),0)</f>
        <v/>
      </c>
      <c r="I68">
        <f>IF(H68=0,"",INDEX(Banco_Preguntas!$D$2:$D$400,H68))</f>
        <v/>
      </c>
    </row>
    <row r="69">
      <c r="B69" s="22">
        <f>IF(OR(H69=0,I69="HEAD"),"",10+COUNTIFS($H$32:H69,"&gt;0",$I$32:I69,"&lt;&gt;HEAD"))</f>
        <v/>
      </c>
      <c r="C69" s="23">
        <f>IF(OR(H69=0,I69="HEAD"),"",INDEX(Banco_Preguntas!$B$2:$B$400,H69))</f>
        <v/>
      </c>
      <c r="D69" s="24">
        <f>IF(H69=0,"",INDEX(Banco_Preguntas!$C$2:$C$400,H69))</f>
        <v/>
      </c>
      <c r="E69" s="24" t="n"/>
      <c r="F69" s="24" t="n"/>
      <c r="G69">
        <f>IF(OR(I69="",I69="HEAD"),"L_TXT","L_"&amp;I69)</f>
        <v/>
      </c>
      <c r="H69">
        <f>IFERROR(MATCH(38,Banco_Preguntas!$P$2:$P$400,0),0)</f>
        <v/>
      </c>
      <c r="I69">
        <f>IF(H69=0,"",INDEX(Banco_Preguntas!$D$2:$D$400,H69))</f>
        <v/>
      </c>
    </row>
    <row r="70">
      <c r="B70" s="22">
        <f>IF(OR(H70=0,I70="HEAD"),"",10+COUNTIFS($H$32:H70,"&gt;0",$I$32:I70,"&lt;&gt;HEAD"))</f>
        <v/>
      </c>
      <c r="C70" s="23">
        <f>IF(OR(H70=0,I70="HEAD"),"",INDEX(Banco_Preguntas!$B$2:$B$400,H70))</f>
        <v/>
      </c>
      <c r="D70" s="24">
        <f>IF(H70=0,"",INDEX(Banco_Preguntas!$C$2:$C$400,H70))</f>
        <v/>
      </c>
      <c r="E70" s="24" t="n"/>
      <c r="F70" s="24" t="n"/>
      <c r="G70">
        <f>IF(OR(I70="",I70="HEAD"),"L_TXT","L_"&amp;I70)</f>
        <v/>
      </c>
      <c r="H70">
        <f>IFERROR(MATCH(39,Banco_Preguntas!$P$2:$P$400,0),0)</f>
        <v/>
      </c>
      <c r="I70">
        <f>IF(H70=0,"",INDEX(Banco_Preguntas!$D$2:$D$400,H70))</f>
        <v/>
      </c>
    </row>
    <row r="71">
      <c r="B71" s="22">
        <f>IF(OR(H71=0,I71="HEAD"),"",10+COUNTIFS($H$32:H71,"&gt;0",$I$32:I71,"&lt;&gt;HEAD"))</f>
        <v/>
      </c>
      <c r="C71" s="23">
        <f>IF(OR(H71=0,I71="HEAD"),"",INDEX(Banco_Preguntas!$B$2:$B$400,H71))</f>
        <v/>
      </c>
      <c r="D71" s="24">
        <f>IF(H71=0,"",INDEX(Banco_Preguntas!$C$2:$C$400,H71))</f>
        <v/>
      </c>
      <c r="E71" s="24" t="n"/>
      <c r="F71" s="24" t="n"/>
      <c r="G71">
        <f>IF(OR(I71="",I71="HEAD"),"L_TXT","L_"&amp;I71)</f>
        <v/>
      </c>
      <c r="H71">
        <f>IFERROR(MATCH(40,Banco_Preguntas!$P$2:$P$400,0),0)</f>
        <v/>
      </c>
      <c r="I71">
        <f>IF(H71=0,"",INDEX(Banco_Preguntas!$D$2:$D$400,H71))</f>
        <v/>
      </c>
    </row>
    <row r="72">
      <c r="B72" s="22">
        <f>IF(OR(H72=0,I72="HEAD"),"",10+COUNTIFS($H$32:H72,"&gt;0",$I$32:I72,"&lt;&gt;HEAD"))</f>
        <v/>
      </c>
      <c r="C72" s="23">
        <f>IF(OR(H72=0,I72="HEAD"),"",INDEX(Banco_Preguntas!$B$2:$B$400,H72))</f>
        <v/>
      </c>
      <c r="D72" s="24">
        <f>IF(H72=0,"",INDEX(Banco_Preguntas!$C$2:$C$400,H72))</f>
        <v/>
      </c>
      <c r="E72" s="24" t="n"/>
      <c r="F72" s="24" t="n"/>
      <c r="G72">
        <f>IF(OR(I72="",I72="HEAD"),"L_TXT","L_"&amp;I72)</f>
        <v/>
      </c>
      <c r="H72">
        <f>IFERROR(MATCH(41,Banco_Preguntas!$P$2:$P$400,0),0)</f>
        <v/>
      </c>
      <c r="I72">
        <f>IF(H72=0,"",INDEX(Banco_Preguntas!$D$2:$D$400,H72))</f>
        <v/>
      </c>
    </row>
    <row r="73">
      <c r="B73" s="22">
        <f>IF(OR(H73=0,I73="HEAD"),"",10+COUNTIFS($H$32:H73,"&gt;0",$I$32:I73,"&lt;&gt;HEAD"))</f>
        <v/>
      </c>
      <c r="C73" s="23">
        <f>IF(OR(H73=0,I73="HEAD"),"",INDEX(Banco_Preguntas!$B$2:$B$400,H73))</f>
        <v/>
      </c>
      <c r="D73" s="24">
        <f>IF(H73=0,"",INDEX(Banco_Preguntas!$C$2:$C$400,H73))</f>
        <v/>
      </c>
      <c r="E73" s="24" t="n"/>
      <c r="F73" s="24" t="n"/>
      <c r="G73">
        <f>IF(OR(I73="",I73="HEAD"),"L_TXT","L_"&amp;I73)</f>
        <v/>
      </c>
      <c r="H73">
        <f>IFERROR(MATCH(42,Banco_Preguntas!$P$2:$P$400,0),0)</f>
        <v/>
      </c>
      <c r="I73">
        <f>IF(H73=0,"",INDEX(Banco_Preguntas!$D$2:$D$400,H73))</f>
        <v/>
      </c>
    </row>
    <row r="74">
      <c r="B74" s="22">
        <f>IF(OR(H74=0,I74="HEAD"),"",10+COUNTIFS($H$32:H74,"&gt;0",$I$32:I74,"&lt;&gt;HEAD"))</f>
        <v/>
      </c>
      <c r="C74" s="23">
        <f>IF(OR(H74=0,I74="HEAD"),"",INDEX(Banco_Preguntas!$B$2:$B$400,H74))</f>
        <v/>
      </c>
      <c r="D74" s="24">
        <f>IF(H74=0,"",INDEX(Banco_Preguntas!$C$2:$C$400,H74))</f>
        <v/>
      </c>
      <c r="E74" s="24" t="n"/>
      <c r="F74" s="24" t="n"/>
      <c r="G74">
        <f>IF(OR(I74="",I74="HEAD"),"L_TXT","L_"&amp;I74)</f>
        <v/>
      </c>
      <c r="H74">
        <f>IFERROR(MATCH(43,Banco_Preguntas!$P$2:$P$400,0),0)</f>
        <v/>
      </c>
      <c r="I74">
        <f>IF(H74=0,"",INDEX(Banco_Preguntas!$D$2:$D$400,H74))</f>
        <v/>
      </c>
    </row>
    <row r="75">
      <c r="B75" s="22">
        <f>IF(OR(H75=0,I75="HEAD"),"",10+COUNTIFS($H$32:H75,"&gt;0",$I$32:I75,"&lt;&gt;HEAD"))</f>
        <v/>
      </c>
      <c r="C75" s="23">
        <f>IF(OR(H75=0,I75="HEAD"),"",INDEX(Banco_Preguntas!$B$2:$B$400,H75))</f>
        <v/>
      </c>
      <c r="D75" s="24">
        <f>IF(H75=0,"",INDEX(Banco_Preguntas!$C$2:$C$400,H75))</f>
        <v/>
      </c>
      <c r="E75" s="24" t="n"/>
      <c r="F75" s="24" t="n"/>
      <c r="G75">
        <f>IF(OR(I75="",I75="HEAD"),"L_TXT","L_"&amp;I75)</f>
        <v/>
      </c>
      <c r="H75">
        <f>IFERROR(MATCH(44,Banco_Preguntas!$P$2:$P$400,0),0)</f>
        <v/>
      </c>
      <c r="I75">
        <f>IF(H75=0,"",INDEX(Banco_Preguntas!$D$2:$D$400,H75))</f>
        <v/>
      </c>
    </row>
    <row r="76">
      <c r="B76" s="22">
        <f>IF(OR(H76=0,I76="HEAD"),"",10+COUNTIFS($H$32:H76,"&gt;0",$I$32:I76,"&lt;&gt;HEAD"))</f>
        <v/>
      </c>
      <c r="C76" s="23">
        <f>IF(OR(H76=0,I76="HEAD"),"",INDEX(Banco_Preguntas!$B$2:$B$400,H76))</f>
        <v/>
      </c>
      <c r="D76" s="24">
        <f>IF(H76=0,"",INDEX(Banco_Preguntas!$C$2:$C$400,H76))</f>
        <v/>
      </c>
      <c r="E76" s="24" t="n"/>
      <c r="F76" s="24" t="n"/>
      <c r="G76">
        <f>IF(OR(I76="",I76="HEAD"),"L_TXT","L_"&amp;I76)</f>
        <v/>
      </c>
      <c r="H76">
        <f>IFERROR(MATCH(45,Banco_Preguntas!$P$2:$P$400,0),0)</f>
        <v/>
      </c>
      <c r="I76">
        <f>IF(H76=0,"",INDEX(Banco_Preguntas!$D$2:$D$400,H76))</f>
        <v/>
      </c>
    </row>
    <row r="77">
      <c r="B77" s="22">
        <f>IF(OR(H77=0,I77="HEAD"),"",10+COUNTIFS($H$32:H77,"&gt;0",$I$32:I77,"&lt;&gt;HEAD"))</f>
        <v/>
      </c>
      <c r="C77" s="23">
        <f>IF(OR(H77=0,I77="HEAD"),"",INDEX(Banco_Preguntas!$B$2:$B$400,H77))</f>
        <v/>
      </c>
      <c r="D77" s="24">
        <f>IF(H77=0,"",INDEX(Banco_Preguntas!$C$2:$C$400,H77))</f>
        <v/>
      </c>
      <c r="E77" s="24" t="n"/>
      <c r="F77" s="24" t="n"/>
      <c r="G77">
        <f>IF(OR(I77="",I77="HEAD"),"L_TXT","L_"&amp;I77)</f>
        <v/>
      </c>
      <c r="H77">
        <f>IFERROR(MATCH(46,Banco_Preguntas!$P$2:$P$400,0),0)</f>
        <v/>
      </c>
      <c r="I77">
        <f>IF(H77=0,"",INDEX(Banco_Preguntas!$D$2:$D$400,H77))</f>
        <v/>
      </c>
    </row>
    <row r="78">
      <c r="B78" s="22">
        <f>IF(OR(H78=0,I78="HEAD"),"",10+COUNTIFS($H$32:H78,"&gt;0",$I$32:I78,"&lt;&gt;HEAD"))</f>
        <v/>
      </c>
      <c r="C78" s="23">
        <f>IF(OR(H78=0,I78="HEAD"),"",INDEX(Banco_Preguntas!$B$2:$B$400,H78))</f>
        <v/>
      </c>
      <c r="D78" s="24">
        <f>IF(H78=0,"",INDEX(Banco_Preguntas!$C$2:$C$400,H78))</f>
        <v/>
      </c>
      <c r="E78" s="24" t="n"/>
      <c r="F78" s="24" t="n"/>
      <c r="G78">
        <f>IF(OR(I78="",I78="HEAD"),"L_TXT","L_"&amp;I78)</f>
        <v/>
      </c>
      <c r="H78">
        <f>IFERROR(MATCH(47,Banco_Preguntas!$P$2:$P$400,0),0)</f>
        <v/>
      </c>
      <c r="I78">
        <f>IF(H78=0,"",INDEX(Banco_Preguntas!$D$2:$D$400,H78))</f>
        <v/>
      </c>
    </row>
    <row r="79">
      <c r="B79" s="22">
        <f>IF(OR(H79=0,I79="HEAD"),"",10+COUNTIFS($H$32:H79,"&gt;0",$I$32:I79,"&lt;&gt;HEAD"))</f>
        <v/>
      </c>
      <c r="C79" s="23">
        <f>IF(OR(H79=0,I79="HEAD"),"",INDEX(Banco_Preguntas!$B$2:$B$400,H79))</f>
        <v/>
      </c>
      <c r="D79" s="24">
        <f>IF(H79=0,"",INDEX(Banco_Preguntas!$C$2:$C$400,H79))</f>
        <v/>
      </c>
      <c r="E79" s="24" t="n"/>
      <c r="F79" s="24" t="n"/>
      <c r="G79">
        <f>IF(OR(I79="",I79="HEAD"),"L_TXT","L_"&amp;I79)</f>
        <v/>
      </c>
      <c r="H79">
        <f>IFERROR(MATCH(48,Banco_Preguntas!$P$2:$P$400,0),0)</f>
        <v/>
      </c>
      <c r="I79">
        <f>IF(H79=0,"",INDEX(Banco_Preguntas!$D$2:$D$400,H79))</f>
        <v/>
      </c>
    </row>
    <row r="80">
      <c r="B80" s="22">
        <f>IF(OR(H80=0,I80="HEAD"),"",10+COUNTIFS($H$32:H80,"&gt;0",$I$32:I80,"&lt;&gt;HEAD"))</f>
        <v/>
      </c>
      <c r="C80" s="23">
        <f>IF(OR(H80=0,I80="HEAD"),"",INDEX(Banco_Preguntas!$B$2:$B$400,H80))</f>
        <v/>
      </c>
      <c r="D80" s="24">
        <f>IF(H80=0,"",INDEX(Banco_Preguntas!$C$2:$C$400,H80))</f>
        <v/>
      </c>
      <c r="E80" s="24" t="n"/>
      <c r="F80" s="24" t="n"/>
      <c r="G80">
        <f>IF(OR(I80="",I80="HEAD"),"L_TXT","L_"&amp;I80)</f>
        <v/>
      </c>
      <c r="H80">
        <f>IFERROR(MATCH(49,Banco_Preguntas!$P$2:$P$400,0),0)</f>
        <v/>
      </c>
      <c r="I80">
        <f>IF(H80=0,"",INDEX(Banco_Preguntas!$D$2:$D$400,H80))</f>
        <v/>
      </c>
    </row>
    <row r="81">
      <c r="B81" s="22">
        <f>IF(OR(H81=0,I81="HEAD"),"",10+COUNTIFS($H$32:H81,"&gt;0",$I$32:I81,"&lt;&gt;HEAD"))</f>
        <v/>
      </c>
      <c r="C81" s="23">
        <f>IF(OR(H81=0,I81="HEAD"),"",INDEX(Banco_Preguntas!$B$2:$B$400,H81))</f>
        <v/>
      </c>
      <c r="D81" s="24">
        <f>IF(H81=0,"",INDEX(Banco_Preguntas!$C$2:$C$400,H81))</f>
        <v/>
      </c>
      <c r="E81" s="24" t="n"/>
      <c r="F81" s="24" t="n"/>
      <c r="G81">
        <f>IF(OR(I81="",I81="HEAD"),"L_TXT","L_"&amp;I81)</f>
        <v/>
      </c>
      <c r="H81">
        <f>IFERROR(MATCH(50,Banco_Preguntas!$P$2:$P$400,0),0)</f>
        <v/>
      </c>
      <c r="I81">
        <f>IF(H81=0,"",INDEX(Banco_Preguntas!$D$2:$D$400,H81))</f>
        <v/>
      </c>
    </row>
    <row r="82">
      <c r="B82" s="22">
        <f>IF(OR(H82=0,I82="HEAD"),"",10+COUNTIFS($H$32:H82,"&gt;0",$I$32:I82,"&lt;&gt;HEAD"))</f>
        <v/>
      </c>
      <c r="C82" s="23">
        <f>IF(OR(H82=0,I82="HEAD"),"",INDEX(Banco_Preguntas!$B$2:$B$400,H82))</f>
        <v/>
      </c>
      <c r="D82" s="24">
        <f>IF(H82=0,"",INDEX(Banco_Preguntas!$C$2:$C$400,H82))</f>
        <v/>
      </c>
      <c r="E82" s="24" t="n"/>
      <c r="F82" s="24" t="n"/>
      <c r="G82">
        <f>IF(OR(I82="",I82="HEAD"),"L_TXT","L_"&amp;I82)</f>
        <v/>
      </c>
      <c r="H82">
        <f>IFERROR(MATCH(51,Banco_Preguntas!$P$2:$P$400,0),0)</f>
        <v/>
      </c>
      <c r="I82">
        <f>IF(H82=0,"",INDEX(Banco_Preguntas!$D$2:$D$400,H82))</f>
        <v/>
      </c>
    </row>
    <row r="83">
      <c r="B83" s="22">
        <f>IF(OR(H83=0,I83="HEAD"),"",10+COUNTIFS($H$32:H83,"&gt;0",$I$32:I83,"&lt;&gt;HEAD"))</f>
        <v/>
      </c>
      <c r="C83" s="23">
        <f>IF(OR(H83=0,I83="HEAD"),"",INDEX(Banco_Preguntas!$B$2:$B$400,H83))</f>
        <v/>
      </c>
      <c r="D83" s="24">
        <f>IF(H83=0,"",INDEX(Banco_Preguntas!$C$2:$C$400,H83))</f>
        <v/>
      </c>
      <c r="E83" s="24" t="n"/>
      <c r="F83" s="24" t="n"/>
      <c r="G83">
        <f>IF(OR(I83="",I83="HEAD"),"L_TXT","L_"&amp;I83)</f>
        <v/>
      </c>
      <c r="H83">
        <f>IFERROR(MATCH(52,Banco_Preguntas!$P$2:$P$400,0),0)</f>
        <v/>
      </c>
      <c r="I83">
        <f>IF(H83=0,"",INDEX(Banco_Preguntas!$D$2:$D$400,H83))</f>
        <v/>
      </c>
    </row>
    <row r="84">
      <c r="B84" s="22">
        <f>IF(OR(H84=0,I84="HEAD"),"",10+COUNTIFS($H$32:H84,"&gt;0",$I$32:I84,"&lt;&gt;HEAD"))</f>
        <v/>
      </c>
      <c r="C84" s="23">
        <f>IF(OR(H84=0,I84="HEAD"),"",INDEX(Banco_Preguntas!$B$2:$B$400,H84))</f>
        <v/>
      </c>
      <c r="D84" s="24">
        <f>IF(H84=0,"",INDEX(Banco_Preguntas!$C$2:$C$400,H84))</f>
        <v/>
      </c>
      <c r="E84" s="24" t="n"/>
      <c r="F84" s="24" t="n"/>
      <c r="G84">
        <f>IF(OR(I84="",I84="HEAD"),"L_TXT","L_"&amp;I84)</f>
        <v/>
      </c>
      <c r="H84">
        <f>IFERROR(MATCH(53,Banco_Preguntas!$P$2:$P$400,0),0)</f>
        <v/>
      </c>
      <c r="I84">
        <f>IF(H84=0,"",INDEX(Banco_Preguntas!$D$2:$D$400,H84))</f>
        <v/>
      </c>
    </row>
    <row r="85">
      <c r="B85" s="22">
        <f>IF(OR(H85=0,I85="HEAD"),"",10+COUNTIFS($H$32:H85,"&gt;0",$I$32:I85,"&lt;&gt;HEAD"))</f>
        <v/>
      </c>
      <c r="C85" s="23">
        <f>IF(OR(H85=0,I85="HEAD"),"",INDEX(Banco_Preguntas!$B$2:$B$400,H85))</f>
        <v/>
      </c>
      <c r="D85" s="24">
        <f>IF(H85=0,"",INDEX(Banco_Preguntas!$C$2:$C$400,H85))</f>
        <v/>
      </c>
      <c r="E85" s="24" t="n"/>
      <c r="F85" s="24" t="n"/>
      <c r="G85">
        <f>IF(OR(I85="",I85="HEAD"),"L_TXT","L_"&amp;I85)</f>
        <v/>
      </c>
      <c r="H85">
        <f>IFERROR(MATCH(54,Banco_Preguntas!$P$2:$P$400,0),0)</f>
        <v/>
      </c>
      <c r="I85">
        <f>IF(H85=0,"",INDEX(Banco_Preguntas!$D$2:$D$400,H85))</f>
        <v/>
      </c>
    </row>
    <row r="86">
      <c r="B86" s="22">
        <f>IF(OR(H86=0,I86="HEAD"),"",10+COUNTIFS($H$32:H86,"&gt;0",$I$32:I86,"&lt;&gt;HEAD"))</f>
        <v/>
      </c>
      <c r="C86" s="23">
        <f>IF(OR(H86=0,I86="HEAD"),"",INDEX(Banco_Preguntas!$B$2:$B$400,H86))</f>
        <v/>
      </c>
      <c r="D86" s="24">
        <f>IF(H86=0,"",INDEX(Banco_Preguntas!$C$2:$C$400,H86))</f>
        <v/>
      </c>
      <c r="E86" s="24" t="n"/>
      <c r="F86" s="24" t="n"/>
      <c r="G86">
        <f>IF(OR(I86="",I86="HEAD"),"L_TXT","L_"&amp;I86)</f>
        <v/>
      </c>
      <c r="H86">
        <f>IFERROR(MATCH(55,Banco_Preguntas!$P$2:$P$400,0),0)</f>
        <v/>
      </c>
      <c r="I86">
        <f>IF(H86=0,"",INDEX(Banco_Preguntas!$D$2:$D$400,H86))</f>
        <v/>
      </c>
    </row>
    <row r="87">
      <c r="B87" s="22">
        <f>IF(OR(H87=0,I87="HEAD"),"",10+COUNTIFS($H$32:H87,"&gt;0",$I$32:I87,"&lt;&gt;HEAD"))</f>
        <v/>
      </c>
      <c r="C87" s="23">
        <f>IF(OR(H87=0,I87="HEAD"),"",INDEX(Banco_Preguntas!$B$2:$B$400,H87))</f>
        <v/>
      </c>
      <c r="D87" s="24">
        <f>IF(H87=0,"",INDEX(Banco_Preguntas!$C$2:$C$400,H87))</f>
        <v/>
      </c>
      <c r="E87" s="24" t="n"/>
      <c r="F87" s="24" t="n"/>
      <c r="G87">
        <f>IF(OR(I87="",I87="HEAD"),"L_TXT","L_"&amp;I87)</f>
        <v/>
      </c>
      <c r="H87">
        <f>IFERROR(MATCH(56,Banco_Preguntas!$P$2:$P$400,0),0)</f>
        <v/>
      </c>
      <c r="I87">
        <f>IF(H87=0,"",INDEX(Banco_Preguntas!$D$2:$D$400,H87))</f>
        <v/>
      </c>
    </row>
    <row r="88">
      <c r="B88" s="22">
        <f>IF(OR(H88=0,I88="HEAD"),"",10+COUNTIFS($H$32:H88,"&gt;0",$I$32:I88,"&lt;&gt;HEAD"))</f>
        <v/>
      </c>
      <c r="C88" s="23">
        <f>IF(OR(H88=0,I88="HEAD"),"",INDEX(Banco_Preguntas!$B$2:$B$400,H88))</f>
        <v/>
      </c>
      <c r="D88" s="24">
        <f>IF(H88=0,"",INDEX(Banco_Preguntas!$C$2:$C$400,H88))</f>
        <v/>
      </c>
      <c r="E88" s="24" t="n"/>
      <c r="F88" s="24" t="n"/>
      <c r="G88">
        <f>IF(OR(I88="",I88="HEAD"),"L_TXT","L_"&amp;I88)</f>
        <v/>
      </c>
      <c r="H88">
        <f>IFERROR(MATCH(57,Banco_Preguntas!$P$2:$P$400,0),0)</f>
        <v/>
      </c>
      <c r="I88">
        <f>IF(H88=0,"",INDEX(Banco_Preguntas!$D$2:$D$400,H88))</f>
        <v/>
      </c>
    </row>
    <row r="89">
      <c r="B89" s="22">
        <f>IF(OR(H89=0,I89="HEAD"),"",10+COUNTIFS($H$32:H89,"&gt;0",$I$32:I89,"&lt;&gt;HEAD"))</f>
        <v/>
      </c>
      <c r="C89" s="23">
        <f>IF(OR(H89=0,I89="HEAD"),"",INDEX(Banco_Preguntas!$B$2:$B$400,H89))</f>
        <v/>
      </c>
      <c r="D89" s="24">
        <f>IF(H89=0,"",INDEX(Banco_Preguntas!$C$2:$C$400,H89))</f>
        <v/>
      </c>
      <c r="E89" s="24" t="n"/>
      <c r="F89" s="24" t="n"/>
      <c r="G89">
        <f>IF(OR(I89="",I89="HEAD"),"L_TXT","L_"&amp;I89)</f>
        <v/>
      </c>
      <c r="H89">
        <f>IFERROR(MATCH(58,Banco_Preguntas!$P$2:$P$400,0),0)</f>
        <v/>
      </c>
      <c r="I89">
        <f>IF(H89=0,"",INDEX(Banco_Preguntas!$D$2:$D$400,H89))</f>
        <v/>
      </c>
    </row>
    <row r="90">
      <c r="B90" s="22">
        <f>IF(OR(H90=0,I90="HEAD"),"",10+COUNTIFS($H$32:H90,"&gt;0",$I$32:I90,"&lt;&gt;HEAD"))</f>
        <v/>
      </c>
      <c r="C90" s="23">
        <f>IF(OR(H90=0,I90="HEAD"),"",INDEX(Banco_Preguntas!$B$2:$B$400,H90))</f>
        <v/>
      </c>
      <c r="D90" s="24">
        <f>IF(H90=0,"",INDEX(Banco_Preguntas!$C$2:$C$400,H90))</f>
        <v/>
      </c>
      <c r="E90" s="24" t="n"/>
      <c r="F90" s="24" t="n"/>
      <c r="G90">
        <f>IF(OR(I90="",I90="HEAD"),"L_TXT","L_"&amp;I90)</f>
        <v/>
      </c>
      <c r="H90">
        <f>IFERROR(MATCH(59,Banco_Preguntas!$P$2:$P$400,0),0)</f>
        <v/>
      </c>
      <c r="I90">
        <f>IF(H90=0,"",INDEX(Banco_Preguntas!$D$2:$D$400,H90))</f>
        <v/>
      </c>
    </row>
    <row r="91">
      <c r="B91" s="22">
        <f>IF(OR(H91=0,I91="HEAD"),"",10+COUNTIFS($H$32:H91,"&gt;0",$I$32:I91,"&lt;&gt;HEAD"))</f>
        <v/>
      </c>
      <c r="C91" s="23">
        <f>IF(OR(H91=0,I91="HEAD"),"",INDEX(Banco_Preguntas!$B$2:$B$400,H91))</f>
        <v/>
      </c>
      <c r="D91" s="24">
        <f>IF(H91=0,"",INDEX(Banco_Preguntas!$C$2:$C$400,H91))</f>
        <v/>
      </c>
      <c r="E91" s="24" t="n"/>
      <c r="F91" s="24" t="n"/>
      <c r="G91">
        <f>IF(OR(I91="",I91="HEAD"),"L_TXT","L_"&amp;I91)</f>
        <v/>
      </c>
      <c r="H91">
        <f>IFERROR(MATCH(60,Banco_Preguntas!$P$2:$P$400,0),0)</f>
        <v/>
      </c>
      <c r="I91">
        <f>IF(H91=0,"",INDEX(Banco_Preguntas!$D$2:$D$400,H91))</f>
        <v/>
      </c>
    </row>
    <row r="92">
      <c r="B92" s="22">
        <f>IF(OR(H92=0,I92="HEAD"),"",10+COUNTIFS($H$32:H92,"&gt;0",$I$32:I92,"&lt;&gt;HEAD"))</f>
        <v/>
      </c>
      <c r="C92" s="23">
        <f>IF(OR(H92=0,I92="HEAD"),"",INDEX(Banco_Preguntas!$B$2:$B$400,H92))</f>
        <v/>
      </c>
      <c r="D92" s="24">
        <f>IF(H92=0,"",INDEX(Banco_Preguntas!$C$2:$C$400,H92))</f>
        <v/>
      </c>
      <c r="E92" s="24" t="n"/>
      <c r="F92" s="24" t="n"/>
      <c r="G92">
        <f>IF(OR(I92="",I92="HEAD"),"L_TXT","L_"&amp;I92)</f>
        <v/>
      </c>
      <c r="H92">
        <f>IFERROR(MATCH(61,Banco_Preguntas!$P$2:$P$400,0),0)</f>
        <v/>
      </c>
      <c r="I92">
        <f>IF(H92=0,"",INDEX(Banco_Preguntas!$D$2:$D$400,H92))</f>
        <v/>
      </c>
    </row>
    <row r="93">
      <c r="B93" s="22">
        <f>IF(OR(H93=0,I93="HEAD"),"",10+COUNTIFS($H$32:H93,"&gt;0",$I$32:I93,"&lt;&gt;HEAD"))</f>
        <v/>
      </c>
      <c r="C93" s="23">
        <f>IF(OR(H93=0,I93="HEAD"),"",INDEX(Banco_Preguntas!$B$2:$B$400,H93))</f>
        <v/>
      </c>
      <c r="D93" s="24">
        <f>IF(H93=0,"",INDEX(Banco_Preguntas!$C$2:$C$400,H93))</f>
        <v/>
      </c>
      <c r="E93" s="24" t="n"/>
      <c r="F93" s="24" t="n"/>
      <c r="G93">
        <f>IF(OR(I93="",I93="HEAD"),"L_TXT","L_"&amp;I93)</f>
        <v/>
      </c>
      <c r="H93">
        <f>IFERROR(MATCH(62,Banco_Preguntas!$P$2:$P$400,0),0)</f>
        <v/>
      </c>
      <c r="I93">
        <f>IF(H93=0,"",INDEX(Banco_Preguntas!$D$2:$D$400,H93))</f>
        <v/>
      </c>
    </row>
    <row r="94">
      <c r="B94" s="22">
        <f>IF(OR(H94=0,I94="HEAD"),"",10+COUNTIFS($H$32:H94,"&gt;0",$I$32:I94,"&lt;&gt;HEAD"))</f>
        <v/>
      </c>
      <c r="C94" s="23">
        <f>IF(OR(H94=0,I94="HEAD"),"",INDEX(Banco_Preguntas!$B$2:$B$400,H94))</f>
        <v/>
      </c>
      <c r="D94" s="24">
        <f>IF(H94=0,"",INDEX(Banco_Preguntas!$C$2:$C$400,H94))</f>
        <v/>
      </c>
      <c r="E94" s="24" t="n"/>
      <c r="F94" s="24" t="n"/>
      <c r="G94">
        <f>IF(OR(I94="",I94="HEAD"),"L_TXT","L_"&amp;I94)</f>
        <v/>
      </c>
      <c r="H94">
        <f>IFERROR(MATCH(63,Banco_Preguntas!$P$2:$P$400,0),0)</f>
        <v/>
      </c>
      <c r="I94">
        <f>IF(H94=0,"",INDEX(Banco_Preguntas!$D$2:$D$400,H94))</f>
        <v/>
      </c>
    </row>
    <row r="95">
      <c r="B95" s="22">
        <f>IF(OR(H95=0,I95="HEAD"),"",10+COUNTIFS($H$32:H95,"&gt;0",$I$32:I95,"&lt;&gt;HEAD"))</f>
        <v/>
      </c>
      <c r="C95" s="23">
        <f>IF(OR(H95=0,I95="HEAD"),"",INDEX(Banco_Preguntas!$B$2:$B$400,H95))</f>
        <v/>
      </c>
      <c r="D95" s="24">
        <f>IF(H95=0,"",INDEX(Banco_Preguntas!$C$2:$C$400,H95))</f>
        <v/>
      </c>
      <c r="E95" s="24" t="n"/>
      <c r="F95" s="24" t="n"/>
      <c r="G95">
        <f>IF(OR(I95="",I95="HEAD"),"L_TXT","L_"&amp;I95)</f>
        <v/>
      </c>
      <c r="H95">
        <f>IFERROR(MATCH(64,Banco_Preguntas!$P$2:$P$400,0),0)</f>
        <v/>
      </c>
      <c r="I95">
        <f>IF(H95=0,"",INDEX(Banco_Preguntas!$D$2:$D$400,H95))</f>
        <v/>
      </c>
    </row>
    <row r="96">
      <c r="B96" s="22">
        <f>IF(OR(H96=0,I96="HEAD"),"",10+COUNTIFS($H$32:H96,"&gt;0",$I$32:I96,"&lt;&gt;HEAD"))</f>
        <v/>
      </c>
      <c r="C96" s="23">
        <f>IF(OR(H96=0,I96="HEAD"),"",INDEX(Banco_Preguntas!$B$2:$B$400,H96))</f>
        <v/>
      </c>
      <c r="D96" s="24">
        <f>IF(H96=0,"",INDEX(Banco_Preguntas!$C$2:$C$400,H96))</f>
        <v/>
      </c>
      <c r="E96" s="24" t="n"/>
      <c r="F96" s="24" t="n"/>
      <c r="G96">
        <f>IF(OR(I96="",I96="HEAD"),"L_TXT","L_"&amp;I96)</f>
        <v/>
      </c>
      <c r="H96">
        <f>IFERROR(MATCH(65,Banco_Preguntas!$P$2:$P$400,0),0)</f>
        <v/>
      </c>
      <c r="I96">
        <f>IF(H96=0,"",INDEX(Banco_Preguntas!$D$2:$D$400,H96))</f>
        <v/>
      </c>
    </row>
    <row r="97">
      <c r="B97" s="22">
        <f>IF(OR(H97=0,I97="HEAD"),"",10+COUNTIFS($H$32:H97,"&gt;0",$I$32:I97,"&lt;&gt;HEAD"))</f>
        <v/>
      </c>
      <c r="C97" s="23">
        <f>IF(OR(H97=0,I97="HEAD"),"",INDEX(Banco_Preguntas!$B$2:$B$400,H97))</f>
        <v/>
      </c>
      <c r="D97" s="24">
        <f>IF(H97=0,"",INDEX(Banco_Preguntas!$C$2:$C$400,H97))</f>
        <v/>
      </c>
      <c r="E97" s="24" t="n"/>
      <c r="F97" s="24" t="n"/>
      <c r="G97">
        <f>IF(OR(I97="",I97="HEAD"),"L_TXT","L_"&amp;I97)</f>
        <v/>
      </c>
      <c r="H97">
        <f>IFERROR(MATCH(66,Banco_Preguntas!$P$2:$P$400,0),0)</f>
        <v/>
      </c>
      <c r="I97">
        <f>IF(H97=0,"",INDEX(Banco_Preguntas!$D$2:$D$400,H97))</f>
        <v/>
      </c>
    </row>
    <row r="98">
      <c r="B98" s="22">
        <f>IF(OR(H98=0,I98="HEAD"),"",10+COUNTIFS($H$32:H98,"&gt;0",$I$32:I98,"&lt;&gt;HEAD"))</f>
        <v/>
      </c>
      <c r="C98" s="23">
        <f>IF(OR(H98=0,I98="HEAD"),"",INDEX(Banco_Preguntas!$B$2:$B$400,H98))</f>
        <v/>
      </c>
      <c r="D98" s="24">
        <f>IF(H98=0,"",INDEX(Banco_Preguntas!$C$2:$C$400,H98))</f>
        <v/>
      </c>
      <c r="E98" s="24" t="n"/>
      <c r="F98" s="24" t="n"/>
      <c r="G98">
        <f>IF(OR(I98="",I98="HEAD"),"L_TXT","L_"&amp;I98)</f>
        <v/>
      </c>
      <c r="H98">
        <f>IFERROR(MATCH(67,Banco_Preguntas!$P$2:$P$400,0),0)</f>
        <v/>
      </c>
      <c r="I98">
        <f>IF(H98=0,"",INDEX(Banco_Preguntas!$D$2:$D$400,H98))</f>
        <v/>
      </c>
    </row>
    <row r="99">
      <c r="B99" s="22">
        <f>IF(OR(H99=0,I99="HEAD"),"",10+COUNTIFS($H$32:H99,"&gt;0",$I$32:I99,"&lt;&gt;HEAD"))</f>
        <v/>
      </c>
      <c r="C99" s="23">
        <f>IF(OR(H99=0,I99="HEAD"),"",INDEX(Banco_Preguntas!$B$2:$B$400,H99))</f>
        <v/>
      </c>
      <c r="D99" s="24">
        <f>IF(H99=0,"",INDEX(Banco_Preguntas!$C$2:$C$400,H99))</f>
        <v/>
      </c>
      <c r="E99" s="24" t="n"/>
      <c r="F99" s="24" t="n"/>
      <c r="G99">
        <f>IF(OR(I99="",I99="HEAD"),"L_TXT","L_"&amp;I99)</f>
        <v/>
      </c>
      <c r="H99">
        <f>IFERROR(MATCH(68,Banco_Preguntas!$P$2:$P$400,0),0)</f>
        <v/>
      </c>
      <c r="I99">
        <f>IF(H99=0,"",INDEX(Banco_Preguntas!$D$2:$D$400,H99))</f>
        <v/>
      </c>
    </row>
    <row r="100">
      <c r="B100" s="22">
        <f>IF(OR(H100=0,I100="HEAD"),"",10+COUNTIFS($H$32:H100,"&gt;0",$I$32:I100,"&lt;&gt;HEAD"))</f>
        <v/>
      </c>
      <c r="C100" s="23">
        <f>IF(OR(H100=0,I100="HEAD"),"",INDEX(Banco_Preguntas!$B$2:$B$400,H100))</f>
        <v/>
      </c>
      <c r="D100" s="24">
        <f>IF(H100=0,"",INDEX(Banco_Preguntas!$C$2:$C$400,H100))</f>
        <v/>
      </c>
      <c r="E100" s="24" t="n"/>
      <c r="F100" s="24" t="n"/>
      <c r="G100">
        <f>IF(OR(I100="",I100="HEAD"),"L_TXT","L_"&amp;I100)</f>
        <v/>
      </c>
      <c r="H100">
        <f>IFERROR(MATCH(69,Banco_Preguntas!$P$2:$P$400,0),0)</f>
        <v/>
      </c>
      <c r="I100">
        <f>IF(H100=0,"",INDEX(Banco_Preguntas!$D$2:$D$400,H100))</f>
        <v/>
      </c>
    </row>
    <row r="101">
      <c r="B101" s="22">
        <f>IF(OR(H101=0,I101="HEAD"),"",10+COUNTIFS($H$32:H101,"&gt;0",$I$32:I101,"&lt;&gt;HEAD"))</f>
        <v/>
      </c>
      <c r="C101" s="23">
        <f>IF(OR(H101=0,I101="HEAD"),"",INDEX(Banco_Preguntas!$B$2:$B$400,H101))</f>
        <v/>
      </c>
      <c r="D101" s="24">
        <f>IF(H101=0,"",INDEX(Banco_Preguntas!$C$2:$C$400,H101))</f>
        <v/>
      </c>
      <c r="E101" s="24" t="n"/>
      <c r="F101" s="24" t="n"/>
      <c r="G101">
        <f>IF(OR(I101="",I101="HEAD"),"L_TXT","L_"&amp;I101)</f>
        <v/>
      </c>
      <c r="H101">
        <f>IFERROR(MATCH(70,Banco_Preguntas!$P$2:$P$400,0),0)</f>
        <v/>
      </c>
      <c r="I101">
        <f>IF(H101=0,"",INDEX(Banco_Preguntas!$D$2:$D$400,H101))</f>
        <v/>
      </c>
    </row>
    <row r="102">
      <c r="B102" s="22">
        <f>IF(OR(H102=0,I102="HEAD"),"",10+COUNTIFS($H$32:H102,"&gt;0",$I$32:I102,"&lt;&gt;HEAD"))</f>
        <v/>
      </c>
      <c r="C102" s="23">
        <f>IF(OR(H102=0,I102="HEAD"),"",INDEX(Banco_Preguntas!$B$2:$B$400,H102))</f>
        <v/>
      </c>
      <c r="D102" s="24">
        <f>IF(H102=0,"",INDEX(Banco_Preguntas!$C$2:$C$400,H102))</f>
        <v/>
      </c>
      <c r="E102" s="24" t="n"/>
      <c r="F102" s="24" t="n"/>
      <c r="G102">
        <f>IF(OR(I102="",I102="HEAD"),"L_TXT","L_"&amp;I102)</f>
        <v/>
      </c>
      <c r="H102">
        <f>IFERROR(MATCH(71,Banco_Preguntas!$P$2:$P$400,0),0)</f>
        <v/>
      </c>
      <c r="I102">
        <f>IF(H102=0,"",INDEX(Banco_Preguntas!$D$2:$D$400,H102))</f>
        <v/>
      </c>
    </row>
    <row r="103">
      <c r="B103" s="22">
        <f>IF(OR(H103=0,I103="HEAD"),"",10+COUNTIFS($H$32:H103,"&gt;0",$I$32:I103,"&lt;&gt;HEAD"))</f>
        <v/>
      </c>
      <c r="C103" s="23">
        <f>IF(OR(H103=0,I103="HEAD"),"",INDEX(Banco_Preguntas!$B$2:$B$400,H103))</f>
        <v/>
      </c>
      <c r="D103" s="24">
        <f>IF(H103=0,"",INDEX(Banco_Preguntas!$C$2:$C$400,H103))</f>
        <v/>
      </c>
      <c r="E103" s="24" t="n"/>
      <c r="F103" s="24" t="n"/>
      <c r="G103">
        <f>IF(OR(I103="",I103="HEAD"),"L_TXT","L_"&amp;I103)</f>
        <v/>
      </c>
      <c r="H103">
        <f>IFERROR(MATCH(72,Banco_Preguntas!$P$2:$P$400,0),0)</f>
        <v/>
      </c>
      <c r="I103">
        <f>IF(H103=0,"",INDEX(Banco_Preguntas!$D$2:$D$400,H103))</f>
        <v/>
      </c>
    </row>
    <row r="104">
      <c r="B104" s="22">
        <f>IF(OR(H104=0,I104="HEAD"),"",10+COUNTIFS($H$32:H104,"&gt;0",$I$32:I104,"&lt;&gt;HEAD"))</f>
        <v/>
      </c>
      <c r="C104" s="23">
        <f>IF(OR(H104=0,I104="HEAD"),"",INDEX(Banco_Preguntas!$B$2:$B$400,H104))</f>
        <v/>
      </c>
      <c r="D104" s="24">
        <f>IF(H104=0,"",INDEX(Banco_Preguntas!$C$2:$C$400,H104))</f>
        <v/>
      </c>
      <c r="E104" s="24" t="n"/>
      <c r="F104" s="24" t="n"/>
      <c r="G104">
        <f>IF(OR(I104="",I104="HEAD"),"L_TXT","L_"&amp;I104)</f>
        <v/>
      </c>
      <c r="H104">
        <f>IFERROR(MATCH(73,Banco_Preguntas!$P$2:$P$400,0),0)</f>
        <v/>
      </c>
      <c r="I104">
        <f>IF(H104=0,"",INDEX(Banco_Preguntas!$D$2:$D$400,H104))</f>
        <v/>
      </c>
    </row>
    <row r="105">
      <c r="B105" s="22">
        <f>IF(OR(H105=0,I105="HEAD"),"",10+COUNTIFS($H$32:H105,"&gt;0",$I$32:I105,"&lt;&gt;HEAD"))</f>
        <v/>
      </c>
      <c r="C105" s="23">
        <f>IF(OR(H105=0,I105="HEAD"),"",INDEX(Banco_Preguntas!$B$2:$B$400,H105))</f>
        <v/>
      </c>
      <c r="D105" s="24">
        <f>IF(H105=0,"",INDEX(Banco_Preguntas!$C$2:$C$400,H105))</f>
        <v/>
      </c>
      <c r="E105" s="24" t="n"/>
      <c r="F105" s="24" t="n"/>
      <c r="G105">
        <f>IF(OR(I105="",I105="HEAD"),"L_TXT","L_"&amp;I105)</f>
        <v/>
      </c>
      <c r="H105">
        <f>IFERROR(MATCH(74,Banco_Preguntas!$P$2:$P$400,0),0)</f>
        <v/>
      </c>
      <c r="I105">
        <f>IF(H105=0,"",INDEX(Banco_Preguntas!$D$2:$D$400,H105))</f>
        <v/>
      </c>
    </row>
    <row r="106">
      <c r="B106" s="22">
        <f>IF(OR(H106=0,I106="HEAD"),"",10+COUNTIFS($H$32:H106,"&gt;0",$I$32:I106,"&lt;&gt;HEAD"))</f>
        <v/>
      </c>
      <c r="C106" s="23">
        <f>IF(OR(H106=0,I106="HEAD"),"",INDEX(Banco_Preguntas!$B$2:$B$400,H106))</f>
        <v/>
      </c>
      <c r="D106" s="24">
        <f>IF(H106=0,"",INDEX(Banco_Preguntas!$C$2:$C$400,H106))</f>
        <v/>
      </c>
      <c r="E106" s="24" t="n"/>
      <c r="F106" s="24" t="n"/>
      <c r="G106">
        <f>IF(OR(I106="",I106="HEAD"),"L_TXT","L_"&amp;I106)</f>
        <v/>
      </c>
      <c r="H106">
        <f>IFERROR(MATCH(75,Banco_Preguntas!$P$2:$P$400,0),0)</f>
        <v/>
      </c>
      <c r="I106">
        <f>IF(H106=0,"",INDEX(Banco_Preguntas!$D$2:$D$400,H106))</f>
        <v/>
      </c>
    </row>
    <row r="107">
      <c r="B107" s="22">
        <f>IF(OR(H107=0,I107="HEAD"),"",10+COUNTIFS($H$32:H107,"&gt;0",$I$32:I107,"&lt;&gt;HEAD"))</f>
        <v/>
      </c>
      <c r="C107" s="23">
        <f>IF(OR(H107=0,I107="HEAD"),"",INDEX(Banco_Preguntas!$B$2:$B$400,H107))</f>
        <v/>
      </c>
      <c r="D107" s="24">
        <f>IF(H107=0,"",INDEX(Banco_Preguntas!$C$2:$C$400,H107))</f>
        <v/>
      </c>
      <c r="E107" s="24" t="n"/>
      <c r="F107" s="24" t="n"/>
      <c r="G107">
        <f>IF(OR(I107="",I107="HEAD"),"L_TXT","L_"&amp;I107)</f>
        <v/>
      </c>
      <c r="H107">
        <f>IFERROR(MATCH(76,Banco_Preguntas!$P$2:$P$400,0),0)</f>
        <v/>
      </c>
      <c r="I107">
        <f>IF(H107=0,"",INDEX(Banco_Preguntas!$D$2:$D$400,H107))</f>
        <v/>
      </c>
    </row>
    <row r="108">
      <c r="B108" s="22">
        <f>IF(OR(H108=0,I108="HEAD"),"",10+COUNTIFS($H$32:H108,"&gt;0",$I$32:I108,"&lt;&gt;HEAD"))</f>
        <v/>
      </c>
      <c r="C108" s="23">
        <f>IF(OR(H108=0,I108="HEAD"),"",INDEX(Banco_Preguntas!$B$2:$B$400,H108))</f>
        <v/>
      </c>
      <c r="D108" s="24">
        <f>IF(H108=0,"",INDEX(Banco_Preguntas!$C$2:$C$400,H108))</f>
        <v/>
      </c>
      <c r="E108" s="24" t="n"/>
      <c r="F108" s="24" t="n"/>
      <c r="G108">
        <f>IF(OR(I108="",I108="HEAD"),"L_TXT","L_"&amp;I108)</f>
        <v/>
      </c>
      <c r="H108">
        <f>IFERROR(MATCH(77,Banco_Preguntas!$P$2:$P$400,0),0)</f>
        <v/>
      </c>
      <c r="I108">
        <f>IF(H108=0,"",INDEX(Banco_Preguntas!$D$2:$D$400,H108))</f>
        <v/>
      </c>
    </row>
    <row r="109">
      <c r="B109" s="22">
        <f>IF(OR(H109=0,I109="HEAD"),"",10+COUNTIFS($H$32:H109,"&gt;0",$I$32:I109,"&lt;&gt;HEAD"))</f>
        <v/>
      </c>
      <c r="C109" s="23">
        <f>IF(OR(H109=0,I109="HEAD"),"",INDEX(Banco_Preguntas!$B$2:$B$400,H109))</f>
        <v/>
      </c>
      <c r="D109" s="24">
        <f>IF(H109=0,"",INDEX(Banco_Preguntas!$C$2:$C$400,H109))</f>
        <v/>
      </c>
      <c r="E109" s="24" t="n"/>
      <c r="F109" s="24" t="n"/>
      <c r="G109">
        <f>IF(OR(I109="",I109="HEAD"),"L_TXT","L_"&amp;I109)</f>
        <v/>
      </c>
      <c r="H109">
        <f>IFERROR(MATCH(78,Banco_Preguntas!$P$2:$P$400,0),0)</f>
        <v/>
      </c>
      <c r="I109">
        <f>IF(H109=0,"",INDEX(Banco_Preguntas!$D$2:$D$400,H109))</f>
        <v/>
      </c>
    </row>
    <row r="110">
      <c r="B110" s="22">
        <f>IF(OR(H110=0,I110="HEAD"),"",10+COUNTIFS($H$32:H110,"&gt;0",$I$32:I110,"&lt;&gt;HEAD"))</f>
        <v/>
      </c>
      <c r="C110" s="23">
        <f>IF(OR(H110=0,I110="HEAD"),"",INDEX(Banco_Preguntas!$B$2:$B$400,H110))</f>
        <v/>
      </c>
      <c r="D110" s="24">
        <f>IF(H110=0,"",INDEX(Banco_Preguntas!$C$2:$C$400,H110))</f>
        <v/>
      </c>
      <c r="E110" s="24" t="n"/>
      <c r="F110" s="24" t="n"/>
      <c r="G110">
        <f>IF(OR(I110="",I110="HEAD"),"L_TXT","L_"&amp;I110)</f>
        <v/>
      </c>
      <c r="H110">
        <f>IFERROR(MATCH(79,Banco_Preguntas!$P$2:$P$400,0),0)</f>
        <v/>
      </c>
      <c r="I110">
        <f>IF(H110=0,"",INDEX(Banco_Preguntas!$D$2:$D$400,H110))</f>
        <v/>
      </c>
    </row>
    <row r="111">
      <c r="B111" s="22">
        <f>IF(OR(H111=0,I111="HEAD"),"",10+COUNTIFS($H$32:H111,"&gt;0",$I$32:I111,"&lt;&gt;HEAD"))</f>
        <v/>
      </c>
      <c r="C111" s="23">
        <f>IF(OR(H111=0,I111="HEAD"),"",INDEX(Banco_Preguntas!$B$2:$B$400,H111))</f>
        <v/>
      </c>
      <c r="D111" s="24">
        <f>IF(H111=0,"",INDEX(Banco_Preguntas!$C$2:$C$400,H111))</f>
        <v/>
      </c>
      <c r="E111" s="24" t="n"/>
      <c r="F111" s="24" t="n"/>
      <c r="G111">
        <f>IF(OR(I111="",I111="HEAD"),"L_TXT","L_"&amp;I111)</f>
        <v/>
      </c>
      <c r="H111">
        <f>IFERROR(MATCH(80,Banco_Preguntas!$P$2:$P$400,0),0)</f>
        <v/>
      </c>
      <c r="I111">
        <f>IF(H111=0,"",INDEX(Banco_Preguntas!$D$2:$D$400,H111))</f>
        <v/>
      </c>
    </row>
    <row r="112">
      <c r="B112" s="22">
        <f>IF(OR(H112=0,I112="HEAD"),"",10+COUNTIFS($H$32:H112,"&gt;0",$I$32:I112,"&lt;&gt;HEAD"))</f>
        <v/>
      </c>
      <c r="C112" s="23">
        <f>IF(OR(H112=0,I112="HEAD"),"",INDEX(Banco_Preguntas!$B$2:$B$400,H112))</f>
        <v/>
      </c>
      <c r="D112" s="24">
        <f>IF(H112=0,"",INDEX(Banco_Preguntas!$C$2:$C$400,H112))</f>
        <v/>
      </c>
      <c r="E112" s="24" t="n"/>
      <c r="F112" s="24" t="n"/>
      <c r="G112">
        <f>IF(OR(I112="",I112="HEAD"),"L_TXT","L_"&amp;I112)</f>
        <v/>
      </c>
      <c r="H112">
        <f>IFERROR(MATCH(81,Banco_Preguntas!$P$2:$P$400,0),0)</f>
        <v/>
      </c>
      <c r="I112">
        <f>IF(H112=0,"",INDEX(Banco_Preguntas!$D$2:$D$400,H112))</f>
        <v/>
      </c>
    </row>
    <row r="113">
      <c r="B113" s="22">
        <f>IF(OR(H113=0,I113="HEAD"),"",10+COUNTIFS($H$32:H113,"&gt;0",$I$32:I113,"&lt;&gt;HEAD"))</f>
        <v/>
      </c>
      <c r="C113" s="23">
        <f>IF(OR(H113=0,I113="HEAD"),"",INDEX(Banco_Preguntas!$B$2:$B$400,H113))</f>
        <v/>
      </c>
      <c r="D113" s="24">
        <f>IF(H113=0,"",INDEX(Banco_Preguntas!$C$2:$C$400,H113))</f>
        <v/>
      </c>
      <c r="E113" s="24" t="n"/>
      <c r="F113" s="24" t="n"/>
      <c r="G113">
        <f>IF(OR(I113="",I113="HEAD"),"L_TXT","L_"&amp;I113)</f>
        <v/>
      </c>
      <c r="H113">
        <f>IFERROR(MATCH(82,Banco_Preguntas!$P$2:$P$400,0),0)</f>
        <v/>
      </c>
      <c r="I113">
        <f>IF(H113=0,"",INDEX(Banco_Preguntas!$D$2:$D$400,H113))</f>
        <v/>
      </c>
    </row>
    <row r="114">
      <c r="B114" s="22">
        <f>IF(OR(H114=0,I114="HEAD"),"",10+COUNTIFS($H$32:H114,"&gt;0",$I$32:I114,"&lt;&gt;HEAD"))</f>
        <v/>
      </c>
      <c r="C114" s="23">
        <f>IF(OR(H114=0,I114="HEAD"),"",INDEX(Banco_Preguntas!$B$2:$B$400,H114))</f>
        <v/>
      </c>
      <c r="D114" s="24">
        <f>IF(H114=0,"",INDEX(Banco_Preguntas!$C$2:$C$400,H114))</f>
        <v/>
      </c>
      <c r="E114" s="24" t="n"/>
      <c r="F114" s="24" t="n"/>
      <c r="G114">
        <f>IF(OR(I114="",I114="HEAD"),"L_TXT","L_"&amp;I114)</f>
        <v/>
      </c>
      <c r="H114">
        <f>IFERROR(MATCH(83,Banco_Preguntas!$P$2:$P$400,0),0)</f>
        <v/>
      </c>
      <c r="I114">
        <f>IF(H114=0,"",INDEX(Banco_Preguntas!$D$2:$D$400,H114))</f>
        <v/>
      </c>
    </row>
    <row r="115">
      <c r="B115" s="22">
        <f>IF(OR(H115=0,I115="HEAD"),"",10+COUNTIFS($H$32:H115,"&gt;0",$I$32:I115,"&lt;&gt;HEAD"))</f>
        <v/>
      </c>
      <c r="C115" s="23">
        <f>IF(OR(H115=0,I115="HEAD"),"",INDEX(Banco_Preguntas!$B$2:$B$400,H115))</f>
        <v/>
      </c>
      <c r="D115" s="24">
        <f>IF(H115=0,"",INDEX(Banco_Preguntas!$C$2:$C$400,H115))</f>
        <v/>
      </c>
      <c r="E115" s="24" t="n"/>
      <c r="F115" s="24" t="n"/>
      <c r="G115">
        <f>IF(OR(I115="",I115="HEAD"),"L_TXT","L_"&amp;I115)</f>
        <v/>
      </c>
      <c r="H115">
        <f>IFERROR(MATCH(84,Banco_Preguntas!$P$2:$P$400,0),0)</f>
        <v/>
      </c>
      <c r="I115">
        <f>IF(H115=0,"",INDEX(Banco_Preguntas!$D$2:$D$400,H115))</f>
        <v/>
      </c>
    </row>
    <row r="116">
      <c r="B116" s="22">
        <f>IF(OR(H116=0,I116="HEAD"),"",10+COUNTIFS($H$32:H116,"&gt;0",$I$32:I116,"&lt;&gt;HEAD"))</f>
        <v/>
      </c>
      <c r="C116" s="23">
        <f>IF(OR(H116=0,I116="HEAD"),"",INDEX(Banco_Preguntas!$B$2:$B$400,H116))</f>
        <v/>
      </c>
      <c r="D116" s="24">
        <f>IF(H116=0,"",INDEX(Banco_Preguntas!$C$2:$C$400,H116))</f>
        <v/>
      </c>
      <c r="E116" s="24" t="n"/>
      <c r="F116" s="24" t="n"/>
      <c r="G116">
        <f>IF(OR(I116="",I116="HEAD"),"L_TXT","L_"&amp;I116)</f>
        <v/>
      </c>
      <c r="H116">
        <f>IFERROR(MATCH(85,Banco_Preguntas!$P$2:$P$400,0),0)</f>
        <v/>
      </c>
      <c r="I116">
        <f>IF(H116=0,"",INDEX(Banco_Preguntas!$D$2:$D$400,H116))</f>
        <v/>
      </c>
    </row>
    <row r="117">
      <c r="B117" s="22">
        <f>IF(OR(H117=0,I117="HEAD"),"",10+COUNTIFS($H$32:H117,"&gt;0",$I$32:I117,"&lt;&gt;HEAD"))</f>
        <v/>
      </c>
      <c r="C117" s="23">
        <f>IF(OR(H117=0,I117="HEAD"),"",INDEX(Banco_Preguntas!$B$2:$B$400,H117))</f>
        <v/>
      </c>
      <c r="D117" s="24">
        <f>IF(H117=0,"",INDEX(Banco_Preguntas!$C$2:$C$400,H117))</f>
        <v/>
      </c>
      <c r="E117" s="24" t="n"/>
      <c r="F117" s="24" t="n"/>
      <c r="G117">
        <f>IF(OR(I117="",I117="HEAD"),"L_TXT","L_"&amp;I117)</f>
        <v/>
      </c>
      <c r="H117">
        <f>IFERROR(MATCH(86,Banco_Preguntas!$P$2:$P$400,0),0)</f>
        <v/>
      </c>
      <c r="I117">
        <f>IF(H117=0,"",INDEX(Banco_Preguntas!$D$2:$D$400,H117))</f>
        <v/>
      </c>
    </row>
    <row r="118">
      <c r="B118" s="22">
        <f>IF(OR(H118=0,I118="HEAD"),"",10+COUNTIFS($H$32:H118,"&gt;0",$I$32:I118,"&lt;&gt;HEAD"))</f>
        <v/>
      </c>
      <c r="C118" s="23">
        <f>IF(OR(H118=0,I118="HEAD"),"",INDEX(Banco_Preguntas!$B$2:$B$400,H118))</f>
        <v/>
      </c>
      <c r="D118" s="24">
        <f>IF(H118=0,"",INDEX(Banco_Preguntas!$C$2:$C$400,H118))</f>
        <v/>
      </c>
      <c r="E118" s="24" t="n"/>
      <c r="F118" s="24" t="n"/>
      <c r="G118">
        <f>IF(OR(I118="",I118="HEAD"),"L_TXT","L_"&amp;I118)</f>
        <v/>
      </c>
      <c r="H118">
        <f>IFERROR(MATCH(87,Banco_Preguntas!$P$2:$P$400,0),0)</f>
        <v/>
      </c>
      <c r="I118">
        <f>IF(H118=0,"",INDEX(Banco_Preguntas!$D$2:$D$400,H118))</f>
        <v/>
      </c>
    </row>
    <row r="119">
      <c r="B119" s="22">
        <f>IF(OR(H119=0,I119="HEAD"),"",10+COUNTIFS($H$32:H119,"&gt;0",$I$32:I119,"&lt;&gt;HEAD"))</f>
        <v/>
      </c>
      <c r="C119" s="23">
        <f>IF(OR(H119=0,I119="HEAD"),"",INDEX(Banco_Preguntas!$B$2:$B$400,H119))</f>
        <v/>
      </c>
      <c r="D119" s="24">
        <f>IF(H119=0,"",INDEX(Banco_Preguntas!$C$2:$C$400,H119))</f>
        <v/>
      </c>
      <c r="E119" s="24" t="n"/>
      <c r="F119" s="24" t="n"/>
      <c r="G119">
        <f>IF(OR(I119="",I119="HEAD"),"L_TXT","L_"&amp;I119)</f>
        <v/>
      </c>
      <c r="H119">
        <f>IFERROR(MATCH(88,Banco_Preguntas!$P$2:$P$400,0),0)</f>
        <v/>
      </c>
      <c r="I119">
        <f>IF(H119=0,"",INDEX(Banco_Preguntas!$D$2:$D$400,H119))</f>
        <v/>
      </c>
    </row>
    <row r="120">
      <c r="B120" s="22">
        <f>IF(OR(H120=0,I120="HEAD"),"",10+COUNTIFS($H$32:H120,"&gt;0",$I$32:I120,"&lt;&gt;HEAD"))</f>
        <v/>
      </c>
      <c r="C120" s="23">
        <f>IF(OR(H120=0,I120="HEAD"),"",INDEX(Banco_Preguntas!$B$2:$B$400,H120))</f>
        <v/>
      </c>
      <c r="D120" s="24">
        <f>IF(H120=0,"",INDEX(Banco_Preguntas!$C$2:$C$400,H120))</f>
        <v/>
      </c>
      <c r="E120" s="24" t="n"/>
      <c r="F120" s="24" t="n"/>
      <c r="G120">
        <f>IF(OR(I120="",I120="HEAD"),"L_TXT","L_"&amp;I120)</f>
        <v/>
      </c>
      <c r="H120">
        <f>IFERROR(MATCH(89,Banco_Preguntas!$P$2:$P$400,0),0)</f>
        <v/>
      </c>
      <c r="I120">
        <f>IF(H120=0,"",INDEX(Banco_Preguntas!$D$2:$D$400,H120))</f>
        <v/>
      </c>
    </row>
    <row r="121">
      <c r="B121" s="22">
        <f>IF(OR(H121=0,I121="HEAD"),"",10+COUNTIFS($H$32:H121,"&gt;0",$I$32:I121,"&lt;&gt;HEAD"))</f>
        <v/>
      </c>
      <c r="C121" s="23">
        <f>IF(OR(H121=0,I121="HEAD"),"",INDEX(Banco_Preguntas!$B$2:$B$400,H121))</f>
        <v/>
      </c>
      <c r="D121" s="24">
        <f>IF(H121=0,"",INDEX(Banco_Preguntas!$C$2:$C$400,H121))</f>
        <v/>
      </c>
      <c r="E121" s="24" t="n"/>
      <c r="F121" s="24" t="n"/>
      <c r="G121">
        <f>IF(OR(I121="",I121="HEAD"),"L_TXT","L_"&amp;I121)</f>
        <v/>
      </c>
      <c r="H121">
        <f>IFERROR(MATCH(90,Banco_Preguntas!$P$2:$P$400,0),0)</f>
        <v/>
      </c>
      <c r="I121">
        <f>IF(H121=0,"",INDEX(Banco_Preguntas!$D$2:$D$400,H121))</f>
        <v/>
      </c>
    </row>
    <row r="122">
      <c r="B122" s="22">
        <f>IF(OR(H122=0,I122="HEAD"),"",10+COUNTIFS($H$32:H122,"&gt;0",$I$32:I122,"&lt;&gt;HEAD"))</f>
        <v/>
      </c>
      <c r="C122" s="23">
        <f>IF(OR(H122=0,I122="HEAD"),"",INDEX(Banco_Preguntas!$B$2:$B$400,H122))</f>
        <v/>
      </c>
      <c r="D122" s="24">
        <f>IF(H122=0,"",INDEX(Banco_Preguntas!$C$2:$C$400,H122))</f>
        <v/>
      </c>
      <c r="E122" s="24" t="n"/>
      <c r="F122" s="24" t="n"/>
      <c r="G122">
        <f>IF(OR(I122="",I122="HEAD"),"L_TXT","L_"&amp;I122)</f>
        <v/>
      </c>
      <c r="H122">
        <f>IFERROR(MATCH(91,Banco_Preguntas!$P$2:$P$400,0),0)</f>
        <v/>
      </c>
      <c r="I122">
        <f>IF(H122=0,"",INDEX(Banco_Preguntas!$D$2:$D$400,H122))</f>
        <v/>
      </c>
    </row>
    <row r="123">
      <c r="B123" s="22">
        <f>IF(OR(H123=0,I123="HEAD"),"",10+COUNTIFS($H$32:H123,"&gt;0",$I$32:I123,"&lt;&gt;HEAD"))</f>
        <v/>
      </c>
      <c r="C123" s="23">
        <f>IF(OR(H123=0,I123="HEAD"),"",INDEX(Banco_Preguntas!$B$2:$B$400,H123))</f>
        <v/>
      </c>
      <c r="D123" s="24">
        <f>IF(H123=0,"",INDEX(Banco_Preguntas!$C$2:$C$400,H123))</f>
        <v/>
      </c>
      <c r="E123" s="24" t="n"/>
      <c r="F123" s="24" t="n"/>
      <c r="G123">
        <f>IF(OR(I123="",I123="HEAD"),"L_TXT","L_"&amp;I123)</f>
        <v/>
      </c>
      <c r="H123">
        <f>IFERROR(MATCH(92,Banco_Preguntas!$P$2:$P$400,0),0)</f>
        <v/>
      </c>
      <c r="I123">
        <f>IF(H123=0,"",INDEX(Banco_Preguntas!$D$2:$D$400,H123))</f>
        <v/>
      </c>
    </row>
    <row r="124">
      <c r="B124" s="22">
        <f>IF(OR(H124=0,I124="HEAD"),"",10+COUNTIFS($H$32:H124,"&gt;0",$I$32:I124,"&lt;&gt;HEAD"))</f>
        <v/>
      </c>
      <c r="C124" s="23">
        <f>IF(OR(H124=0,I124="HEAD"),"",INDEX(Banco_Preguntas!$B$2:$B$400,H124))</f>
        <v/>
      </c>
      <c r="D124" s="24">
        <f>IF(H124=0,"",INDEX(Banco_Preguntas!$C$2:$C$400,H124))</f>
        <v/>
      </c>
      <c r="E124" s="24" t="n"/>
      <c r="F124" s="24" t="n"/>
      <c r="G124">
        <f>IF(OR(I124="",I124="HEAD"),"L_TXT","L_"&amp;I124)</f>
        <v/>
      </c>
      <c r="H124">
        <f>IFERROR(MATCH(93,Banco_Preguntas!$P$2:$P$400,0),0)</f>
        <v/>
      </c>
      <c r="I124">
        <f>IF(H124=0,"",INDEX(Banco_Preguntas!$D$2:$D$400,H124))</f>
        <v/>
      </c>
    </row>
    <row r="125">
      <c r="B125" s="22">
        <f>IF(OR(H125=0,I125="HEAD"),"",10+COUNTIFS($H$32:H125,"&gt;0",$I$32:I125,"&lt;&gt;HEAD"))</f>
        <v/>
      </c>
      <c r="C125" s="23">
        <f>IF(OR(H125=0,I125="HEAD"),"",INDEX(Banco_Preguntas!$B$2:$B$400,H125))</f>
        <v/>
      </c>
      <c r="D125" s="24">
        <f>IF(H125=0,"",INDEX(Banco_Preguntas!$C$2:$C$400,H125))</f>
        <v/>
      </c>
      <c r="E125" s="24" t="n"/>
      <c r="F125" s="24" t="n"/>
      <c r="G125">
        <f>IF(OR(I125="",I125="HEAD"),"L_TXT","L_"&amp;I125)</f>
        <v/>
      </c>
      <c r="H125">
        <f>IFERROR(MATCH(94,Banco_Preguntas!$P$2:$P$400,0),0)</f>
        <v/>
      </c>
      <c r="I125">
        <f>IF(H125=0,"",INDEX(Banco_Preguntas!$D$2:$D$400,H125))</f>
        <v/>
      </c>
    </row>
    <row r="126">
      <c r="B126" s="22">
        <f>IF(OR(H126=0,I126="HEAD"),"",10+COUNTIFS($H$32:H126,"&gt;0",$I$32:I126,"&lt;&gt;HEAD"))</f>
        <v/>
      </c>
      <c r="C126" s="23">
        <f>IF(OR(H126=0,I126="HEAD"),"",INDEX(Banco_Preguntas!$B$2:$B$400,H126))</f>
        <v/>
      </c>
      <c r="D126" s="24">
        <f>IF(H126=0,"",INDEX(Banco_Preguntas!$C$2:$C$400,H126))</f>
        <v/>
      </c>
      <c r="E126" s="24" t="n"/>
      <c r="F126" s="24" t="n"/>
      <c r="G126">
        <f>IF(OR(I126="",I126="HEAD"),"L_TXT","L_"&amp;I126)</f>
        <v/>
      </c>
      <c r="H126">
        <f>IFERROR(MATCH(95,Banco_Preguntas!$P$2:$P$400,0),0)</f>
        <v/>
      </c>
      <c r="I126">
        <f>IF(H126=0,"",INDEX(Banco_Preguntas!$D$2:$D$400,H126))</f>
        <v/>
      </c>
    </row>
    <row r="127">
      <c r="B127" s="22">
        <f>IF(OR(H127=0,I127="HEAD"),"",10+COUNTIFS($H$32:H127,"&gt;0",$I$32:I127,"&lt;&gt;HEAD"))</f>
        <v/>
      </c>
      <c r="C127" s="23">
        <f>IF(OR(H127=0,I127="HEAD"),"",INDEX(Banco_Preguntas!$B$2:$B$400,H127))</f>
        <v/>
      </c>
      <c r="D127" s="24">
        <f>IF(H127=0,"",INDEX(Banco_Preguntas!$C$2:$C$400,H127))</f>
        <v/>
      </c>
      <c r="E127" s="24" t="n"/>
      <c r="F127" s="24" t="n"/>
      <c r="G127">
        <f>IF(OR(I127="",I127="HEAD"),"L_TXT","L_"&amp;I127)</f>
        <v/>
      </c>
      <c r="H127">
        <f>IFERROR(MATCH(96,Banco_Preguntas!$P$2:$P$400,0),0)</f>
        <v/>
      </c>
      <c r="I127">
        <f>IF(H127=0,"",INDEX(Banco_Preguntas!$D$2:$D$400,H127))</f>
        <v/>
      </c>
    </row>
    <row r="128">
      <c r="B128" s="22">
        <f>IF(OR(H128=0,I128="HEAD"),"",10+COUNTIFS($H$32:H128,"&gt;0",$I$32:I128,"&lt;&gt;HEAD"))</f>
        <v/>
      </c>
      <c r="C128" s="23">
        <f>IF(OR(H128=0,I128="HEAD"),"",INDEX(Banco_Preguntas!$B$2:$B$400,H128))</f>
        <v/>
      </c>
      <c r="D128" s="24">
        <f>IF(H128=0,"",INDEX(Banco_Preguntas!$C$2:$C$400,H128))</f>
        <v/>
      </c>
      <c r="E128" s="24" t="n"/>
      <c r="F128" s="24" t="n"/>
      <c r="G128">
        <f>IF(OR(I128="",I128="HEAD"),"L_TXT","L_"&amp;I128)</f>
        <v/>
      </c>
      <c r="H128">
        <f>IFERROR(MATCH(97,Banco_Preguntas!$P$2:$P$400,0),0)</f>
        <v/>
      </c>
      <c r="I128">
        <f>IF(H128=0,"",INDEX(Banco_Preguntas!$D$2:$D$400,H128))</f>
        <v/>
      </c>
    </row>
    <row r="129">
      <c r="B129" s="22">
        <f>IF(OR(H129=0,I129="HEAD"),"",10+COUNTIFS($H$32:H129,"&gt;0",$I$32:I129,"&lt;&gt;HEAD"))</f>
        <v/>
      </c>
      <c r="C129" s="23">
        <f>IF(OR(H129=0,I129="HEAD"),"",INDEX(Banco_Preguntas!$B$2:$B$400,H129))</f>
        <v/>
      </c>
      <c r="D129" s="24">
        <f>IF(H129=0,"",INDEX(Banco_Preguntas!$C$2:$C$400,H129))</f>
        <v/>
      </c>
      <c r="E129" s="24" t="n"/>
      <c r="F129" s="24" t="n"/>
      <c r="G129">
        <f>IF(OR(I129="",I129="HEAD"),"L_TXT","L_"&amp;I129)</f>
        <v/>
      </c>
      <c r="H129">
        <f>IFERROR(MATCH(98,Banco_Preguntas!$P$2:$P$400,0),0)</f>
        <v/>
      </c>
      <c r="I129">
        <f>IF(H129=0,"",INDEX(Banco_Preguntas!$D$2:$D$400,H129))</f>
        <v/>
      </c>
    </row>
    <row r="130">
      <c r="B130" s="22">
        <f>IF(OR(H130=0,I130="HEAD"),"",10+COUNTIFS($H$32:H130,"&gt;0",$I$32:I130,"&lt;&gt;HEAD"))</f>
        <v/>
      </c>
      <c r="C130" s="23">
        <f>IF(OR(H130=0,I130="HEAD"),"",INDEX(Banco_Preguntas!$B$2:$B$400,H130))</f>
        <v/>
      </c>
      <c r="D130" s="24">
        <f>IF(H130=0,"",INDEX(Banco_Preguntas!$C$2:$C$400,H130))</f>
        <v/>
      </c>
      <c r="E130" s="24" t="n"/>
      <c r="F130" s="24" t="n"/>
      <c r="G130">
        <f>IF(OR(I130="",I130="HEAD"),"L_TXT","L_"&amp;I130)</f>
        <v/>
      </c>
      <c r="H130">
        <f>IFERROR(MATCH(99,Banco_Preguntas!$P$2:$P$400,0),0)</f>
        <v/>
      </c>
      <c r="I130">
        <f>IF(H130=0,"",INDEX(Banco_Preguntas!$D$2:$D$400,H130))</f>
        <v/>
      </c>
    </row>
    <row r="131">
      <c r="B131" s="22">
        <f>IF(OR(H131=0,I131="HEAD"),"",10+COUNTIFS($H$32:H131,"&gt;0",$I$32:I131,"&lt;&gt;HEAD"))</f>
        <v/>
      </c>
      <c r="C131" s="23">
        <f>IF(OR(H131=0,I131="HEAD"),"",INDEX(Banco_Preguntas!$B$2:$B$400,H131))</f>
        <v/>
      </c>
      <c r="D131" s="24">
        <f>IF(H131=0,"",INDEX(Banco_Preguntas!$C$2:$C$400,H131))</f>
        <v/>
      </c>
      <c r="E131" s="24" t="n"/>
      <c r="F131" s="24" t="n"/>
      <c r="G131">
        <f>IF(OR(I131="",I131="HEAD"),"L_TXT","L_"&amp;I131)</f>
        <v/>
      </c>
      <c r="H131">
        <f>IFERROR(MATCH(100,Banco_Preguntas!$P$2:$P$400,0),0)</f>
        <v/>
      </c>
      <c r="I131">
        <f>IF(H131=0,"",INDEX(Banco_Preguntas!$D$2:$D$400,H131))</f>
        <v/>
      </c>
    </row>
    <row r="132">
      <c r="B132" s="22">
        <f>IF(OR(H132=0,I132="HEAD"),"",10+COUNTIFS($H$32:H132,"&gt;0",$I$32:I132,"&lt;&gt;HEAD"))</f>
        <v/>
      </c>
      <c r="C132" s="23">
        <f>IF(OR(H132=0,I132="HEAD"),"",INDEX(Banco_Preguntas!$B$2:$B$400,H132))</f>
        <v/>
      </c>
      <c r="D132" s="24">
        <f>IF(H132=0,"",INDEX(Banco_Preguntas!$C$2:$C$400,H132))</f>
        <v/>
      </c>
      <c r="E132" s="24" t="n"/>
      <c r="F132" s="24" t="n"/>
      <c r="G132">
        <f>IF(OR(I132="",I132="HEAD"),"L_TXT","L_"&amp;I132)</f>
        <v/>
      </c>
      <c r="H132">
        <f>IFERROR(MATCH(101,Banco_Preguntas!$P$2:$P$400,0),0)</f>
        <v/>
      </c>
      <c r="I132">
        <f>IF(H132=0,"",INDEX(Banco_Preguntas!$D$2:$D$400,H132))</f>
        <v/>
      </c>
    </row>
    <row r="133">
      <c r="B133" s="22">
        <f>IF(OR(H133=0,I133="HEAD"),"",10+COUNTIFS($H$32:H133,"&gt;0",$I$32:I133,"&lt;&gt;HEAD"))</f>
        <v/>
      </c>
      <c r="C133" s="23">
        <f>IF(OR(H133=0,I133="HEAD"),"",INDEX(Banco_Preguntas!$B$2:$B$400,H133))</f>
        <v/>
      </c>
      <c r="D133" s="24">
        <f>IF(H133=0,"",INDEX(Banco_Preguntas!$C$2:$C$400,H133))</f>
        <v/>
      </c>
      <c r="E133" s="24" t="n"/>
      <c r="F133" s="24" t="n"/>
      <c r="G133">
        <f>IF(OR(I133="",I133="HEAD"),"L_TXT","L_"&amp;I133)</f>
        <v/>
      </c>
      <c r="H133">
        <f>IFERROR(MATCH(102,Banco_Preguntas!$P$2:$P$400,0),0)</f>
        <v/>
      </c>
      <c r="I133">
        <f>IF(H133=0,"",INDEX(Banco_Preguntas!$D$2:$D$400,H133))</f>
        <v/>
      </c>
    </row>
    <row r="134">
      <c r="B134" s="22">
        <f>IF(OR(H134=0,I134="HEAD"),"",10+COUNTIFS($H$32:H134,"&gt;0",$I$32:I134,"&lt;&gt;HEAD"))</f>
        <v/>
      </c>
      <c r="C134" s="23">
        <f>IF(OR(H134=0,I134="HEAD"),"",INDEX(Banco_Preguntas!$B$2:$B$400,H134))</f>
        <v/>
      </c>
      <c r="D134" s="24">
        <f>IF(H134=0,"",INDEX(Banco_Preguntas!$C$2:$C$400,H134))</f>
        <v/>
      </c>
      <c r="E134" s="24" t="n"/>
      <c r="F134" s="24" t="n"/>
      <c r="G134">
        <f>IF(OR(I134="",I134="HEAD"),"L_TXT","L_"&amp;I134)</f>
        <v/>
      </c>
      <c r="H134">
        <f>IFERROR(MATCH(103,Banco_Preguntas!$P$2:$P$400,0),0)</f>
        <v/>
      </c>
      <c r="I134">
        <f>IF(H134=0,"",INDEX(Banco_Preguntas!$D$2:$D$400,H134))</f>
        <v/>
      </c>
    </row>
    <row r="135">
      <c r="B135" s="22">
        <f>IF(OR(H135=0,I135="HEAD"),"",10+COUNTIFS($H$32:H135,"&gt;0",$I$32:I135,"&lt;&gt;HEAD"))</f>
        <v/>
      </c>
      <c r="C135" s="23">
        <f>IF(OR(H135=0,I135="HEAD"),"",INDEX(Banco_Preguntas!$B$2:$B$400,H135))</f>
        <v/>
      </c>
      <c r="D135" s="24">
        <f>IF(H135=0,"",INDEX(Banco_Preguntas!$C$2:$C$400,H135))</f>
        <v/>
      </c>
      <c r="E135" s="24" t="n"/>
      <c r="F135" s="24" t="n"/>
      <c r="G135">
        <f>IF(OR(I135="",I135="HEAD"),"L_TXT","L_"&amp;I135)</f>
        <v/>
      </c>
      <c r="H135">
        <f>IFERROR(MATCH(104,Banco_Preguntas!$P$2:$P$400,0),0)</f>
        <v/>
      </c>
      <c r="I135">
        <f>IF(H135=0,"",INDEX(Banco_Preguntas!$D$2:$D$400,H135))</f>
        <v/>
      </c>
    </row>
    <row r="136">
      <c r="B136" s="22">
        <f>IF(OR(H136=0,I136="HEAD"),"",10+COUNTIFS($H$32:H136,"&gt;0",$I$32:I136,"&lt;&gt;HEAD"))</f>
        <v/>
      </c>
      <c r="C136" s="23">
        <f>IF(OR(H136=0,I136="HEAD"),"",INDEX(Banco_Preguntas!$B$2:$B$400,H136))</f>
        <v/>
      </c>
      <c r="D136" s="24">
        <f>IF(H136=0,"",INDEX(Banco_Preguntas!$C$2:$C$400,H136))</f>
        <v/>
      </c>
      <c r="E136" s="24" t="n"/>
      <c r="F136" s="24" t="n"/>
      <c r="G136">
        <f>IF(OR(I136="",I136="HEAD"),"L_TXT","L_"&amp;I136)</f>
        <v/>
      </c>
      <c r="H136">
        <f>IFERROR(MATCH(105,Banco_Preguntas!$P$2:$P$400,0),0)</f>
        <v/>
      </c>
      <c r="I136">
        <f>IF(H136=0,"",INDEX(Banco_Preguntas!$D$2:$D$400,H136))</f>
        <v/>
      </c>
    </row>
    <row r="137">
      <c r="B137" s="22">
        <f>IF(OR(H137=0,I137="HEAD"),"",10+COUNTIFS($H$32:H137,"&gt;0",$I$32:I137,"&lt;&gt;HEAD"))</f>
        <v/>
      </c>
      <c r="C137" s="23">
        <f>IF(OR(H137=0,I137="HEAD"),"",INDEX(Banco_Preguntas!$B$2:$B$400,H137))</f>
        <v/>
      </c>
      <c r="D137" s="24">
        <f>IF(H137=0,"",INDEX(Banco_Preguntas!$C$2:$C$400,H137))</f>
        <v/>
      </c>
      <c r="E137" s="24" t="n"/>
      <c r="F137" s="24" t="n"/>
      <c r="G137">
        <f>IF(OR(I137="",I137="HEAD"),"L_TXT","L_"&amp;I137)</f>
        <v/>
      </c>
      <c r="H137">
        <f>IFERROR(MATCH(106,Banco_Preguntas!$P$2:$P$400,0),0)</f>
        <v/>
      </c>
      <c r="I137">
        <f>IF(H137=0,"",INDEX(Banco_Preguntas!$D$2:$D$400,H137))</f>
        <v/>
      </c>
    </row>
    <row r="138">
      <c r="B138" s="22">
        <f>IF(OR(H138=0,I138="HEAD"),"",10+COUNTIFS($H$32:H138,"&gt;0",$I$32:I138,"&lt;&gt;HEAD"))</f>
        <v/>
      </c>
      <c r="C138" s="23">
        <f>IF(OR(H138=0,I138="HEAD"),"",INDEX(Banco_Preguntas!$B$2:$B$400,H138))</f>
        <v/>
      </c>
      <c r="D138" s="24">
        <f>IF(H138=0,"",INDEX(Banco_Preguntas!$C$2:$C$400,H138))</f>
        <v/>
      </c>
      <c r="E138" s="24" t="n"/>
      <c r="F138" s="24" t="n"/>
      <c r="G138">
        <f>IF(OR(I138="",I138="HEAD"),"L_TXT","L_"&amp;I138)</f>
        <v/>
      </c>
      <c r="H138">
        <f>IFERROR(MATCH(107,Banco_Preguntas!$P$2:$P$400,0),0)</f>
        <v/>
      </c>
      <c r="I138">
        <f>IF(H138=0,"",INDEX(Banco_Preguntas!$D$2:$D$400,H138))</f>
        <v/>
      </c>
    </row>
    <row r="139">
      <c r="B139" s="22">
        <f>IF(OR(H139=0,I139="HEAD"),"",10+COUNTIFS($H$32:H139,"&gt;0",$I$32:I139,"&lt;&gt;HEAD"))</f>
        <v/>
      </c>
      <c r="C139" s="23">
        <f>IF(OR(H139=0,I139="HEAD"),"",INDEX(Banco_Preguntas!$B$2:$B$400,H139))</f>
        <v/>
      </c>
      <c r="D139" s="24">
        <f>IF(H139=0,"",INDEX(Banco_Preguntas!$C$2:$C$400,H139))</f>
        <v/>
      </c>
      <c r="E139" s="24" t="n"/>
      <c r="F139" s="24" t="n"/>
      <c r="G139">
        <f>IF(OR(I139="",I139="HEAD"),"L_TXT","L_"&amp;I139)</f>
        <v/>
      </c>
      <c r="H139">
        <f>IFERROR(MATCH(108,Banco_Preguntas!$P$2:$P$400,0),0)</f>
        <v/>
      </c>
      <c r="I139">
        <f>IF(H139=0,"",INDEX(Banco_Preguntas!$D$2:$D$400,H139))</f>
        <v/>
      </c>
    </row>
    <row r="140">
      <c r="B140" s="22">
        <f>IF(OR(H140=0,I140="HEAD"),"",10+COUNTIFS($H$32:H140,"&gt;0",$I$32:I140,"&lt;&gt;HEAD"))</f>
        <v/>
      </c>
      <c r="C140" s="23">
        <f>IF(OR(H140=0,I140="HEAD"),"",INDEX(Banco_Preguntas!$B$2:$B$400,H140))</f>
        <v/>
      </c>
      <c r="D140" s="24">
        <f>IF(H140=0,"",INDEX(Banco_Preguntas!$C$2:$C$400,H140))</f>
        <v/>
      </c>
      <c r="E140" s="24" t="n"/>
      <c r="F140" s="24" t="n"/>
      <c r="G140">
        <f>IF(OR(I140="",I140="HEAD"),"L_TXT","L_"&amp;I140)</f>
        <v/>
      </c>
      <c r="H140">
        <f>IFERROR(MATCH(109,Banco_Preguntas!$P$2:$P$400,0),0)</f>
        <v/>
      </c>
      <c r="I140">
        <f>IF(H140=0,"",INDEX(Banco_Preguntas!$D$2:$D$400,H140))</f>
        <v/>
      </c>
    </row>
    <row r="141">
      <c r="B141" s="22">
        <f>IF(OR(H141=0,I141="HEAD"),"",10+COUNTIFS($H$32:H141,"&gt;0",$I$32:I141,"&lt;&gt;HEAD"))</f>
        <v/>
      </c>
      <c r="C141" s="23">
        <f>IF(OR(H141=0,I141="HEAD"),"",INDEX(Banco_Preguntas!$B$2:$B$400,H141))</f>
        <v/>
      </c>
      <c r="D141" s="24">
        <f>IF(H141=0,"",INDEX(Banco_Preguntas!$C$2:$C$400,H141))</f>
        <v/>
      </c>
      <c r="E141" s="24" t="n"/>
      <c r="F141" s="24" t="n"/>
      <c r="G141">
        <f>IF(OR(I141="",I141="HEAD"),"L_TXT","L_"&amp;I141)</f>
        <v/>
      </c>
      <c r="H141">
        <f>IFERROR(MATCH(110,Banco_Preguntas!$P$2:$P$400,0),0)</f>
        <v/>
      </c>
      <c r="I141">
        <f>IF(H141=0,"",INDEX(Banco_Preguntas!$D$2:$D$400,H141))</f>
        <v/>
      </c>
    </row>
    <row r="142">
      <c r="B142" s="22">
        <f>IF(OR(H142=0,I142="HEAD"),"",10+COUNTIFS($H$32:H142,"&gt;0",$I$32:I142,"&lt;&gt;HEAD"))</f>
        <v/>
      </c>
      <c r="C142" s="23">
        <f>IF(OR(H142=0,I142="HEAD"),"",INDEX(Banco_Preguntas!$B$2:$B$400,H142))</f>
        <v/>
      </c>
      <c r="D142" s="24">
        <f>IF(H142=0,"",INDEX(Banco_Preguntas!$C$2:$C$400,H142))</f>
        <v/>
      </c>
      <c r="E142" s="24" t="n"/>
      <c r="F142" s="24" t="n"/>
      <c r="G142">
        <f>IF(OR(I142="",I142="HEAD"),"L_TXT","L_"&amp;I142)</f>
        <v/>
      </c>
      <c r="H142">
        <f>IFERROR(MATCH(111,Banco_Preguntas!$P$2:$P$400,0),0)</f>
        <v/>
      </c>
      <c r="I142">
        <f>IF(H142=0,"",INDEX(Banco_Preguntas!$D$2:$D$400,H142))</f>
        <v/>
      </c>
    </row>
    <row r="143">
      <c r="B143" s="22">
        <f>IF(OR(H143=0,I143="HEAD"),"",10+COUNTIFS($H$32:H143,"&gt;0",$I$32:I143,"&lt;&gt;HEAD"))</f>
        <v/>
      </c>
      <c r="C143" s="23">
        <f>IF(OR(H143=0,I143="HEAD"),"",INDEX(Banco_Preguntas!$B$2:$B$400,H143))</f>
        <v/>
      </c>
      <c r="D143" s="24">
        <f>IF(H143=0,"",INDEX(Banco_Preguntas!$C$2:$C$400,H143))</f>
        <v/>
      </c>
      <c r="E143" s="24" t="n"/>
      <c r="F143" s="24" t="n"/>
      <c r="G143">
        <f>IF(OR(I143="",I143="HEAD"),"L_TXT","L_"&amp;I143)</f>
        <v/>
      </c>
      <c r="H143">
        <f>IFERROR(MATCH(112,Banco_Preguntas!$P$2:$P$400,0),0)</f>
        <v/>
      </c>
      <c r="I143">
        <f>IF(H143=0,"",INDEX(Banco_Preguntas!$D$2:$D$400,H143))</f>
        <v/>
      </c>
    </row>
    <row r="144">
      <c r="B144" s="22">
        <f>IF(OR(H144=0,I144="HEAD"),"",10+COUNTIFS($H$32:H144,"&gt;0",$I$32:I144,"&lt;&gt;HEAD"))</f>
        <v/>
      </c>
      <c r="C144" s="23">
        <f>IF(OR(H144=0,I144="HEAD"),"",INDEX(Banco_Preguntas!$B$2:$B$400,H144))</f>
        <v/>
      </c>
      <c r="D144" s="24">
        <f>IF(H144=0,"",INDEX(Banco_Preguntas!$C$2:$C$400,H144))</f>
        <v/>
      </c>
      <c r="E144" s="24" t="n"/>
      <c r="F144" s="24" t="n"/>
      <c r="G144">
        <f>IF(OR(I144="",I144="HEAD"),"L_TXT","L_"&amp;I144)</f>
        <v/>
      </c>
      <c r="H144">
        <f>IFERROR(MATCH(113,Banco_Preguntas!$P$2:$P$400,0),0)</f>
        <v/>
      </c>
      <c r="I144">
        <f>IF(H144=0,"",INDEX(Banco_Preguntas!$D$2:$D$400,H144))</f>
        <v/>
      </c>
    </row>
    <row r="145">
      <c r="B145" s="22">
        <f>IF(OR(H145=0,I145="HEAD"),"",10+COUNTIFS($H$32:H145,"&gt;0",$I$32:I145,"&lt;&gt;HEAD"))</f>
        <v/>
      </c>
      <c r="C145" s="23">
        <f>IF(OR(H145=0,I145="HEAD"),"",INDEX(Banco_Preguntas!$B$2:$B$400,H145))</f>
        <v/>
      </c>
      <c r="D145" s="24">
        <f>IF(H145=0,"",INDEX(Banco_Preguntas!$C$2:$C$400,H145))</f>
        <v/>
      </c>
      <c r="E145" s="24" t="n"/>
      <c r="F145" s="24" t="n"/>
      <c r="G145">
        <f>IF(OR(I145="",I145="HEAD"),"L_TXT","L_"&amp;I145)</f>
        <v/>
      </c>
      <c r="H145">
        <f>IFERROR(MATCH(114,Banco_Preguntas!$P$2:$P$400,0),0)</f>
        <v/>
      </c>
      <c r="I145">
        <f>IF(H145=0,"",INDEX(Banco_Preguntas!$D$2:$D$400,H145))</f>
        <v/>
      </c>
    </row>
    <row r="146">
      <c r="B146" s="22">
        <f>IF(OR(H146=0,I146="HEAD"),"",10+COUNTIFS($H$32:H146,"&gt;0",$I$32:I146,"&lt;&gt;HEAD"))</f>
        <v/>
      </c>
      <c r="C146" s="23">
        <f>IF(OR(H146=0,I146="HEAD"),"",INDEX(Banco_Preguntas!$B$2:$B$400,H146))</f>
        <v/>
      </c>
      <c r="D146" s="24">
        <f>IF(H146=0,"",INDEX(Banco_Preguntas!$C$2:$C$400,H146))</f>
        <v/>
      </c>
      <c r="E146" s="24" t="n"/>
      <c r="F146" s="24" t="n"/>
      <c r="G146">
        <f>IF(OR(I146="",I146="HEAD"),"L_TXT","L_"&amp;I146)</f>
        <v/>
      </c>
      <c r="H146">
        <f>IFERROR(MATCH(115,Banco_Preguntas!$P$2:$P$400,0),0)</f>
        <v/>
      </c>
      <c r="I146">
        <f>IF(H146=0,"",INDEX(Banco_Preguntas!$D$2:$D$400,H146))</f>
        <v/>
      </c>
    </row>
    <row r="147">
      <c r="B147" s="22">
        <f>IF(OR(H147=0,I147="HEAD"),"",10+COUNTIFS($H$32:H147,"&gt;0",$I$32:I147,"&lt;&gt;HEAD"))</f>
        <v/>
      </c>
      <c r="C147" s="23">
        <f>IF(OR(H147=0,I147="HEAD"),"",INDEX(Banco_Preguntas!$B$2:$B$400,H147))</f>
        <v/>
      </c>
      <c r="D147" s="24">
        <f>IF(H147=0,"",INDEX(Banco_Preguntas!$C$2:$C$400,H147))</f>
        <v/>
      </c>
      <c r="E147" s="24" t="n"/>
      <c r="F147" s="24" t="n"/>
      <c r="G147">
        <f>IF(OR(I147="",I147="HEAD"),"L_TXT","L_"&amp;I147)</f>
        <v/>
      </c>
      <c r="H147">
        <f>IFERROR(MATCH(116,Banco_Preguntas!$P$2:$P$400,0),0)</f>
        <v/>
      </c>
      <c r="I147">
        <f>IF(H147=0,"",INDEX(Banco_Preguntas!$D$2:$D$400,H147))</f>
        <v/>
      </c>
    </row>
    <row r="148">
      <c r="B148" s="22">
        <f>IF(OR(H148=0,I148="HEAD"),"",10+COUNTIFS($H$32:H148,"&gt;0",$I$32:I148,"&lt;&gt;HEAD"))</f>
        <v/>
      </c>
      <c r="C148" s="23">
        <f>IF(OR(H148=0,I148="HEAD"),"",INDEX(Banco_Preguntas!$B$2:$B$400,H148))</f>
        <v/>
      </c>
      <c r="D148" s="24">
        <f>IF(H148=0,"",INDEX(Banco_Preguntas!$C$2:$C$400,H148))</f>
        <v/>
      </c>
      <c r="E148" s="24" t="n"/>
      <c r="F148" s="24" t="n"/>
      <c r="G148">
        <f>IF(OR(I148="",I148="HEAD"),"L_TXT","L_"&amp;I148)</f>
        <v/>
      </c>
      <c r="H148">
        <f>IFERROR(MATCH(117,Banco_Preguntas!$P$2:$P$400,0),0)</f>
        <v/>
      </c>
      <c r="I148">
        <f>IF(H148=0,"",INDEX(Banco_Preguntas!$D$2:$D$400,H148))</f>
        <v/>
      </c>
    </row>
    <row r="149">
      <c r="B149" s="22">
        <f>IF(OR(H149=0,I149="HEAD"),"",10+COUNTIFS($H$32:H149,"&gt;0",$I$32:I149,"&lt;&gt;HEAD"))</f>
        <v/>
      </c>
      <c r="C149" s="23">
        <f>IF(OR(H149=0,I149="HEAD"),"",INDEX(Banco_Preguntas!$B$2:$B$400,H149))</f>
        <v/>
      </c>
      <c r="D149" s="24">
        <f>IF(H149=0,"",INDEX(Banco_Preguntas!$C$2:$C$400,H149))</f>
        <v/>
      </c>
      <c r="E149" s="24" t="n"/>
      <c r="F149" s="24" t="n"/>
      <c r="G149">
        <f>IF(OR(I149="",I149="HEAD"),"L_TXT","L_"&amp;I149)</f>
        <v/>
      </c>
      <c r="H149">
        <f>IFERROR(MATCH(118,Banco_Preguntas!$P$2:$P$400,0),0)</f>
        <v/>
      </c>
      <c r="I149">
        <f>IF(H149=0,"",INDEX(Banco_Preguntas!$D$2:$D$400,H149))</f>
        <v/>
      </c>
    </row>
    <row r="150">
      <c r="B150" s="22">
        <f>IF(OR(H150=0,I150="HEAD"),"",10+COUNTIFS($H$32:H150,"&gt;0",$I$32:I150,"&lt;&gt;HEAD"))</f>
        <v/>
      </c>
      <c r="C150" s="23">
        <f>IF(OR(H150=0,I150="HEAD"),"",INDEX(Banco_Preguntas!$B$2:$B$400,H150))</f>
        <v/>
      </c>
      <c r="D150" s="24">
        <f>IF(H150=0,"",INDEX(Banco_Preguntas!$C$2:$C$400,H150))</f>
        <v/>
      </c>
      <c r="E150" s="24" t="n"/>
      <c r="F150" s="24" t="n"/>
      <c r="G150">
        <f>IF(OR(I150="",I150="HEAD"),"L_TXT","L_"&amp;I150)</f>
        <v/>
      </c>
      <c r="H150">
        <f>IFERROR(MATCH(119,Banco_Preguntas!$P$2:$P$400,0),0)</f>
        <v/>
      </c>
      <c r="I150">
        <f>IF(H150=0,"",INDEX(Banco_Preguntas!$D$2:$D$400,H150))</f>
        <v/>
      </c>
    </row>
    <row r="151">
      <c r="B151" s="22">
        <f>IF(OR(H151=0,I151="HEAD"),"",10+COUNTIFS($H$32:H151,"&gt;0",$I$32:I151,"&lt;&gt;HEAD"))</f>
        <v/>
      </c>
      <c r="C151" s="23">
        <f>IF(OR(H151=0,I151="HEAD"),"",INDEX(Banco_Preguntas!$B$2:$B$400,H151))</f>
        <v/>
      </c>
      <c r="D151" s="24">
        <f>IF(H151=0,"",INDEX(Banco_Preguntas!$C$2:$C$400,H151))</f>
        <v/>
      </c>
      <c r="E151" s="24" t="n"/>
      <c r="F151" s="24" t="n"/>
      <c r="G151">
        <f>IF(OR(I151="",I151="HEAD"),"L_TXT","L_"&amp;I151)</f>
        <v/>
      </c>
      <c r="H151">
        <f>IFERROR(MATCH(120,Banco_Preguntas!$P$2:$P$400,0),0)</f>
        <v/>
      </c>
      <c r="I151">
        <f>IF(H151=0,"",INDEX(Banco_Preguntas!$D$2:$D$400,H151))</f>
        <v/>
      </c>
    </row>
    <row r="152">
      <c r="B152" s="22">
        <f>IF(OR(H152=0,I152="HEAD"),"",10+COUNTIFS($H$32:H152,"&gt;0",$I$32:I152,"&lt;&gt;HEAD"))</f>
        <v/>
      </c>
      <c r="C152" s="23">
        <f>IF(OR(H152=0,I152="HEAD"),"",INDEX(Banco_Preguntas!$B$2:$B$400,H152))</f>
        <v/>
      </c>
      <c r="D152" s="24">
        <f>IF(H152=0,"",INDEX(Banco_Preguntas!$C$2:$C$400,H152))</f>
        <v/>
      </c>
      <c r="E152" s="24" t="n"/>
      <c r="F152" s="24" t="n"/>
      <c r="G152">
        <f>IF(OR(I152="",I152="HEAD"),"L_TXT","L_"&amp;I152)</f>
        <v/>
      </c>
      <c r="H152">
        <f>IFERROR(MATCH(121,Banco_Preguntas!$P$2:$P$400,0),0)</f>
        <v/>
      </c>
      <c r="I152">
        <f>IF(H152=0,"",INDEX(Banco_Preguntas!$D$2:$D$400,H152))</f>
        <v/>
      </c>
    </row>
    <row r="153">
      <c r="B153" s="22">
        <f>IF(OR(H153=0,I153="HEAD"),"",10+COUNTIFS($H$32:H153,"&gt;0",$I$32:I153,"&lt;&gt;HEAD"))</f>
        <v/>
      </c>
      <c r="C153" s="23">
        <f>IF(OR(H153=0,I153="HEAD"),"",INDEX(Banco_Preguntas!$B$2:$B$400,H153))</f>
        <v/>
      </c>
      <c r="D153" s="24">
        <f>IF(H153=0,"",INDEX(Banco_Preguntas!$C$2:$C$400,H153))</f>
        <v/>
      </c>
      <c r="E153" s="24" t="n"/>
      <c r="F153" s="24" t="n"/>
      <c r="G153">
        <f>IF(OR(I153="",I153="HEAD"),"L_TXT","L_"&amp;I153)</f>
        <v/>
      </c>
      <c r="H153">
        <f>IFERROR(MATCH(122,Banco_Preguntas!$P$2:$P$400,0),0)</f>
        <v/>
      </c>
      <c r="I153">
        <f>IF(H153=0,"",INDEX(Banco_Preguntas!$D$2:$D$400,H153))</f>
        <v/>
      </c>
    </row>
    <row r="154">
      <c r="B154" s="22">
        <f>IF(OR(H154=0,I154="HEAD"),"",10+COUNTIFS($H$32:H154,"&gt;0",$I$32:I154,"&lt;&gt;HEAD"))</f>
        <v/>
      </c>
      <c r="C154" s="23">
        <f>IF(OR(H154=0,I154="HEAD"),"",INDEX(Banco_Preguntas!$B$2:$B$400,H154))</f>
        <v/>
      </c>
      <c r="D154" s="24">
        <f>IF(H154=0,"",INDEX(Banco_Preguntas!$C$2:$C$400,H154))</f>
        <v/>
      </c>
      <c r="E154" s="24" t="n"/>
      <c r="F154" s="24" t="n"/>
      <c r="G154">
        <f>IF(OR(I154="",I154="HEAD"),"L_TXT","L_"&amp;I154)</f>
        <v/>
      </c>
      <c r="H154">
        <f>IFERROR(MATCH(123,Banco_Preguntas!$P$2:$P$400,0),0)</f>
        <v/>
      </c>
      <c r="I154">
        <f>IF(H154=0,"",INDEX(Banco_Preguntas!$D$2:$D$400,H154))</f>
        <v/>
      </c>
    </row>
    <row r="155">
      <c r="B155" s="22">
        <f>IF(OR(H155=0,I155="HEAD"),"",10+COUNTIFS($H$32:H155,"&gt;0",$I$32:I155,"&lt;&gt;HEAD"))</f>
        <v/>
      </c>
      <c r="C155" s="23">
        <f>IF(OR(H155=0,I155="HEAD"),"",INDEX(Banco_Preguntas!$B$2:$B$400,H155))</f>
        <v/>
      </c>
      <c r="D155" s="24">
        <f>IF(H155=0,"",INDEX(Banco_Preguntas!$C$2:$C$400,H155))</f>
        <v/>
      </c>
      <c r="E155" s="24" t="n"/>
      <c r="F155" s="24" t="n"/>
      <c r="G155">
        <f>IF(OR(I155="",I155="HEAD"),"L_TXT","L_"&amp;I155)</f>
        <v/>
      </c>
      <c r="H155">
        <f>IFERROR(MATCH(124,Banco_Preguntas!$P$2:$P$400,0),0)</f>
        <v/>
      </c>
      <c r="I155">
        <f>IF(H155=0,"",INDEX(Banco_Preguntas!$D$2:$D$400,H155))</f>
        <v/>
      </c>
    </row>
    <row r="156">
      <c r="B156" s="22">
        <f>IF(OR(H156=0,I156="HEAD"),"",10+COUNTIFS($H$32:H156,"&gt;0",$I$32:I156,"&lt;&gt;HEAD"))</f>
        <v/>
      </c>
      <c r="C156" s="23">
        <f>IF(OR(H156=0,I156="HEAD"),"",INDEX(Banco_Preguntas!$B$2:$B$400,H156))</f>
        <v/>
      </c>
      <c r="D156" s="24">
        <f>IF(H156=0,"",INDEX(Banco_Preguntas!$C$2:$C$400,H156))</f>
        <v/>
      </c>
      <c r="E156" s="24" t="n"/>
      <c r="F156" s="24" t="n"/>
      <c r="G156">
        <f>IF(OR(I156="",I156="HEAD"),"L_TXT","L_"&amp;I156)</f>
        <v/>
      </c>
      <c r="H156">
        <f>IFERROR(MATCH(125,Banco_Preguntas!$P$2:$P$400,0),0)</f>
        <v/>
      </c>
      <c r="I156">
        <f>IF(H156=0,"",INDEX(Banco_Preguntas!$D$2:$D$400,H156))</f>
        <v/>
      </c>
    </row>
    <row r="157">
      <c r="B157" s="22">
        <f>IF(OR(H157=0,I157="HEAD"),"",10+COUNTIFS($H$32:H157,"&gt;0",$I$32:I157,"&lt;&gt;HEAD"))</f>
        <v/>
      </c>
      <c r="C157" s="23">
        <f>IF(OR(H157=0,I157="HEAD"),"",INDEX(Banco_Preguntas!$B$2:$B$400,H157))</f>
        <v/>
      </c>
      <c r="D157" s="24">
        <f>IF(H157=0,"",INDEX(Banco_Preguntas!$C$2:$C$400,H157))</f>
        <v/>
      </c>
      <c r="E157" s="24" t="n"/>
      <c r="F157" s="24" t="n"/>
      <c r="G157">
        <f>IF(OR(I157="",I157="HEAD"),"L_TXT","L_"&amp;I157)</f>
        <v/>
      </c>
      <c r="H157">
        <f>IFERROR(MATCH(126,Banco_Preguntas!$P$2:$P$400,0),0)</f>
        <v/>
      </c>
      <c r="I157">
        <f>IF(H157=0,"",INDEX(Banco_Preguntas!$D$2:$D$400,H157))</f>
        <v/>
      </c>
    </row>
    <row r="158">
      <c r="B158" s="22">
        <f>IF(OR(H158=0,I158="HEAD"),"",10+COUNTIFS($H$32:H158,"&gt;0",$I$32:I158,"&lt;&gt;HEAD"))</f>
        <v/>
      </c>
      <c r="C158" s="23">
        <f>IF(OR(H158=0,I158="HEAD"),"",INDEX(Banco_Preguntas!$B$2:$B$400,H158))</f>
        <v/>
      </c>
      <c r="D158" s="24">
        <f>IF(H158=0,"",INDEX(Banco_Preguntas!$C$2:$C$400,H158))</f>
        <v/>
      </c>
      <c r="E158" s="24" t="n"/>
      <c r="F158" s="24" t="n"/>
      <c r="G158">
        <f>IF(OR(I158="",I158="HEAD"),"L_TXT","L_"&amp;I158)</f>
        <v/>
      </c>
      <c r="H158">
        <f>IFERROR(MATCH(127,Banco_Preguntas!$P$2:$P$400,0),0)</f>
        <v/>
      </c>
      <c r="I158">
        <f>IF(H158=0,"",INDEX(Banco_Preguntas!$D$2:$D$400,H158))</f>
        <v/>
      </c>
    </row>
    <row r="159">
      <c r="B159" s="22">
        <f>IF(OR(H159=0,I159="HEAD"),"",10+COUNTIFS($H$32:H159,"&gt;0",$I$32:I159,"&lt;&gt;HEAD"))</f>
        <v/>
      </c>
      <c r="C159" s="23">
        <f>IF(OR(H159=0,I159="HEAD"),"",INDEX(Banco_Preguntas!$B$2:$B$400,H159))</f>
        <v/>
      </c>
      <c r="D159" s="24">
        <f>IF(H159=0,"",INDEX(Banco_Preguntas!$C$2:$C$400,H159))</f>
        <v/>
      </c>
      <c r="E159" s="24" t="n"/>
      <c r="F159" s="24" t="n"/>
      <c r="G159">
        <f>IF(OR(I159="",I159="HEAD"),"L_TXT","L_"&amp;I159)</f>
        <v/>
      </c>
      <c r="H159">
        <f>IFERROR(MATCH(128,Banco_Preguntas!$P$2:$P$400,0),0)</f>
        <v/>
      </c>
      <c r="I159">
        <f>IF(H159=0,"",INDEX(Banco_Preguntas!$D$2:$D$400,H159))</f>
        <v/>
      </c>
    </row>
    <row r="160">
      <c r="B160" s="22">
        <f>IF(OR(H160=0,I160="HEAD"),"",10+COUNTIFS($H$32:H160,"&gt;0",$I$32:I160,"&lt;&gt;HEAD"))</f>
        <v/>
      </c>
      <c r="C160" s="23">
        <f>IF(OR(H160=0,I160="HEAD"),"",INDEX(Banco_Preguntas!$B$2:$B$400,H160))</f>
        <v/>
      </c>
      <c r="D160" s="24">
        <f>IF(H160=0,"",INDEX(Banco_Preguntas!$C$2:$C$400,H160))</f>
        <v/>
      </c>
      <c r="E160" s="24" t="n"/>
      <c r="F160" s="24" t="n"/>
      <c r="G160">
        <f>IF(OR(I160="",I160="HEAD"),"L_TXT","L_"&amp;I160)</f>
        <v/>
      </c>
      <c r="H160">
        <f>IFERROR(MATCH(129,Banco_Preguntas!$P$2:$P$400,0),0)</f>
        <v/>
      </c>
      <c r="I160">
        <f>IF(H160=0,"",INDEX(Banco_Preguntas!$D$2:$D$400,H160))</f>
        <v/>
      </c>
    </row>
    <row r="161">
      <c r="B161" s="22">
        <f>IF(OR(H161=0,I161="HEAD"),"",10+COUNTIFS($H$32:H161,"&gt;0",$I$32:I161,"&lt;&gt;HEAD"))</f>
        <v/>
      </c>
      <c r="C161" s="23">
        <f>IF(OR(H161=0,I161="HEAD"),"",INDEX(Banco_Preguntas!$B$2:$B$400,H161))</f>
        <v/>
      </c>
      <c r="D161" s="24">
        <f>IF(H161=0,"",INDEX(Banco_Preguntas!$C$2:$C$400,H161))</f>
        <v/>
      </c>
      <c r="E161" s="24" t="n"/>
      <c r="F161" s="24" t="n"/>
      <c r="G161">
        <f>IF(OR(I161="",I161="HEAD"),"L_TXT","L_"&amp;I161)</f>
        <v/>
      </c>
      <c r="H161">
        <f>IFERROR(MATCH(130,Banco_Preguntas!$P$2:$P$400,0),0)</f>
        <v/>
      </c>
      <c r="I161">
        <f>IF(H161=0,"",INDEX(Banco_Preguntas!$D$2:$D$400,H161))</f>
        <v/>
      </c>
    </row>
  </sheetData>
  <mergeCells count="12">
    <mergeCell ref="B4:F4"/>
    <mergeCell ref="C13:F13"/>
    <mergeCell ref="B12:F12"/>
    <mergeCell ref="C17:F17"/>
    <mergeCell ref="B2:F2"/>
    <mergeCell ref="B19:F19"/>
    <mergeCell ref="C16:F16"/>
    <mergeCell ref="B13:B17"/>
    <mergeCell ref="C15:F15"/>
    <mergeCell ref="C11:F11"/>
    <mergeCell ref="B1:F1"/>
    <mergeCell ref="C14:F14"/>
  </mergeCells>
  <conditionalFormatting sqref="C13:F17">
    <cfRule type="expression" priority="1" dxfId="0">
      <formula>$C13&lt;&gt;""</formula>
    </cfRule>
  </conditionalFormatting>
  <conditionalFormatting sqref="F10">
    <cfRule type="expression" priority="2" dxfId="0">
      <formula>$F$10="ALTA PRIORIDAD"</formula>
    </cfRule>
  </conditionalFormatting>
  <conditionalFormatting sqref="B32:F161">
    <cfRule type="expression" priority="3" dxfId="1" stopIfTrue="1">
      <formula>$I32="HEAD"</formula>
    </cfRule>
    <cfRule type="expression" priority="4" dxfId="2">
      <formula>$H32&gt;0</formula>
    </cfRule>
  </conditionalFormatting>
  <conditionalFormatting sqref="E32:F161">
    <cfRule type="expression" priority="5" dxfId="3">
      <formula>$H32&gt;0</formula>
    </cfRule>
  </conditionalFormatting>
  <conditionalFormatting sqref="C32:C161">
    <cfRule type="expression" priority="6" dxfId="4">
      <formula>$H32&gt;0</formula>
    </cfRule>
  </conditionalFormatting>
  <dataValidations count="7">
    <dataValidation sqref="D5" showDropDown="0" showInputMessage="0" showErrorMessage="1" allowBlank="0" errorTitle="Tipo de equipo" error="Elija un tipo de la lista." type="list">
      <formula1>=T_EQUIPO</formula1>
    </dataValidation>
    <dataValidation sqref="D9 D10 F9" showDropDown="0" showInputMessage="0" showErrorMessage="1" allowBlank="1" errorTitle="Falla" error="Elija una falla de la lista." type="list">
      <formula1>=INDIRECT("F_"&amp;$G$5)</formula1>
    </dataValidation>
    <dataValidation sqref="E23" showDropDown="0" showInputMessage="0" showErrorMessage="1" allowBlank="1" errorTitle="Respuesta" error="Elija una opción de la lista." type="list">
      <formula1>=L_PI</formula1>
    </dataValidation>
    <dataValidation sqref="E24 E25 E28" showDropDown="0" showInputMessage="0" showErrorMessage="1" allowBlank="1" errorTitle="Respuesta" error="Elija una opción de la lista." type="list">
      <formula1>=L_SN</formula1>
    </dataValidation>
    <dataValidation sqref="E26 E29" showDropDown="0" showInputMessage="0" showErrorMessage="1" allowBlank="1" errorTitle="Respuesta" error="Elija una opción de la lista." type="list">
      <formula1>=L_SNS</formula1>
    </dataValidation>
    <dataValidation sqref="E27" showDropDown="0" showInputMessage="0" showErrorMessage="1" allowBlank="1" errorTitle="Respuesta" error="Elija una opción de la lista." type="list">
      <formula1>=L_SNI</formula1>
    </dataValidation>
    <dataValidation sqref="E32:E161" showDropDown="0" showInputMessage="0" showErrorMessage="0" allowBlank="1" type="list">
      <formula1>=INDIRECT($G$32)</formula1>
    </dataValidation>
  </dataValidations>
  <printOptions horizontalCentered="1"/>
  <pageMargins left="0.4" right="0.4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70" customWidth="1" min="3" max="3"/>
    <col width="1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2" customWidth="1" min="14" max="14"/>
    <col width="10" customWidth="1" min="15" max="15"/>
    <col width="8" customWidth="1" min="16" max="16"/>
    <col width="60" customWidth="1" min="18" max="18"/>
  </cols>
  <sheetData>
    <row r="1" ht="42" customHeight="1">
      <c r="A1" s="25" t="inlineStr">
        <is>
          <t>Sección</t>
        </is>
      </c>
      <c r="B1" s="25" t="inlineStr">
        <is>
          <t>Bloque / Falla</t>
        </is>
      </c>
      <c r="C1" s="25" t="inlineStr">
        <is>
          <t>Pregunta</t>
        </is>
      </c>
      <c r="D1" s="25" t="inlineStr">
        <is>
          <t>Tipo de respuesta</t>
        </is>
      </c>
      <c r="E1" s="25" t="inlineStr">
        <is>
          <t>Celular</t>
        </is>
      </c>
      <c r="F1" s="25" t="inlineStr">
        <is>
          <t>Tablet</t>
        </is>
      </c>
      <c r="G1" s="25" t="inlineStr">
        <is>
          <t>Reloj inteligente</t>
        </is>
      </c>
      <c r="H1" s="25" t="inlineStr">
        <is>
          <t>Laptop</t>
        </is>
      </c>
      <c r="I1" s="25" t="inlineStr">
        <is>
          <t>PC de escritorio</t>
        </is>
      </c>
      <c r="J1" s="25" t="inlineStr">
        <is>
          <t>MacBook</t>
        </is>
      </c>
      <c r="K1" s="25" t="inlineStr">
        <is>
          <t>iMac</t>
        </is>
      </c>
      <c r="L1" s="25" t="inlineStr">
        <is>
          <t>Consola de videojuegos</t>
        </is>
      </c>
      <c r="M1" s="25" t="inlineStr">
        <is>
          <t>Otro</t>
        </is>
      </c>
      <c r="N1" s="25" t="inlineStr">
        <is>
          <t>Aplica al equipo</t>
        </is>
      </c>
      <c r="O1" s="25" t="inlineStr">
        <is>
          <t>Incluida</t>
        </is>
      </c>
      <c r="P1" s="25" t="inlineStr">
        <is>
          <t>Orden</t>
        </is>
      </c>
      <c r="R1" s="26" t="inlineStr">
        <is>
          <t>Cómo editar: agregue una pregunta al final (Sección B = según falla, S = siempre por equipo), escriba el Bloque exacto, el Tipo de respuesta (ver hoja Listas, sin «L_») y marque 1/0 en los equipos donde aplica. Las columnas grises se calculan solas.</t>
        </is>
      </c>
    </row>
    <row r="2">
      <c r="A2" s="18" t="inlineStr">
        <is>
          <t>S</t>
        </is>
      </c>
      <c r="B2" s="20" t="inlineStr"/>
      <c r="C2" s="20" t="inlineStr">
        <is>
          <t>B. PREGUNTAS SEGÚN LA FALLA REPORTADA (se despliegan solas)</t>
        </is>
      </c>
      <c r="D2" s="18" t="inlineStr">
        <is>
          <t>HEAD</t>
        </is>
      </c>
      <c r="E2" s="27" t="n">
        <v>1</v>
      </c>
      <c r="F2" s="27" t="n">
        <v>1</v>
      </c>
      <c r="G2" s="27" t="n">
        <v>1</v>
      </c>
      <c r="H2" s="27" t="n">
        <v>1</v>
      </c>
      <c r="I2" s="27" t="n">
        <v>1</v>
      </c>
      <c r="J2" s="27" t="n">
        <v>1</v>
      </c>
      <c r="K2" s="27" t="n">
        <v>1</v>
      </c>
      <c r="L2" s="27" t="n">
        <v>1</v>
      </c>
      <c r="M2" s="27" t="n">
        <v>1</v>
      </c>
      <c r="N2" s="28">
        <f>IF(C2="",0,IFERROR(INDEX($E2:$M2,MATCH('Recepción'!$D$5,$E$1:$M$1,0)),0))</f>
        <v/>
      </c>
      <c r="O2" s="28">
        <f>IF(N2=0,0,IF(A2="S",1,IF(OR(B2='Recepción'!$D$9,B2='Recepción'!$F$9,B2='Recepción'!$D$10,AND(B2="Contacto con líquido",'Recepción'!$E$25="Sí"),AND(B2="Golpe / Caída",'Recepción'!$E$24="Sí"),AND(B2="No enciende",'Recepción'!$E$27="No")),1,0)))</f>
        <v/>
      </c>
      <c r="P2" s="28">
        <f>IF(O2=1,COUNTIF($O$2:O2,1),0)</f>
        <v/>
      </c>
    </row>
    <row r="3">
      <c r="A3" s="18" t="inlineStr">
        <is>
          <t>B</t>
        </is>
      </c>
      <c r="B3" s="20" t="inlineStr">
        <is>
          <t>No enciende</t>
        </is>
      </c>
      <c r="C3" s="20" t="inlineStr">
        <is>
          <t>¿Cuándo fue la última vez que encendió normalmente?</t>
        </is>
      </c>
      <c r="D3" s="18" t="inlineStr">
        <is>
          <t>CUANDO</t>
        </is>
      </c>
      <c r="E3" s="27" t="n">
        <v>1</v>
      </c>
      <c r="F3" s="27" t="n">
        <v>1</v>
      </c>
      <c r="G3" s="27" t="n">
        <v>1</v>
      </c>
      <c r="H3" s="27" t="n">
        <v>1</v>
      </c>
      <c r="I3" s="27" t="n">
        <v>1</v>
      </c>
      <c r="J3" s="27" t="n">
        <v>1</v>
      </c>
      <c r="K3" s="27" t="n">
        <v>1</v>
      </c>
      <c r="L3" s="27" t="n">
        <v>1</v>
      </c>
      <c r="M3" s="27" t="n">
        <v>1</v>
      </c>
      <c r="N3" s="28">
        <f>IF(C3="",0,IFERROR(INDEX($E3:$M3,MATCH('Recepción'!$D$5,$E$1:$M$1,0)),0))</f>
        <v/>
      </c>
      <c r="O3" s="28">
        <f>IF(N3=0,0,IF(A3="S",1,IF(OR(B3='Recepción'!$D$9,B3='Recepción'!$F$9,B3='Recepción'!$D$10,AND(B3="Contacto con líquido",'Recepción'!$E$25="Sí"),AND(B3="Golpe / Caída",'Recepción'!$E$24="Sí"),AND(B3="No enciende",'Recepción'!$E$27="No")),1,0)))</f>
        <v/>
      </c>
      <c r="P3" s="28">
        <f>IF(O3=1,COUNTIF($O$2:O3,1),0)</f>
        <v/>
      </c>
    </row>
    <row r="4">
      <c r="A4" s="18" t="inlineStr">
        <is>
          <t>B</t>
        </is>
      </c>
      <c r="B4" s="20" t="inlineStr">
        <is>
          <t>No enciende</t>
        </is>
      </c>
      <c r="C4" s="20" t="inlineStr">
        <is>
          <t>¿Se apagó mientras lo estaba utilizando?</t>
        </is>
      </c>
      <c r="D4" s="18" t="inlineStr">
        <is>
          <t>SN</t>
        </is>
      </c>
      <c r="E4" s="27" t="n">
        <v>1</v>
      </c>
      <c r="F4" s="27" t="n">
        <v>1</v>
      </c>
      <c r="G4" s="27" t="n">
        <v>1</v>
      </c>
      <c r="H4" s="27" t="n">
        <v>1</v>
      </c>
      <c r="I4" s="27" t="n">
        <v>1</v>
      </c>
      <c r="J4" s="27" t="n">
        <v>1</v>
      </c>
      <c r="K4" s="27" t="n">
        <v>1</v>
      </c>
      <c r="L4" s="27" t="n">
        <v>1</v>
      </c>
      <c r="M4" s="27" t="n">
        <v>1</v>
      </c>
      <c r="N4" s="28">
        <f>IF(C4="",0,IFERROR(INDEX($E4:$M4,MATCH('Recepción'!$D$5,$E$1:$M$1,0)),0))</f>
        <v/>
      </c>
      <c r="O4" s="28">
        <f>IF(N4=0,0,IF(A4="S",1,IF(OR(B4='Recepción'!$D$9,B4='Recepción'!$F$9,B4='Recepción'!$D$10,AND(B4="Contacto con líquido",'Recepción'!$E$25="Sí"),AND(B4="Golpe / Caída",'Recepción'!$E$24="Sí"),AND(B4="No enciende",'Recepción'!$E$27="No")),1,0)))</f>
        <v/>
      </c>
      <c r="P4" s="28">
        <f>IF(O4=1,COUNTIF($O$2:O4,1),0)</f>
        <v/>
      </c>
    </row>
    <row r="5">
      <c r="A5" s="18" t="inlineStr">
        <is>
          <t>B</t>
        </is>
      </c>
      <c r="B5" s="20" t="inlineStr">
        <is>
          <t>No enciende</t>
        </is>
      </c>
      <c r="C5" s="20" t="inlineStr">
        <is>
          <t>¿Ocurrió después de una caída, líquido o sobrecalentamiento?</t>
        </is>
      </c>
      <c r="D5" s="18" t="inlineStr">
        <is>
          <t>SN</t>
        </is>
      </c>
      <c r="E5" s="27" t="n">
        <v>1</v>
      </c>
      <c r="F5" s="27" t="n">
        <v>1</v>
      </c>
      <c r="G5" s="27" t="n">
        <v>1</v>
      </c>
      <c r="H5" s="27" t="n">
        <v>1</v>
      </c>
      <c r="I5" s="27" t="n">
        <v>1</v>
      </c>
      <c r="J5" s="27" t="n">
        <v>1</v>
      </c>
      <c r="K5" s="27" t="n">
        <v>1</v>
      </c>
      <c r="L5" s="27" t="n">
        <v>1</v>
      </c>
      <c r="M5" s="27" t="n">
        <v>1</v>
      </c>
      <c r="N5" s="28">
        <f>IF(C5="",0,IFERROR(INDEX($E5:$M5,MATCH('Recepción'!$D$5,$E$1:$M$1,0)),0))</f>
        <v/>
      </c>
      <c r="O5" s="28">
        <f>IF(N5=0,0,IF(A5="S",1,IF(OR(B5='Recepción'!$D$9,B5='Recepción'!$F$9,B5='Recepción'!$D$10,AND(B5="Contacto con líquido",'Recepción'!$E$25="Sí"),AND(B5="Golpe / Caída",'Recepción'!$E$24="Sí"),AND(B5="No enciende",'Recepción'!$E$27="No")),1,0)))</f>
        <v/>
      </c>
      <c r="P5" s="28">
        <f>IF(O5=1,COUNTIF($O$2:O5,1),0)</f>
        <v/>
      </c>
    </row>
    <row r="6">
      <c r="A6" s="18" t="inlineStr">
        <is>
          <t>B</t>
        </is>
      </c>
      <c r="B6" s="20" t="inlineStr">
        <is>
          <t>No enciende</t>
        </is>
      </c>
      <c r="C6" s="20" t="inlineStr">
        <is>
          <t>¿Muestra alguna luz, vibración, sonido o señal de vida?</t>
        </is>
      </c>
      <c r="D6" s="18" t="inlineStr">
        <is>
          <t>SN</t>
        </is>
      </c>
      <c r="E6" s="27" t="n">
        <v>1</v>
      </c>
      <c r="F6" s="27" t="n">
        <v>1</v>
      </c>
      <c r="G6" s="27" t="n">
        <v>1</v>
      </c>
      <c r="H6" s="27" t="n">
        <v>1</v>
      </c>
      <c r="I6" s="27" t="n">
        <v>1</v>
      </c>
      <c r="J6" s="27" t="n">
        <v>1</v>
      </c>
      <c r="K6" s="27" t="n">
        <v>1</v>
      </c>
      <c r="L6" s="27" t="n">
        <v>1</v>
      </c>
      <c r="M6" s="27" t="n">
        <v>1</v>
      </c>
      <c r="N6" s="28">
        <f>IF(C6="",0,IFERROR(INDEX($E6:$M6,MATCH('Recepción'!$D$5,$E$1:$M$1,0)),0))</f>
        <v/>
      </c>
      <c r="O6" s="28">
        <f>IF(N6=0,0,IF(A6="S",1,IF(OR(B6='Recepción'!$D$9,B6='Recepción'!$F$9,B6='Recepción'!$D$10,AND(B6="Contacto con líquido",'Recepción'!$E$25="Sí"),AND(B6="Golpe / Caída",'Recepción'!$E$24="Sí"),AND(B6="No enciende",'Recepción'!$E$27="No")),1,0)))</f>
        <v/>
      </c>
      <c r="P6" s="28">
        <f>IF(O6=1,COUNTIF($O$2:O6,1),0)</f>
        <v/>
      </c>
    </row>
    <row r="7">
      <c r="A7" s="18" t="inlineStr">
        <is>
          <t>B</t>
        </is>
      </c>
      <c r="B7" s="20" t="inlineStr">
        <is>
          <t>No enciende</t>
        </is>
      </c>
      <c r="C7" s="20" t="inlineStr">
        <is>
          <t>¿Ha intentado cargarlo con otro cargador o cable?</t>
        </is>
      </c>
      <c r="D7" s="18" t="inlineStr">
        <is>
          <t>SN</t>
        </is>
      </c>
      <c r="E7" s="27" t="n">
        <v>1</v>
      </c>
      <c r="F7" s="27" t="n">
        <v>1</v>
      </c>
      <c r="G7" s="27" t="n">
        <v>1</v>
      </c>
      <c r="H7" s="27" t="n">
        <v>1</v>
      </c>
      <c r="I7" s="27" t="n">
        <v>0</v>
      </c>
      <c r="J7" s="27" t="n">
        <v>1</v>
      </c>
      <c r="K7" s="27" t="n">
        <v>0</v>
      </c>
      <c r="L7" s="27" t="n">
        <v>0</v>
      </c>
      <c r="M7" s="27" t="n">
        <v>1</v>
      </c>
      <c r="N7" s="28">
        <f>IF(C7="",0,IFERROR(INDEX($E7:$M7,MATCH('Recepción'!$D$5,$E$1:$M$1,0)),0))</f>
        <v/>
      </c>
      <c r="O7" s="28">
        <f>IF(N7=0,0,IF(A7="S",1,IF(OR(B7='Recepción'!$D$9,B7='Recepción'!$F$9,B7='Recepción'!$D$10,AND(B7="Contacto con líquido",'Recepción'!$E$25="Sí"),AND(B7="Golpe / Caída",'Recepción'!$E$24="Sí"),AND(B7="No enciende",'Recepción'!$E$27="No")),1,0)))</f>
        <v/>
      </c>
      <c r="P7" s="28">
        <f>IF(O7=1,COUNTIF($O$2:O7,1),0)</f>
        <v/>
      </c>
    </row>
    <row r="8">
      <c r="A8" s="18" t="inlineStr">
        <is>
          <t>B</t>
        </is>
      </c>
      <c r="B8" s="20" t="inlineStr">
        <is>
          <t>No enciende</t>
        </is>
      </c>
      <c r="C8" s="20" t="inlineStr">
        <is>
          <t>¿Ha probado con otro cable de corriente o toma eléctrica?</t>
        </is>
      </c>
      <c r="D8" s="18" t="inlineStr">
        <is>
          <t>SN</t>
        </is>
      </c>
      <c r="E8" s="27" t="n">
        <v>0</v>
      </c>
      <c r="F8" s="27" t="n">
        <v>0</v>
      </c>
      <c r="G8" s="27" t="n">
        <v>0</v>
      </c>
      <c r="H8" s="27" t="n">
        <v>0</v>
      </c>
      <c r="I8" s="27" t="n">
        <v>1</v>
      </c>
      <c r="J8" s="27" t="n">
        <v>0</v>
      </c>
      <c r="K8" s="27" t="n">
        <v>1</v>
      </c>
      <c r="L8" s="27" t="n">
        <v>1</v>
      </c>
      <c r="M8" s="27" t="n">
        <v>0</v>
      </c>
      <c r="N8" s="28">
        <f>IF(C8="",0,IFERROR(INDEX($E8:$M8,MATCH('Recepción'!$D$5,$E$1:$M$1,0)),0))</f>
        <v/>
      </c>
      <c r="O8" s="28">
        <f>IF(N8=0,0,IF(A8="S",1,IF(OR(B8='Recepción'!$D$9,B8='Recepción'!$F$9,B8='Recepción'!$D$10,AND(B8="Contacto con líquido",'Recepción'!$E$25="Sí"),AND(B8="Golpe / Caída",'Recepción'!$E$24="Sí"),AND(B8="No enciende",'Recepción'!$E$27="No")),1,0)))</f>
        <v/>
      </c>
      <c r="P8" s="28">
        <f>IF(O8=1,COUNTIF($O$2:O8,1),0)</f>
        <v/>
      </c>
    </row>
    <row r="9">
      <c r="A9" s="18" t="inlineStr">
        <is>
          <t>B</t>
        </is>
      </c>
      <c r="B9" s="20" t="inlineStr">
        <is>
          <t>No enciende</t>
        </is>
      </c>
      <c r="C9" s="20" t="inlineStr">
        <is>
          <t>¿Reacciona al colocarlo en su base de carga?</t>
        </is>
      </c>
      <c r="D9" s="18" t="inlineStr">
        <is>
          <t>SN</t>
        </is>
      </c>
      <c r="E9" s="27" t="n">
        <v>0</v>
      </c>
      <c r="F9" s="27" t="n">
        <v>0</v>
      </c>
      <c r="G9" s="27" t="n">
        <v>1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8">
        <f>IF(C9="",0,IFERROR(INDEX($E9:$M9,MATCH('Recepción'!$D$5,$E$1:$M$1,0)),0))</f>
        <v/>
      </c>
      <c r="O9" s="28">
        <f>IF(N9=0,0,IF(A9="S",1,IF(OR(B9='Recepción'!$D$9,B9='Recepción'!$F$9,B9='Recepción'!$D$10,AND(B9="Contacto con líquido",'Recepción'!$E$25="Sí"),AND(B9="Golpe / Caída",'Recepción'!$E$24="Sí"),AND(B9="No enciende",'Recepción'!$E$27="No")),1,0)))</f>
        <v/>
      </c>
      <c r="P9" s="28">
        <f>IF(O9=1,COUNTIF($O$2:O9,1),0)</f>
        <v/>
      </c>
    </row>
    <row r="10">
      <c r="A10" s="18" t="inlineStr">
        <is>
          <t>B</t>
        </is>
      </c>
      <c r="B10" s="20" t="inlineStr">
        <is>
          <t>No enciende</t>
        </is>
      </c>
      <c r="C10" s="20" t="inlineStr">
        <is>
          <t>¿Se queda en el logo o se reinicia constantemente?</t>
        </is>
      </c>
      <c r="D10" s="18" t="inlineStr">
        <is>
          <t>SN</t>
        </is>
      </c>
      <c r="E10" s="27" t="n">
        <v>1</v>
      </c>
      <c r="F10" s="27" t="n">
        <v>1</v>
      </c>
      <c r="G10" s="27" t="n">
        <v>0</v>
      </c>
      <c r="H10" s="27" t="n">
        <v>1</v>
      </c>
      <c r="I10" s="27" t="n">
        <v>1</v>
      </c>
      <c r="J10" s="27" t="n">
        <v>1</v>
      </c>
      <c r="K10" s="27" t="n">
        <v>1</v>
      </c>
      <c r="L10" s="27" t="n">
        <v>1</v>
      </c>
      <c r="M10" s="27" t="n">
        <v>1</v>
      </c>
      <c r="N10" s="28">
        <f>IF(C10="",0,IFERROR(INDEX($E10:$M10,MATCH('Recepción'!$D$5,$E$1:$M$1,0)),0))</f>
        <v/>
      </c>
      <c r="O10" s="28">
        <f>IF(N10=0,0,IF(A10="S",1,IF(OR(B10='Recepción'!$D$9,B10='Recepción'!$F$9,B10='Recepción'!$D$10,AND(B10="Contacto con líquido",'Recepción'!$E$25="Sí"),AND(B10="Golpe / Caída",'Recepción'!$E$24="Sí"),AND(B10="No enciende",'Recepción'!$E$27="No")),1,0)))</f>
        <v/>
      </c>
      <c r="P10" s="28">
        <f>IF(O10=1,COUNTIF($O$2:O10,1),0)</f>
        <v/>
      </c>
    </row>
    <row r="11">
      <c r="A11" s="18" t="inlineStr">
        <is>
          <t>B</t>
        </is>
      </c>
      <c r="B11" s="20" t="inlineStr">
        <is>
          <t>No enciende</t>
        </is>
      </c>
      <c r="C11" s="20" t="inlineStr">
        <is>
          <t>¿Se escucha el ventilador o el disco al presionar encendido?</t>
        </is>
      </c>
      <c r="D11" s="18" t="inlineStr">
        <is>
          <t>SN</t>
        </is>
      </c>
      <c r="E11" s="27" t="n">
        <v>0</v>
      </c>
      <c r="F11" s="27" t="n">
        <v>0</v>
      </c>
      <c r="G11" s="27" t="n">
        <v>0</v>
      </c>
      <c r="H11" s="27" t="n">
        <v>1</v>
      </c>
      <c r="I11" s="27" t="n">
        <v>1</v>
      </c>
      <c r="J11" s="27" t="n">
        <v>1</v>
      </c>
      <c r="K11" s="27" t="n">
        <v>1</v>
      </c>
      <c r="L11" s="27" t="n">
        <v>0</v>
      </c>
      <c r="M11" s="27" t="n">
        <v>0</v>
      </c>
      <c r="N11" s="28">
        <f>IF(C11="",0,IFERROR(INDEX($E11:$M11,MATCH('Recepción'!$D$5,$E$1:$M$1,0)),0))</f>
        <v/>
      </c>
      <c r="O11" s="28">
        <f>IF(N11=0,0,IF(A11="S",1,IF(OR(B11='Recepción'!$D$9,B11='Recepción'!$F$9,B11='Recepción'!$D$10,AND(B11="Contacto con líquido",'Recepción'!$E$25="Sí"),AND(B11="Golpe / Caída",'Recepción'!$E$24="Sí"),AND(B11="No enciende",'Recepción'!$E$27="No")),1,0)))</f>
        <v/>
      </c>
      <c r="P11" s="28">
        <f>IF(O11=1,COUNTIF($O$2:O11,1),0)</f>
        <v/>
      </c>
    </row>
    <row r="12">
      <c r="A12" s="18" t="inlineStr">
        <is>
          <t>B</t>
        </is>
      </c>
      <c r="B12" s="20" t="inlineStr">
        <is>
          <t>No enciende</t>
        </is>
      </c>
      <c r="C12" s="20" t="inlineStr">
        <is>
          <t>¿Qué color de luz muestra la consola al intentar encender?</t>
        </is>
      </c>
      <c r="D12" s="18" t="inlineStr">
        <is>
          <t>TXT</t>
        </is>
      </c>
      <c r="E12" s="27" t="n">
        <v>0</v>
      </c>
      <c r="F12" s="27" t="n">
        <v>0</v>
      </c>
      <c r="G12" s="27" t="n">
        <v>0</v>
      </c>
      <c r="H12" s="27" t="n">
        <v>0</v>
      </c>
      <c r="I12" s="27" t="n">
        <v>0</v>
      </c>
      <c r="J12" s="27" t="n">
        <v>0</v>
      </c>
      <c r="K12" s="27" t="n">
        <v>0</v>
      </c>
      <c r="L12" s="27" t="n">
        <v>1</v>
      </c>
      <c r="M12" s="27" t="n">
        <v>0</v>
      </c>
      <c r="N12" s="28">
        <f>IF(C12="",0,IFERROR(INDEX($E12:$M12,MATCH('Recepción'!$D$5,$E$1:$M$1,0)),0))</f>
        <v/>
      </c>
      <c r="O12" s="28">
        <f>IF(N12=0,0,IF(A12="S",1,IF(OR(B12='Recepción'!$D$9,B12='Recepción'!$F$9,B12='Recepción'!$D$10,AND(B12="Contacto con líquido",'Recepción'!$E$25="Sí"),AND(B12="Golpe / Caída",'Recepción'!$E$24="Sí"),AND(B12="No enciende",'Recepción'!$E$27="No")),1,0)))</f>
        <v/>
      </c>
      <c r="P12" s="28">
        <f>IF(O12=1,COUNTIF($O$2:O12,1),0)</f>
        <v/>
      </c>
    </row>
    <row r="13">
      <c r="A13" s="18" t="inlineStr">
        <is>
          <t>B</t>
        </is>
      </c>
      <c r="B13" s="20" t="inlineStr">
        <is>
          <t>No enciende</t>
        </is>
      </c>
      <c r="C13" s="20" t="inlineStr">
        <is>
          <t>¿Se apaga sola a los pocos segundos de encender?</t>
        </is>
      </c>
      <c r="D13" s="18" t="inlineStr">
        <is>
          <t>SN</t>
        </is>
      </c>
      <c r="E13" s="27" t="n">
        <v>0</v>
      </c>
      <c r="F13" s="27" t="n">
        <v>0</v>
      </c>
      <c r="G13" s="27" t="n">
        <v>0</v>
      </c>
      <c r="H13" s="27" t="n">
        <v>1</v>
      </c>
      <c r="I13" s="27" t="n">
        <v>1</v>
      </c>
      <c r="J13" s="27" t="n">
        <v>1</v>
      </c>
      <c r="K13" s="27" t="n">
        <v>1</v>
      </c>
      <c r="L13" s="27" t="n">
        <v>1</v>
      </c>
      <c r="M13" s="27" t="n">
        <v>0</v>
      </c>
      <c r="N13" s="28">
        <f>IF(C13="",0,IFERROR(INDEX($E13:$M13,MATCH('Recepción'!$D$5,$E$1:$M$1,0)),0))</f>
        <v/>
      </c>
      <c r="O13" s="28">
        <f>IF(N13=0,0,IF(A13="S",1,IF(OR(B13='Recepción'!$D$9,B13='Recepción'!$F$9,B13='Recepción'!$D$10,AND(B13="Contacto con líquido",'Recepción'!$E$25="Sí"),AND(B13="Golpe / Caída",'Recepción'!$E$24="Sí"),AND(B13="No enciende",'Recepción'!$E$27="No")),1,0)))</f>
        <v/>
      </c>
      <c r="P13" s="28">
        <f>IF(O13=1,COUNTIF($O$2:O13,1),0)</f>
        <v/>
      </c>
    </row>
    <row r="14">
      <c r="A14" s="18" t="inlineStr">
        <is>
          <t>B</t>
        </is>
      </c>
      <c r="B14" s="20" t="inlineStr">
        <is>
          <t>No enciende</t>
        </is>
      </c>
      <c r="C14" s="20" t="inlineStr">
        <is>
          <t>¿Alguien intentó repararlo después de que dejó de encender?</t>
        </is>
      </c>
      <c r="D14" s="18" t="inlineStr">
        <is>
          <t>SN</t>
        </is>
      </c>
      <c r="E14" s="27" t="n">
        <v>1</v>
      </c>
      <c r="F14" s="27" t="n">
        <v>1</v>
      </c>
      <c r="G14" s="27" t="n">
        <v>1</v>
      </c>
      <c r="H14" s="27" t="n">
        <v>1</v>
      </c>
      <c r="I14" s="27" t="n">
        <v>1</v>
      </c>
      <c r="J14" s="27" t="n">
        <v>1</v>
      </c>
      <c r="K14" s="27" t="n">
        <v>1</v>
      </c>
      <c r="L14" s="27" t="n">
        <v>1</v>
      </c>
      <c r="M14" s="27" t="n">
        <v>1</v>
      </c>
      <c r="N14" s="28">
        <f>IF(C14="",0,IFERROR(INDEX($E14:$M14,MATCH('Recepción'!$D$5,$E$1:$M$1,0)),0))</f>
        <v/>
      </c>
      <c r="O14" s="28">
        <f>IF(N14=0,0,IF(A14="S",1,IF(OR(B14='Recepción'!$D$9,B14='Recepción'!$F$9,B14='Recepción'!$D$10,AND(B14="Contacto con líquido",'Recepción'!$E$25="Sí"),AND(B14="Golpe / Caída",'Recepción'!$E$24="Sí"),AND(B14="No enciende",'Recepción'!$E$27="No")),1,0)))</f>
        <v/>
      </c>
      <c r="P14" s="28">
        <f>IF(O14=1,COUNTIF($O$2:O14,1),0)</f>
        <v/>
      </c>
    </row>
    <row r="15">
      <c r="A15" s="18" t="inlineStr">
        <is>
          <t>B</t>
        </is>
      </c>
      <c r="B15" s="20" t="inlineStr">
        <is>
          <t>Batería / No carga</t>
        </is>
      </c>
      <c r="C15" s="20" t="inlineStr">
        <is>
          <t>¿Carga de manera intermitente?</t>
        </is>
      </c>
      <c r="D15" s="18" t="inlineStr">
        <is>
          <t>SN</t>
        </is>
      </c>
      <c r="E15" s="27" t="n">
        <v>1</v>
      </c>
      <c r="F15" s="27" t="n">
        <v>1</v>
      </c>
      <c r="G15" s="27" t="n">
        <v>1</v>
      </c>
      <c r="H15" s="27" t="n">
        <v>1</v>
      </c>
      <c r="I15" s="27" t="n">
        <v>0</v>
      </c>
      <c r="J15" s="27" t="n">
        <v>1</v>
      </c>
      <c r="K15" s="27" t="n">
        <v>0</v>
      </c>
      <c r="L15" s="27" t="n">
        <v>1</v>
      </c>
      <c r="M15" s="27" t="n">
        <v>1</v>
      </c>
      <c r="N15" s="28">
        <f>IF(C15="",0,IFERROR(INDEX($E15:$M15,MATCH('Recepción'!$D$5,$E$1:$M$1,0)),0))</f>
        <v/>
      </c>
      <c r="O15" s="28">
        <f>IF(N15=0,0,IF(A15="S",1,IF(OR(B15='Recepción'!$D$9,B15='Recepción'!$F$9,B15='Recepción'!$D$10,AND(B15="Contacto con líquido",'Recepción'!$E$25="Sí"),AND(B15="Golpe / Caída",'Recepción'!$E$24="Sí"),AND(B15="No enciende",'Recepción'!$E$27="No")),1,0)))</f>
        <v/>
      </c>
      <c r="P15" s="28">
        <f>IF(O15=1,COUNTIF($O$2:O15,1),0)</f>
        <v/>
      </c>
    </row>
    <row r="16">
      <c r="A16" s="18" t="inlineStr">
        <is>
          <t>B</t>
        </is>
      </c>
      <c r="B16" s="20" t="inlineStr">
        <is>
          <t>Batería / No carga</t>
        </is>
      </c>
      <c r="C16" s="20" t="inlineStr">
        <is>
          <t>¿Debe mover el cable para que cargue?</t>
        </is>
      </c>
      <c r="D16" s="18" t="inlineStr">
        <is>
          <t>SN</t>
        </is>
      </c>
      <c r="E16" s="27" t="n">
        <v>1</v>
      </c>
      <c r="F16" s="27" t="n">
        <v>1</v>
      </c>
      <c r="G16" s="27" t="n">
        <v>0</v>
      </c>
      <c r="H16" s="27" t="n">
        <v>1</v>
      </c>
      <c r="I16" s="27" t="n">
        <v>0</v>
      </c>
      <c r="J16" s="27" t="n">
        <v>1</v>
      </c>
      <c r="K16" s="27" t="n">
        <v>0</v>
      </c>
      <c r="L16" s="27" t="n">
        <v>0</v>
      </c>
      <c r="M16" s="27" t="n">
        <v>1</v>
      </c>
      <c r="N16" s="28">
        <f>IF(C16="",0,IFERROR(INDEX($E16:$M16,MATCH('Recepción'!$D$5,$E$1:$M$1,0)),0))</f>
        <v/>
      </c>
      <c r="O16" s="28">
        <f>IF(N16=0,0,IF(A16="S",1,IF(OR(B16='Recepción'!$D$9,B16='Recepción'!$F$9,B16='Recepción'!$D$10,AND(B16="Contacto con líquido",'Recepción'!$E$25="Sí"),AND(B16="Golpe / Caída",'Recepción'!$E$24="Sí"),AND(B16="No enciende",'Recepción'!$E$27="No")),1,0)))</f>
        <v/>
      </c>
      <c r="P16" s="28">
        <f>IF(O16=1,COUNTIF($O$2:O16,1),0)</f>
        <v/>
      </c>
    </row>
    <row r="17">
      <c r="A17" s="18" t="inlineStr">
        <is>
          <t>B</t>
        </is>
      </c>
      <c r="B17" s="20" t="inlineStr">
        <is>
          <t>Batería / No carga</t>
        </is>
      </c>
      <c r="C17" s="20" t="inlineStr">
        <is>
          <t>¿Se descarga rápidamente?</t>
        </is>
      </c>
      <c r="D17" s="18" t="inlineStr">
        <is>
          <t>SN</t>
        </is>
      </c>
      <c r="E17" s="27" t="n">
        <v>1</v>
      </c>
      <c r="F17" s="27" t="n">
        <v>1</v>
      </c>
      <c r="G17" s="27" t="n">
        <v>1</v>
      </c>
      <c r="H17" s="27" t="n">
        <v>1</v>
      </c>
      <c r="I17" s="27" t="n">
        <v>0</v>
      </c>
      <c r="J17" s="27" t="n">
        <v>1</v>
      </c>
      <c r="K17" s="27" t="n">
        <v>0</v>
      </c>
      <c r="L17" s="27" t="n">
        <v>1</v>
      </c>
      <c r="M17" s="27" t="n">
        <v>1</v>
      </c>
      <c r="N17" s="28">
        <f>IF(C17="",0,IFERROR(INDEX($E17:$M17,MATCH('Recepción'!$D$5,$E$1:$M$1,0)),0))</f>
        <v/>
      </c>
      <c r="O17" s="28">
        <f>IF(N17=0,0,IF(A17="S",1,IF(OR(B17='Recepción'!$D$9,B17='Recepción'!$F$9,B17='Recepción'!$D$10,AND(B17="Contacto con líquido",'Recepción'!$E$25="Sí"),AND(B17="Golpe / Caída",'Recepción'!$E$24="Sí"),AND(B17="No enciende",'Recepción'!$E$27="No")),1,0)))</f>
        <v/>
      </c>
      <c r="P17" s="28">
        <f>IF(O17=1,COUNTIF($O$2:O17,1),0)</f>
        <v/>
      </c>
    </row>
    <row r="18">
      <c r="A18" s="18" t="inlineStr">
        <is>
          <t>B</t>
        </is>
      </c>
      <c r="B18" s="20" t="inlineStr">
        <is>
          <t>Batería / No carga</t>
        </is>
      </c>
      <c r="C18" s="20" t="inlineStr">
        <is>
          <t>¿Se apaga aunque indique que todavía tiene batería?</t>
        </is>
      </c>
      <c r="D18" s="18" t="inlineStr">
        <is>
          <t>SN</t>
        </is>
      </c>
      <c r="E18" s="27" t="n">
        <v>1</v>
      </c>
      <c r="F18" s="27" t="n">
        <v>1</v>
      </c>
      <c r="G18" s="27" t="n">
        <v>1</v>
      </c>
      <c r="H18" s="27" t="n">
        <v>1</v>
      </c>
      <c r="I18" s="27" t="n">
        <v>0</v>
      </c>
      <c r="J18" s="27" t="n">
        <v>1</v>
      </c>
      <c r="K18" s="27" t="n">
        <v>0</v>
      </c>
      <c r="L18" s="27" t="n">
        <v>1</v>
      </c>
      <c r="M18" s="27" t="n">
        <v>1</v>
      </c>
      <c r="N18" s="28">
        <f>IF(C18="",0,IFERROR(INDEX($E18:$M18,MATCH('Recepción'!$D$5,$E$1:$M$1,0)),0))</f>
        <v/>
      </c>
      <c r="O18" s="28">
        <f>IF(N18=0,0,IF(A18="S",1,IF(OR(B18='Recepción'!$D$9,B18='Recepción'!$F$9,B18='Recepción'!$D$10,AND(B18="Contacto con líquido",'Recepción'!$E$25="Sí"),AND(B18="Golpe / Caída",'Recepción'!$E$24="Sí"),AND(B18="No enciende",'Recepción'!$E$27="No")),1,0)))</f>
        <v/>
      </c>
      <c r="P18" s="28">
        <f>IF(O18=1,COUNTIF($O$2:O18,1),0)</f>
        <v/>
      </c>
    </row>
    <row r="19">
      <c r="A19" s="18" t="inlineStr">
        <is>
          <t>B</t>
        </is>
      </c>
      <c r="B19" s="20" t="inlineStr">
        <is>
          <t>Batería / No carga</t>
        </is>
      </c>
      <c r="C19" s="20" t="inlineStr">
        <is>
          <t>¿La batería está inflada o ha deformado el equipo?</t>
        </is>
      </c>
      <c r="D19" s="18" t="inlineStr">
        <is>
          <t>SN</t>
        </is>
      </c>
      <c r="E19" s="27" t="n">
        <v>1</v>
      </c>
      <c r="F19" s="27" t="n">
        <v>1</v>
      </c>
      <c r="G19" s="27" t="n">
        <v>1</v>
      </c>
      <c r="H19" s="27" t="n">
        <v>1</v>
      </c>
      <c r="I19" s="27" t="n">
        <v>0</v>
      </c>
      <c r="J19" s="27" t="n">
        <v>1</v>
      </c>
      <c r="K19" s="27" t="n">
        <v>0</v>
      </c>
      <c r="L19" s="27" t="n">
        <v>1</v>
      </c>
      <c r="M19" s="27" t="n">
        <v>1</v>
      </c>
      <c r="N19" s="28">
        <f>IF(C19="",0,IFERROR(INDEX($E19:$M19,MATCH('Recepción'!$D$5,$E$1:$M$1,0)),0))</f>
        <v/>
      </c>
      <c r="O19" s="28">
        <f>IF(N19=0,0,IF(A19="S",1,IF(OR(B19='Recepción'!$D$9,B19='Recepción'!$F$9,B19='Recepción'!$D$10,AND(B19="Contacto con líquido",'Recepción'!$E$25="Sí"),AND(B19="Golpe / Caída",'Recepción'!$E$24="Sí"),AND(B19="No enciende",'Recepción'!$E$27="No")),1,0)))</f>
        <v/>
      </c>
      <c r="P19" s="28">
        <f>IF(O19=1,COUNTIF($O$2:O19,1),0)</f>
        <v/>
      </c>
    </row>
    <row r="20">
      <c r="A20" s="18" t="inlineStr">
        <is>
          <t>B</t>
        </is>
      </c>
      <c r="B20" s="20" t="inlineStr">
        <is>
          <t>Batería / No carga</t>
        </is>
      </c>
      <c r="C20" s="20" t="inlineStr">
        <is>
          <t>¿Utiliza cargador original?</t>
        </is>
      </c>
      <c r="D20" s="18" t="inlineStr">
        <is>
          <t>SN</t>
        </is>
      </c>
      <c r="E20" s="27" t="n">
        <v>1</v>
      </c>
      <c r="F20" s="27" t="n">
        <v>1</v>
      </c>
      <c r="G20" s="27" t="n">
        <v>1</v>
      </c>
      <c r="H20" s="27" t="n">
        <v>1</v>
      </c>
      <c r="I20" s="27" t="n">
        <v>0</v>
      </c>
      <c r="J20" s="27" t="n">
        <v>1</v>
      </c>
      <c r="K20" s="27" t="n">
        <v>0</v>
      </c>
      <c r="L20" s="27" t="n">
        <v>1</v>
      </c>
      <c r="M20" s="27" t="n">
        <v>1</v>
      </c>
      <c r="N20" s="28">
        <f>IF(C20="",0,IFERROR(INDEX($E20:$M20,MATCH('Recepción'!$D$5,$E$1:$M$1,0)),0))</f>
        <v/>
      </c>
      <c r="O20" s="28">
        <f>IF(N20=0,0,IF(A20="S",1,IF(OR(B20='Recepción'!$D$9,B20='Recepción'!$F$9,B20='Recepción'!$D$10,AND(B20="Contacto con líquido",'Recepción'!$E$25="Sí"),AND(B20="Golpe / Caída",'Recepción'!$E$24="Sí"),AND(B20="No enciende",'Recepción'!$E$27="No")),1,0)))</f>
        <v/>
      </c>
      <c r="P20" s="28">
        <f>IF(O20=1,COUNTIF($O$2:O20,1),0)</f>
        <v/>
      </c>
    </row>
    <row r="21">
      <c r="A21" s="18" t="inlineStr">
        <is>
          <t>B</t>
        </is>
      </c>
      <c r="B21" s="20" t="inlineStr">
        <is>
          <t>Batería / No carga</t>
        </is>
      </c>
      <c r="C21" s="20" t="inlineStr">
        <is>
          <t>¿Ha probado otro cargador?</t>
        </is>
      </c>
      <c r="D21" s="18" t="inlineStr">
        <is>
          <t>SN</t>
        </is>
      </c>
      <c r="E21" s="27" t="n">
        <v>1</v>
      </c>
      <c r="F21" s="27" t="n">
        <v>1</v>
      </c>
      <c r="G21" s="27" t="n">
        <v>1</v>
      </c>
      <c r="H21" s="27" t="n">
        <v>1</v>
      </c>
      <c r="I21" s="27" t="n">
        <v>0</v>
      </c>
      <c r="J21" s="27" t="n">
        <v>1</v>
      </c>
      <c r="K21" s="27" t="n">
        <v>0</v>
      </c>
      <c r="L21" s="27" t="n">
        <v>1</v>
      </c>
      <c r="M21" s="27" t="n">
        <v>1</v>
      </c>
      <c r="N21" s="28">
        <f>IF(C21="",0,IFERROR(INDEX($E21:$M21,MATCH('Recepción'!$D$5,$E$1:$M$1,0)),0))</f>
        <v/>
      </c>
      <c r="O21" s="28">
        <f>IF(N21=0,0,IF(A21="S",1,IF(OR(B21='Recepción'!$D$9,B21='Recepción'!$F$9,B21='Recepción'!$D$10,AND(B21="Contacto con líquido",'Recepción'!$E$25="Sí"),AND(B21="Golpe / Caída",'Recepción'!$E$24="Sí"),AND(B21="No enciende",'Recepción'!$E$27="No")),1,0)))</f>
        <v/>
      </c>
      <c r="P21" s="28">
        <f>IF(O21=1,COUNTIF($O$2:O21,1),0)</f>
        <v/>
      </c>
    </row>
    <row r="22">
      <c r="A22" s="18" t="inlineStr">
        <is>
          <t>B</t>
        </is>
      </c>
      <c r="B22" s="20" t="inlineStr">
        <is>
          <t>Batería / No carga</t>
        </is>
      </c>
      <c r="C22" s="20" t="inlineStr">
        <is>
          <t>¿Carga lenta o se detiene en cierto porcentaje?</t>
        </is>
      </c>
      <c r="D22" s="18" t="inlineStr">
        <is>
          <t>SN</t>
        </is>
      </c>
      <c r="E22" s="27" t="n">
        <v>1</v>
      </c>
      <c r="F22" s="27" t="n">
        <v>1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0</v>
      </c>
      <c r="L22" s="27" t="n">
        <v>0</v>
      </c>
      <c r="M22" s="27" t="n">
        <v>0</v>
      </c>
      <c r="N22" s="28">
        <f>IF(C22="",0,IFERROR(INDEX($E22:$M22,MATCH('Recepción'!$D$5,$E$1:$M$1,0)),0))</f>
        <v/>
      </c>
      <c r="O22" s="28">
        <f>IF(N22=0,0,IF(A22="S",1,IF(OR(B22='Recepción'!$D$9,B22='Recepción'!$F$9,B22='Recepción'!$D$10,AND(B22="Contacto con líquido",'Recepción'!$E$25="Sí"),AND(B22="Golpe / Caída",'Recepción'!$E$24="Sí"),AND(B22="No enciende",'Recepción'!$E$27="No")),1,0)))</f>
        <v/>
      </c>
      <c r="P22" s="28">
        <f>IF(O22=1,COUNTIF($O$2:O22,1),0)</f>
        <v/>
      </c>
    </row>
    <row r="23">
      <c r="A23" s="18" t="inlineStr">
        <is>
          <t>B</t>
        </is>
      </c>
      <c r="B23" s="20" t="inlineStr">
        <is>
          <t>Batería / No carga</t>
        </is>
      </c>
      <c r="C23" s="20" t="inlineStr">
        <is>
          <t>¿El puerto de carga está flojo o sucio?</t>
        </is>
      </c>
      <c r="D23" s="18" t="inlineStr">
        <is>
          <t>SN</t>
        </is>
      </c>
      <c r="E23" s="27" t="n">
        <v>1</v>
      </c>
      <c r="F23" s="27" t="n">
        <v>1</v>
      </c>
      <c r="G23" s="27" t="n">
        <v>0</v>
      </c>
      <c r="H23" s="27" t="n">
        <v>1</v>
      </c>
      <c r="I23" s="27" t="n">
        <v>0</v>
      </c>
      <c r="J23" s="27" t="n">
        <v>1</v>
      </c>
      <c r="K23" s="27" t="n">
        <v>0</v>
      </c>
      <c r="L23" s="27" t="n">
        <v>0</v>
      </c>
      <c r="M23" s="27" t="n">
        <v>1</v>
      </c>
      <c r="N23" s="28">
        <f>IF(C23="",0,IFERROR(INDEX($E23:$M23,MATCH('Recepción'!$D$5,$E$1:$M$1,0)),0))</f>
        <v/>
      </c>
      <c r="O23" s="28">
        <f>IF(N23=0,0,IF(A23="S",1,IF(OR(B23='Recepción'!$D$9,B23='Recepción'!$F$9,B23='Recepción'!$D$10,AND(B23="Contacto con líquido",'Recepción'!$E$25="Sí"),AND(B23="Golpe / Caída",'Recepción'!$E$24="Sí"),AND(B23="No enciende",'Recepción'!$E$27="No")),1,0)))</f>
        <v/>
      </c>
      <c r="P23" s="28">
        <f>IF(O23=1,COUNTIF($O$2:O23,1),0)</f>
        <v/>
      </c>
    </row>
    <row r="24">
      <c r="A24" s="18" t="inlineStr">
        <is>
          <t>B</t>
        </is>
      </c>
      <c r="B24" s="20" t="inlineStr">
        <is>
          <t>Batería / No carga</t>
        </is>
      </c>
      <c r="C24" s="20" t="inlineStr">
        <is>
          <t>¿La base de carga está limpia y sin daños?</t>
        </is>
      </c>
      <c r="D24" s="18" t="inlineStr">
        <is>
          <t>SN</t>
        </is>
      </c>
      <c r="E24" s="27" t="n">
        <v>0</v>
      </c>
      <c r="F24" s="27" t="n">
        <v>0</v>
      </c>
      <c r="G24" s="27" t="n">
        <v>1</v>
      </c>
      <c r="H24" s="27" t="n">
        <v>0</v>
      </c>
      <c r="I24" s="27" t="n">
        <v>0</v>
      </c>
      <c r="J24" s="27" t="n">
        <v>0</v>
      </c>
      <c r="K24" s="27" t="n">
        <v>0</v>
      </c>
      <c r="L24" s="27" t="n">
        <v>0</v>
      </c>
      <c r="M24" s="27" t="n">
        <v>0</v>
      </c>
      <c r="N24" s="28">
        <f>IF(C24="",0,IFERROR(INDEX($E24:$M24,MATCH('Recepción'!$D$5,$E$1:$M$1,0)),0))</f>
        <v/>
      </c>
      <c r="O24" s="28">
        <f>IF(N24=0,0,IF(A24="S",1,IF(OR(B24='Recepción'!$D$9,B24='Recepción'!$F$9,B24='Recepción'!$D$10,AND(B24="Contacto con líquido",'Recepción'!$E$25="Sí"),AND(B24="Golpe / Caída",'Recepción'!$E$24="Sí"),AND(B24="No enciende",'Recepción'!$E$27="No")),1,0)))</f>
        <v/>
      </c>
      <c r="P24" s="28">
        <f>IF(O24=1,COUNTIF($O$2:O24,1),0)</f>
        <v/>
      </c>
    </row>
    <row r="25">
      <c r="A25" s="18" t="inlineStr">
        <is>
          <t>B</t>
        </is>
      </c>
      <c r="B25" s="20" t="inlineStr">
        <is>
          <t>Batería / No carga</t>
        </is>
      </c>
      <c r="C25" s="20" t="inlineStr">
        <is>
          <t>¿Enciende el indicador LED del cargador?</t>
        </is>
      </c>
      <c r="D25" s="18" t="inlineStr">
        <is>
          <t>SN</t>
        </is>
      </c>
      <c r="E25" s="27" t="n">
        <v>0</v>
      </c>
      <c r="F25" s="27" t="n">
        <v>0</v>
      </c>
      <c r="G25" s="27" t="n">
        <v>0</v>
      </c>
      <c r="H25" s="27" t="n">
        <v>1</v>
      </c>
      <c r="I25" s="27" t="n">
        <v>0</v>
      </c>
      <c r="J25" s="27" t="n">
        <v>1</v>
      </c>
      <c r="K25" s="27" t="n">
        <v>0</v>
      </c>
      <c r="L25" s="27" t="n">
        <v>0</v>
      </c>
      <c r="M25" s="27" t="n">
        <v>0</v>
      </c>
      <c r="N25" s="28">
        <f>IF(C25="",0,IFERROR(INDEX($E25:$M25,MATCH('Recepción'!$D$5,$E$1:$M$1,0)),0))</f>
        <v/>
      </c>
      <c r="O25" s="28">
        <f>IF(N25=0,0,IF(A25="S",1,IF(OR(B25='Recepción'!$D$9,B25='Recepción'!$F$9,B25='Recepción'!$D$10,AND(B25="Contacto con líquido",'Recepción'!$E$25="Sí"),AND(B25="Golpe / Caída",'Recepción'!$E$24="Sí"),AND(B25="No enciende",'Recepción'!$E$27="No")),1,0)))</f>
        <v/>
      </c>
      <c r="P25" s="28">
        <f>IF(O25=1,COUNTIF($O$2:O25,1),0)</f>
        <v/>
      </c>
    </row>
    <row r="26">
      <c r="A26" s="18" t="inlineStr">
        <is>
          <t>B</t>
        </is>
      </c>
      <c r="B26" s="20" t="inlineStr">
        <is>
          <t>Batería / No carga</t>
        </is>
      </c>
      <c r="C26" s="20" t="inlineStr">
        <is>
          <t>¿Aparece el mensaje «conectado, no carga»?</t>
        </is>
      </c>
      <c r="D26" s="18" t="inlineStr">
        <is>
          <t>SN</t>
        </is>
      </c>
      <c r="E26" s="27" t="n">
        <v>0</v>
      </c>
      <c r="F26" s="27" t="n">
        <v>0</v>
      </c>
      <c r="G26" s="27" t="n">
        <v>0</v>
      </c>
      <c r="H26" s="27" t="n">
        <v>1</v>
      </c>
      <c r="I26" s="27" t="n">
        <v>0</v>
      </c>
      <c r="J26" s="27" t="n">
        <v>1</v>
      </c>
      <c r="K26" s="27" t="n">
        <v>0</v>
      </c>
      <c r="L26" s="27" t="n">
        <v>0</v>
      </c>
      <c r="M26" s="27" t="n">
        <v>0</v>
      </c>
      <c r="N26" s="28">
        <f>IF(C26="",0,IFERROR(INDEX($E26:$M26,MATCH('Recepción'!$D$5,$E$1:$M$1,0)),0))</f>
        <v/>
      </c>
      <c r="O26" s="28">
        <f>IF(N26=0,0,IF(A26="S",1,IF(OR(B26='Recepción'!$D$9,B26='Recepción'!$F$9,B26='Recepción'!$D$10,AND(B26="Contacto con líquido",'Recepción'!$E$25="Sí"),AND(B26="Golpe / Caída",'Recepción'!$E$24="Sí"),AND(B26="No enciende",'Recepción'!$E$27="No")),1,0)))</f>
        <v/>
      </c>
      <c r="P26" s="28">
        <f>IF(O26=1,COUNTIF($O$2:O26,1),0)</f>
        <v/>
      </c>
    </row>
    <row r="27">
      <c r="A27" s="18" t="inlineStr">
        <is>
          <t>B</t>
        </is>
      </c>
      <c r="B27" s="20" t="inlineStr">
        <is>
          <t>Batería / No carga</t>
        </is>
      </c>
      <c r="C27" s="20" t="inlineStr">
        <is>
          <t>¿Es una consola portátil (Switch, Steam Deck, ROG Ally)?</t>
        </is>
      </c>
      <c r="D27" s="18" t="inlineStr">
        <is>
          <t>SN</t>
        </is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0</v>
      </c>
      <c r="J27" s="27" t="n">
        <v>0</v>
      </c>
      <c r="K27" s="27" t="n">
        <v>0</v>
      </c>
      <c r="L27" s="27" t="n">
        <v>1</v>
      </c>
      <c r="M27" s="27" t="n">
        <v>0</v>
      </c>
      <c r="N27" s="28">
        <f>IF(C27="",0,IFERROR(INDEX($E27:$M27,MATCH('Recepción'!$D$5,$E$1:$M$1,0)),0))</f>
        <v/>
      </c>
      <c r="O27" s="28">
        <f>IF(N27=0,0,IF(A27="S",1,IF(OR(B27='Recepción'!$D$9,B27='Recepción'!$F$9,B27='Recepción'!$D$10,AND(B27="Contacto con líquido",'Recepción'!$E$25="Sí"),AND(B27="Golpe / Caída",'Recepción'!$E$24="Sí"),AND(B27="No enciende",'Recepción'!$E$27="No")),1,0)))</f>
        <v/>
      </c>
      <c r="P27" s="28">
        <f>IF(O27=1,COUNTIF($O$2:O27,1),0)</f>
        <v/>
      </c>
    </row>
    <row r="28">
      <c r="A28" s="18" t="inlineStr">
        <is>
          <t>B</t>
        </is>
      </c>
      <c r="B28" s="20" t="inlineStr">
        <is>
          <t>Batería / No carga</t>
        </is>
      </c>
      <c r="C28" s="20" t="inlineStr">
        <is>
          <t>Autonomía aproximada reportada (horas/minutos)</t>
        </is>
      </c>
      <c r="D28" s="18" t="inlineStr">
        <is>
          <t>TXT</t>
        </is>
      </c>
      <c r="E28" s="27" t="n">
        <v>1</v>
      </c>
      <c r="F28" s="27" t="n">
        <v>1</v>
      </c>
      <c r="G28" s="27" t="n">
        <v>1</v>
      </c>
      <c r="H28" s="27" t="n">
        <v>1</v>
      </c>
      <c r="I28" s="27" t="n">
        <v>0</v>
      </c>
      <c r="J28" s="27" t="n">
        <v>1</v>
      </c>
      <c r="K28" s="27" t="n">
        <v>0</v>
      </c>
      <c r="L28" s="27" t="n">
        <v>1</v>
      </c>
      <c r="M28" s="27" t="n">
        <v>1</v>
      </c>
      <c r="N28" s="28">
        <f>IF(C28="",0,IFERROR(INDEX($E28:$M28,MATCH('Recepción'!$D$5,$E$1:$M$1,0)),0))</f>
        <v/>
      </c>
      <c r="O28" s="28">
        <f>IF(N28=0,0,IF(A28="S",1,IF(OR(B28='Recepción'!$D$9,B28='Recepción'!$F$9,B28='Recepción'!$D$10,AND(B28="Contacto con líquido",'Recepción'!$E$25="Sí"),AND(B28="Golpe / Caída",'Recepción'!$E$24="Sí"),AND(B28="No enciende",'Recepción'!$E$27="No")),1,0)))</f>
        <v/>
      </c>
      <c r="P28" s="28">
        <f>IF(O28=1,COUNTIF($O$2:O28,1),0)</f>
        <v/>
      </c>
    </row>
    <row r="29">
      <c r="A29" s="18" t="inlineStr">
        <is>
          <t>B</t>
        </is>
      </c>
      <c r="B29" s="20" t="inlineStr">
        <is>
          <t>Calentamiento / Se apaga</t>
        </is>
      </c>
      <c r="C29" s="20" t="inlineStr">
        <is>
          <t>¿En qué momento se calienta?</t>
        </is>
      </c>
      <c r="D29" s="18" t="inlineStr">
        <is>
          <t>MOM</t>
        </is>
      </c>
      <c r="E29" s="27" t="n">
        <v>1</v>
      </c>
      <c r="F29" s="27" t="n">
        <v>1</v>
      </c>
      <c r="G29" s="27" t="n">
        <v>0</v>
      </c>
      <c r="H29" s="27" t="n">
        <v>1</v>
      </c>
      <c r="I29" s="27" t="n">
        <v>1</v>
      </c>
      <c r="J29" s="27" t="n">
        <v>1</v>
      </c>
      <c r="K29" s="27" t="n">
        <v>1</v>
      </c>
      <c r="L29" s="27" t="n">
        <v>1</v>
      </c>
      <c r="M29" s="27" t="n">
        <v>1</v>
      </c>
      <c r="N29" s="28">
        <f>IF(C29="",0,IFERROR(INDEX($E29:$M29,MATCH('Recepción'!$D$5,$E$1:$M$1,0)),0))</f>
        <v/>
      </c>
      <c r="O29" s="28">
        <f>IF(N29=0,0,IF(A29="S",1,IF(OR(B29='Recepción'!$D$9,B29='Recepción'!$F$9,B29='Recepción'!$D$10,AND(B29="Contacto con líquido",'Recepción'!$E$25="Sí"),AND(B29="Golpe / Caída",'Recepción'!$E$24="Sí"),AND(B29="No enciende",'Recepción'!$E$27="No")),1,0)))</f>
        <v/>
      </c>
      <c r="P29" s="28">
        <f>IF(O29=1,COUNTIF($O$2:O29,1),0)</f>
        <v/>
      </c>
    </row>
    <row r="30">
      <c r="A30" s="18" t="inlineStr">
        <is>
          <t>B</t>
        </is>
      </c>
      <c r="B30" s="20" t="inlineStr">
        <is>
          <t>Calentamiento / Se apaga</t>
        </is>
      </c>
      <c r="C30" s="20" t="inlineStr">
        <is>
          <t>¿Se apaga o reinicia cuando se calienta?</t>
        </is>
      </c>
      <c r="D30" s="18" t="inlineStr">
        <is>
          <t>SN</t>
        </is>
      </c>
      <c r="E30" s="27" t="n">
        <v>1</v>
      </c>
      <c r="F30" s="27" t="n">
        <v>1</v>
      </c>
      <c r="G30" s="27" t="n">
        <v>0</v>
      </c>
      <c r="H30" s="27" t="n">
        <v>1</v>
      </c>
      <c r="I30" s="27" t="n">
        <v>1</v>
      </c>
      <c r="J30" s="27" t="n">
        <v>1</v>
      </c>
      <c r="K30" s="27" t="n">
        <v>1</v>
      </c>
      <c r="L30" s="27" t="n">
        <v>1</v>
      </c>
      <c r="M30" s="27" t="n">
        <v>1</v>
      </c>
      <c r="N30" s="28">
        <f>IF(C30="",0,IFERROR(INDEX($E30:$M30,MATCH('Recepción'!$D$5,$E$1:$M$1,0)),0))</f>
        <v/>
      </c>
      <c r="O30" s="28">
        <f>IF(N30=0,0,IF(A30="S",1,IF(OR(B30='Recepción'!$D$9,B30='Recepción'!$F$9,B30='Recepción'!$D$10,AND(B30="Contacto con líquido",'Recepción'!$E$25="Sí"),AND(B30="Golpe / Caída",'Recepción'!$E$24="Sí"),AND(B30="No enciende",'Recepción'!$E$27="No")),1,0)))</f>
        <v/>
      </c>
      <c r="P30" s="28">
        <f>IF(O30=1,COUNTIF($O$2:O30,1),0)</f>
        <v/>
      </c>
    </row>
    <row r="31">
      <c r="A31" s="18" t="inlineStr">
        <is>
          <t>B</t>
        </is>
      </c>
      <c r="B31" s="20" t="inlineStr">
        <is>
          <t>Calentamiento / Se apaga</t>
        </is>
      </c>
      <c r="C31" s="20" t="inlineStr">
        <is>
          <t>¿Ha notado pérdida de rendimiento?</t>
        </is>
      </c>
      <c r="D31" s="18" t="inlineStr">
        <is>
          <t>SN</t>
        </is>
      </c>
      <c r="E31" s="27" t="n">
        <v>1</v>
      </c>
      <c r="F31" s="27" t="n">
        <v>1</v>
      </c>
      <c r="G31" s="27" t="n">
        <v>0</v>
      </c>
      <c r="H31" s="27" t="n">
        <v>1</v>
      </c>
      <c r="I31" s="27" t="n">
        <v>1</v>
      </c>
      <c r="J31" s="27" t="n">
        <v>1</v>
      </c>
      <c r="K31" s="27" t="n">
        <v>1</v>
      </c>
      <c r="L31" s="27" t="n">
        <v>1</v>
      </c>
      <c r="M31" s="27" t="n">
        <v>1</v>
      </c>
      <c r="N31" s="28">
        <f>IF(C31="",0,IFERROR(INDEX($E31:$M31,MATCH('Recepción'!$D$5,$E$1:$M$1,0)),0))</f>
        <v/>
      </c>
      <c r="O31" s="28">
        <f>IF(N31=0,0,IF(A31="S",1,IF(OR(B31='Recepción'!$D$9,B31='Recepción'!$F$9,B31='Recepción'!$D$10,AND(B31="Contacto con líquido",'Recepción'!$E$25="Sí"),AND(B31="Golpe / Caída",'Recepción'!$E$24="Sí"),AND(B31="No enciende",'Recepción'!$E$27="No")),1,0)))</f>
        <v/>
      </c>
      <c r="P31" s="28">
        <f>IF(O31=1,COUNTIF($O$2:O31,1),0)</f>
        <v/>
      </c>
    </row>
    <row r="32">
      <c r="A32" s="18" t="inlineStr">
        <is>
          <t>B</t>
        </is>
      </c>
      <c r="B32" s="20" t="inlineStr">
        <is>
          <t>Calentamiento / Se apaga</t>
        </is>
      </c>
      <c r="C32" s="20" t="inlineStr">
        <is>
          <t>¿En qué zona se calienta (batería, cámara, parte superior)?</t>
        </is>
      </c>
      <c r="D32" s="18" t="inlineStr">
        <is>
          <t>TXT</t>
        </is>
      </c>
      <c r="E32" s="27" t="n">
        <v>1</v>
      </c>
      <c r="F32" s="27" t="n">
        <v>1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0</v>
      </c>
      <c r="L32" s="27" t="n">
        <v>0</v>
      </c>
      <c r="M32" s="27" t="n">
        <v>0</v>
      </c>
      <c r="N32" s="28">
        <f>IF(C32="",0,IFERROR(INDEX($E32:$M32,MATCH('Recepción'!$D$5,$E$1:$M$1,0)),0))</f>
        <v/>
      </c>
      <c r="O32" s="28">
        <f>IF(N32=0,0,IF(A32="S",1,IF(OR(B32='Recepción'!$D$9,B32='Recepción'!$F$9,B32='Recepción'!$D$10,AND(B32="Contacto con líquido",'Recepción'!$E$25="Sí"),AND(B32="Golpe / Caída",'Recepción'!$E$24="Sí"),AND(B32="No enciende",'Recepción'!$E$27="No")),1,0)))</f>
        <v/>
      </c>
      <c r="P32" s="28">
        <f>IF(O32=1,COUNTIF($O$2:O32,1),0)</f>
        <v/>
      </c>
    </row>
    <row r="33">
      <c r="A33" s="18" t="inlineStr">
        <is>
          <t>B</t>
        </is>
      </c>
      <c r="B33" s="20" t="inlineStr">
        <is>
          <t>Calentamiento / Se apaga</t>
        </is>
      </c>
      <c r="C33" s="20" t="inlineStr">
        <is>
          <t>¿Usa funda gruesa o lo utiliza mientras carga?</t>
        </is>
      </c>
      <c r="D33" s="18" t="inlineStr">
        <is>
          <t>SN</t>
        </is>
      </c>
      <c r="E33" s="27" t="n">
        <v>1</v>
      </c>
      <c r="F33" s="27" t="n">
        <v>1</v>
      </c>
      <c r="G33" s="27" t="n">
        <v>0</v>
      </c>
      <c r="H33" s="27" t="n">
        <v>0</v>
      </c>
      <c r="I33" s="27" t="n">
        <v>0</v>
      </c>
      <c r="J33" s="27" t="n">
        <v>0</v>
      </c>
      <c r="K33" s="27" t="n">
        <v>0</v>
      </c>
      <c r="L33" s="27" t="n">
        <v>0</v>
      </c>
      <c r="M33" s="27" t="n">
        <v>0</v>
      </c>
      <c r="N33" s="28">
        <f>IF(C33="",0,IFERROR(INDEX($E33:$M33,MATCH('Recepción'!$D$5,$E$1:$M$1,0)),0))</f>
        <v/>
      </c>
      <c r="O33" s="28">
        <f>IF(N33=0,0,IF(A33="S",1,IF(OR(B33='Recepción'!$D$9,B33='Recepción'!$F$9,B33='Recepción'!$D$10,AND(B33="Contacto con líquido",'Recepción'!$E$25="Sí"),AND(B33="Golpe / Caída",'Recepción'!$E$24="Sí"),AND(B33="No enciende",'Recepción'!$E$27="No")),1,0)))</f>
        <v/>
      </c>
      <c r="P33" s="28">
        <f>IF(O33=1,COUNTIF($O$2:O33,1),0)</f>
        <v/>
      </c>
    </row>
    <row r="34">
      <c r="A34" s="18" t="inlineStr">
        <is>
          <t>B</t>
        </is>
      </c>
      <c r="B34" s="20" t="inlineStr">
        <is>
          <t>Calentamiento / Se apaga</t>
        </is>
      </c>
      <c r="C34" s="20" t="inlineStr">
        <is>
          <t>¿Los ventiladores hacen mucho ruido?</t>
        </is>
      </c>
      <c r="D34" s="18" t="inlineStr">
        <is>
          <t>SN</t>
        </is>
      </c>
      <c r="E34" s="27" t="n">
        <v>0</v>
      </c>
      <c r="F34" s="27" t="n">
        <v>0</v>
      </c>
      <c r="G34" s="27" t="n">
        <v>0</v>
      </c>
      <c r="H34" s="27" t="n">
        <v>1</v>
      </c>
      <c r="I34" s="27" t="n">
        <v>1</v>
      </c>
      <c r="J34" s="27" t="n">
        <v>1</v>
      </c>
      <c r="K34" s="27" t="n">
        <v>1</v>
      </c>
      <c r="L34" s="27" t="n">
        <v>1</v>
      </c>
      <c r="M34" s="27" t="n">
        <v>0</v>
      </c>
      <c r="N34" s="28">
        <f>IF(C34="",0,IFERROR(INDEX($E34:$M34,MATCH('Recepción'!$D$5,$E$1:$M$1,0)),0))</f>
        <v/>
      </c>
      <c r="O34" s="28">
        <f>IF(N34=0,0,IF(A34="S",1,IF(OR(B34='Recepción'!$D$9,B34='Recepción'!$F$9,B34='Recepción'!$D$10,AND(B34="Contacto con líquido",'Recepción'!$E$25="Sí"),AND(B34="Golpe / Caída",'Recepción'!$E$24="Sí"),AND(B34="No enciende",'Recepción'!$E$27="No")),1,0)))</f>
        <v/>
      </c>
      <c r="P34" s="28">
        <f>IF(O34=1,COUNTIF($O$2:O34,1),0)</f>
        <v/>
      </c>
    </row>
    <row r="35">
      <c r="A35" s="18" t="inlineStr">
        <is>
          <t>B</t>
        </is>
      </c>
      <c r="B35" s="20" t="inlineStr">
        <is>
          <t>Calentamiento / Se apaga</t>
        </is>
      </c>
      <c r="C35" s="20" t="inlineStr">
        <is>
          <t>¿Las rejillas de ventilación tienen polvo o están tapadas?</t>
        </is>
      </c>
      <c r="D35" s="18" t="inlineStr">
        <is>
          <t>SN</t>
        </is>
      </c>
      <c r="E35" s="27" t="n">
        <v>0</v>
      </c>
      <c r="F35" s="27" t="n">
        <v>0</v>
      </c>
      <c r="G35" s="27" t="n">
        <v>0</v>
      </c>
      <c r="H35" s="27" t="n">
        <v>1</v>
      </c>
      <c r="I35" s="27" t="n">
        <v>1</v>
      </c>
      <c r="J35" s="27" t="n">
        <v>1</v>
      </c>
      <c r="K35" s="27" t="n">
        <v>1</v>
      </c>
      <c r="L35" s="27" t="n">
        <v>1</v>
      </c>
      <c r="M35" s="27" t="n">
        <v>0</v>
      </c>
      <c r="N35" s="28">
        <f>IF(C35="",0,IFERROR(INDEX($E35:$M35,MATCH('Recepción'!$D$5,$E$1:$M$1,0)),0))</f>
        <v/>
      </c>
      <c r="O35" s="28">
        <f>IF(N35=0,0,IF(A35="S",1,IF(OR(B35='Recepción'!$D$9,B35='Recepción'!$F$9,B35='Recepción'!$D$10,AND(B35="Contacto con líquido",'Recepción'!$E$25="Sí"),AND(B35="Golpe / Caída",'Recepción'!$E$24="Sí"),AND(B35="No enciende",'Recepción'!$E$27="No")),1,0)))</f>
        <v/>
      </c>
      <c r="P35" s="28">
        <f>IF(O35=1,COUNTIF($O$2:O35,1),0)</f>
        <v/>
      </c>
    </row>
    <row r="36">
      <c r="A36" s="18" t="inlineStr">
        <is>
          <t>B</t>
        </is>
      </c>
      <c r="B36" s="20" t="inlineStr">
        <is>
          <t>Calentamiento / Se apaga</t>
        </is>
      </c>
      <c r="C36" s="20" t="inlineStr">
        <is>
          <t>¿Cuándo fue el último mantenimiento o limpieza?</t>
        </is>
      </c>
      <c r="D36" s="18" t="inlineStr">
        <is>
          <t>TXT</t>
        </is>
      </c>
      <c r="E36" s="27" t="n">
        <v>0</v>
      </c>
      <c r="F36" s="27" t="n">
        <v>0</v>
      </c>
      <c r="G36" s="27" t="n">
        <v>0</v>
      </c>
      <c r="H36" s="27" t="n">
        <v>1</v>
      </c>
      <c r="I36" s="27" t="n">
        <v>1</v>
      </c>
      <c r="J36" s="27" t="n">
        <v>1</v>
      </c>
      <c r="K36" s="27" t="n">
        <v>1</v>
      </c>
      <c r="L36" s="27" t="n">
        <v>1</v>
      </c>
      <c r="M36" s="27" t="n">
        <v>0</v>
      </c>
      <c r="N36" s="28">
        <f>IF(C36="",0,IFERROR(INDEX($E36:$M36,MATCH('Recepción'!$D$5,$E$1:$M$1,0)),0))</f>
        <v/>
      </c>
      <c r="O36" s="28">
        <f>IF(N36=0,0,IF(A36="S",1,IF(OR(B36='Recepción'!$D$9,B36='Recepción'!$F$9,B36='Recepción'!$D$10,AND(B36="Contacto con líquido",'Recepción'!$E$25="Sí"),AND(B36="Golpe / Caída",'Recepción'!$E$24="Sí"),AND(B36="No enciende",'Recepción'!$E$27="No")),1,0)))</f>
        <v/>
      </c>
      <c r="P36" s="28">
        <f>IF(O36=1,COUNTIF($O$2:O36,1),0)</f>
        <v/>
      </c>
    </row>
    <row r="37">
      <c r="A37" s="18" t="inlineStr">
        <is>
          <t>B</t>
        </is>
      </c>
      <c r="B37" s="20" t="inlineStr">
        <is>
          <t>Calentamiento / Se apaga</t>
        </is>
      </c>
      <c r="C37" s="20" t="inlineStr">
        <is>
          <t>¿Está ubicada en un espacio cerrado o sin ventilación?</t>
        </is>
      </c>
      <c r="D37" s="18" t="inlineStr">
        <is>
          <t>SN</t>
        </is>
      </c>
      <c r="E37" s="27" t="n">
        <v>0</v>
      </c>
      <c r="F37" s="27" t="n">
        <v>0</v>
      </c>
      <c r="G37" s="27" t="n">
        <v>0</v>
      </c>
      <c r="H37" s="27" t="n">
        <v>0</v>
      </c>
      <c r="I37" s="27" t="n">
        <v>0</v>
      </c>
      <c r="J37" s="27" t="n">
        <v>0</v>
      </c>
      <c r="K37" s="27" t="n">
        <v>0</v>
      </c>
      <c r="L37" s="27" t="n">
        <v>1</v>
      </c>
      <c r="M37" s="27" t="n">
        <v>0</v>
      </c>
      <c r="N37" s="28">
        <f>IF(C37="",0,IFERROR(INDEX($E37:$M37,MATCH('Recepción'!$D$5,$E$1:$M$1,0)),0))</f>
        <v/>
      </c>
      <c r="O37" s="28">
        <f>IF(N37=0,0,IF(A37="S",1,IF(OR(B37='Recepción'!$D$9,B37='Recepción'!$F$9,B37='Recepción'!$D$10,AND(B37="Contacto con líquido",'Recepción'!$E$25="Sí"),AND(B37="Golpe / Caída",'Recepción'!$E$24="Sí"),AND(B37="No enciende",'Recepción'!$E$27="No")),1,0)))</f>
        <v/>
      </c>
      <c r="P37" s="28">
        <f>IF(O37=1,COUNTIF($O$2:O37,1),0)</f>
        <v/>
      </c>
    </row>
    <row r="38">
      <c r="A38" s="18" t="inlineStr">
        <is>
          <t>B</t>
        </is>
      </c>
      <c r="B38" s="20" t="inlineStr">
        <is>
          <t>Calentamiento / Se apaga</t>
        </is>
      </c>
      <c r="C38" s="20" t="inlineStr">
        <is>
          <t>¿Se apaga durante los juegos?</t>
        </is>
      </c>
      <c r="D38" s="18" t="inlineStr">
        <is>
          <t>SN</t>
        </is>
      </c>
      <c r="E38" s="27" t="n">
        <v>0</v>
      </c>
      <c r="F38" s="27" t="n">
        <v>0</v>
      </c>
      <c r="G38" s="27" t="n">
        <v>0</v>
      </c>
      <c r="H38" s="27" t="n">
        <v>0</v>
      </c>
      <c r="I38" s="27" t="n">
        <v>0</v>
      </c>
      <c r="J38" s="27" t="n">
        <v>0</v>
      </c>
      <c r="K38" s="27" t="n">
        <v>0</v>
      </c>
      <c r="L38" s="27" t="n">
        <v>1</v>
      </c>
      <c r="M38" s="27" t="n">
        <v>0</v>
      </c>
      <c r="N38" s="28">
        <f>IF(C38="",0,IFERROR(INDEX($E38:$M38,MATCH('Recepción'!$D$5,$E$1:$M$1,0)),0))</f>
        <v/>
      </c>
      <c r="O38" s="28">
        <f>IF(N38=0,0,IF(A38="S",1,IF(OR(B38='Recepción'!$D$9,B38='Recepción'!$F$9,B38='Recepción'!$D$10,AND(B38="Contacto con líquido",'Recepción'!$E$25="Sí"),AND(B38="Golpe / Caída",'Recepción'!$E$24="Sí"),AND(B38="No enciende",'Recepción'!$E$27="No")),1,0)))</f>
        <v/>
      </c>
      <c r="P38" s="28">
        <f>IF(O38=1,COUNTIF($O$2:O38,1),0)</f>
        <v/>
      </c>
    </row>
    <row r="39">
      <c r="A39" s="18" t="inlineStr">
        <is>
          <t>B</t>
        </is>
      </c>
      <c r="B39" s="20" t="inlineStr">
        <is>
          <t>Contacto con líquido</t>
        </is>
      </c>
      <c r="C39" s="20" t="inlineStr">
        <is>
          <t>¿Qué tipo de líquido fue?</t>
        </is>
      </c>
      <c r="D39" s="18" t="inlineStr">
        <is>
          <t>LIQ</t>
        </is>
      </c>
      <c r="E39" s="27" t="n">
        <v>1</v>
      </c>
      <c r="F39" s="27" t="n">
        <v>1</v>
      </c>
      <c r="G39" s="27" t="n">
        <v>1</v>
      </c>
      <c r="H39" s="27" t="n">
        <v>1</v>
      </c>
      <c r="I39" s="27" t="n">
        <v>1</v>
      </c>
      <c r="J39" s="27" t="n">
        <v>1</v>
      </c>
      <c r="K39" s="27" t="n">
        <v>1</v>
      </c>
      <c r="L39" s="27" t="n">
        <v>1</v>
      </c>
      <c r="M39" s="27" t="n">
        <v>1</v>
      </c>
      <c r="N39" s="28">
        <f>IF(C39="",0,IFERROR(INDEX($E39:$M39,MATCH('Recepción'!$D$5,$E$1:$M$1,0)),0))</f>
        <v/>
      </c>
      <c r="O39" s="28">
        <f>IF(N39=0,0,IF(A39="S",1,IF(OR(B39='Recepción'!$D$9,B39='Recepción'!$F$9,B39='Recepción'!$D$10,AND(B39="Contacto con líquido",'Recepción'!$E$25="Sí"),AND(B39="Golpe / Caída",'Recepción'!$E$24="Sí"),AND(B39="No enciende",'Recepción'!$E$27="No")),1,0)))</f>
        <v/>
      </c>
      <c r="P39" s="28">
        <f>IF(O39=1,COUNTIF($O$2:O39,1),0)</f>
        <v/>
      </c>
    </row>
    <row r="40">
      <c r="A40" s="18" t="inlineStr">
        <is>
          <t>B</t>
        </is>
      </c>
      <c r="B40" s="20" t="inlineStr">
        <is>
          <t>Contacto con líquido</t>
        </is>
      </c>
      <c r="C40" s="20" t="inlineStr">
        <is>
          <t>¿Cuándo ocurrió?</t>
        </is>
      </c>
      <c r="D40" s="18" t="inlineStr">
        <is>
          <t>CUANDO</t>
        </is>
      </c>
      <c r="E40" s="27" t="n">
        <v>1</v>
      </c>
      <c r="F40" s="27" t="n">
        <v>1</v>
      </c>
      <c r="G40" s="27" t="n">
        <v>1</v>
      </c>
      <c r="H40" s="27" t="n">
        <v>1</v>
      </c>
      <c r="I40" s="27" t="n">
        <v>1</v>
      </c>
      <c r="J40" s="27" t="n">
        <v>1</v>
      </c>
      <c r="K40" s="27" t="n">
        <v>1</v>
      </c>
      <c r="L40" s="27" t="n">
        <v>1</v>
      </c>
      <c r="M40" s="27" t="n">
        <v>1</v>
      </c>
      <c r="N40" s="28">
        <f>IF(C40="",0,IFERROR(INDEX($E40:$M40,MATCH('Recepción'!$D$5,$E$1:$M$1,0)),0))</f>
        <v/>
      </c>
      <c r="O40" s="28">
        <f>IF(N40=0,0,IF(A40="S",1,IF(OR(B40='Recepción'!$D$9,B40='Recepción'!$F$9,B40='Recepción'!$D$10,AND(B40="Contacto con líquido",'Recepción'!$E$25="Sí"),AND(B40="Golpe / Caída",'Recepción'!$E$24="Sí"),AND(B40="No enciende",'Recepción'!$E$27="No")),1,0)))</f>
        <v/>
      </c>
      <c r="P40" s="28">
        <f>IF(O40=1,COUNTIF($O$2:O40,1),0)</f>
        <v/>
      </c>
    </row>
    <row r="41">
      <c r="A41" s="18" t="inlineStr">
        <is>
          <t>B</t>
        </is>
      </c>
      <c r="B41" s="20" t="inlineStr">
        <is>
          <t>Contacto con líquido</t>
        </is>
      </c>
      <c r="C41" s="20" t="inlineStr">
        <is>
          <t>¿Continuó utilizando el equipo?</t>
        </is>
      </c>
      <c r="D41" s="18" t="inlineStr">
        <is>
          <t>SN</t>
        </is>
      </c>
      <c r="E41" s="27" t="n">
        <v>1</v>
      </c>
      <c r="F41" s="27" t="n">
        <v>1</v>
      </c>
      <c r="G41" s="27" t="n">
        <v>1</v>
      </c>
      <c r="H41" s="27" t="n">
        <v>1</v>
      </c>
      <c r="I41" s="27" t="n">
        <v>1</v>
      </c>
      <c r="J41" s="27" t="n">
        <v>1</v>
      </c>
      <c r="K41" s="27" t="n">
        <v>1</v>
      </c>
      <c r="L41" s="27" t="n">
        <v>1</v>
      </c>
      <c r="M41" s="27" t="n">
        <v>1</v>
      </c>
      <c r="N41" s="28">
        <f>IF(C41="",0,IFERROR(INDEX($E41:$M41,MATCH('Recepción'!$D$5,$E$1:$M$1,0)),0))</f>
        <v/>
      </c>
      <c r="O41" s="28">
        <f>IF(N41=0,0,IF(A41="S",1,IF(OR(B41='Recepción'!$D$9,B41='Recepción'!$F$9,B41='Recepción'!$D$10,AND(B41="Contacto con líquido",'Recepción'!$E$25="Sí"),AND(B41="Golpe / Caída",'Recepción'!$E$24="Sí"),AND(B41="No enciende",'Recepción'!$E$27="No")),1,0)))</f>
        <v/>
      </c>
      <c r="P41" s="28">
        <f>IF(O41=1,COUNTIF($O$2:O41,1),0)</f>
        <v/>
      </c>
    </row>
    <row r="42">
      <c r="A42" s="18" t="inlineStr">
        <is>
          <t>B</t>
        </is>
      </c>
      <c r="B42" s="20" t="inlineStr">
        <is>
          <t>Contacto con líquido</t>
        </is>
      </c>
      <c r="C42" s="20" t="inlineStr">
        <is>
          <t>¿Intentó encenderlo?</t>
        </is>
      </c>
      <c r="D42" s="18" t="inlineStr">
        <is>
          <t>SN</t>
        </is>
      </c>
      <c r="E42" s="27" t="n">
        <v>1</v>
      </c>
      <c r="F42" s="27" t="n">
        <v>1</v>
      </c>
      <c r="G42" s="27" t="n">
        <v>1</v>
      </c>
      <c r="H42" s="27" t="n">
        <v>1</v>
      </c>
      <c r="I42" s="27" t="n">
        <v>1</v>
      </c>
      <c r="J42" s="27" t="n">
        <v>1</v>
      </c>
      <c r="K42" s="27" t="n">
        <v>1</v>
      </c>
      <c r="L42" s="27" t="n">
        <v>1</v>
      </c>
      <c r="M42" s="27" t="n">
        <v>1</v>
      </c>
      <c r="N42" s="28">
        <f>IF(C42="",0,IFERROR(INDEX($E42:$M42,MATCH('Recepción'!$D$5,$E$1:$M$1,0)),0))</f>
        <v/>
      </c>
      <c r="O42" s="28">
        <f>IF(N42=0,0,IF(A42="S",1,IF(OR(B42='Recepción'!$D$9,B42='Recepción'!$F$9,B42='Recepción'!$D$10,AND(B42="Contacto con líquido",'Recepción'!$E$25="Sí"),AND(B42="Golpe / Caída",'Recepción'!$E$24="Sí"),AND(B42="No enciende",'Recepción'!$E$27="No")),1,0)))</f>
        <v/>
      </c>
      <c r="P42" s="28">
        <f>IF(O42=1,COUNTIF($O$2:O42,1),0)</f>
        <v/>
      </c>
    </row>
    <row r="43">
      <c r="A43" s="18" t="inlineStr">
        <is>
          <t>B</t>
        </is>
      </c>
      <c r="B43" s="20" t="inlineStr">
        <is>
          <t>Contacto con líquido</t>
        </is>
      </c>
      <c r="C43" s="20" t="inlineStr">
        <is>
          <t>¿Lo conectó al cargador después de mojarse?</t>
        </is>
      </c>
      <c r="D43" s="18" t="inlineStr">
        <is>
          <t>SN</t>
        </is>
      </c>
      <c r="E43" s="27" t="n">
        <v>1</v>
      </c>
      <c r="F43" s="27" t="n">
        <v>1</v>
      </c>
      <c r="G43" s="27" t="n">
        <v>1</v>
      </c>
      <c r="H43" s="27" t="n">
        <v>1</v>
      </c>
      <c r="I43" s="27" t="n">
        <v>1</v>
      </c>
      <c r="J43" s="27" t="n">
        <v>1</v>
      </c>
      <c r="K43" s="27" t="n">
        <v>1</v>
      </c>
      <c r="L43" s="27" t="n">
        <v>1</v>
      </c>
      <c r="M43" s="27" t="n">
        <v>1</v>
      </c>
      <c r="N43" s="28">
        <f>IF(C43="",0,IFERROR(INDEX($E43:$M43,MATCH('Recepción'!$D$5,$E$1:$M$1,0)),0))</f>
        <v/>
      </c>
      <c r="O43" s="28">
        <f>IF(N43=0,0,IF(A43="S",1,IF(OR(B43='Recepción'!$D$9,B43='Recepción'!$F$9,B43='Recepción'!$D$10,AND(B43="Contacto con líquido",'Recepción'!$E$25="Sí"),AND(B43="Golpe / Caída",'Recepción'!$E$24="Sí"),AND(B43="No enciende",'Recepción'!$E$27="No")),1,0)))</f>
        <v/>
      </c>
      <c r="P43" s="28">
        <f>IF(O43=1,COUNTIF($O$2:O43,1),0)</f>
        <v/>
      </c>
    </row>
    <row r="44">
      <c r="A44" s="18" t="inlineStr">
        <is>
          <t>B</t>
        </is>
      </c>
      <c r="B44" s="20" t="inlineStr">
        <is>
          <t>Contacto con líquido</t>
        </is>
      </c>
      <c r="C44" s="20" t="inlineStr">
        <is>
          <t>¿Fue abierto posteriormente?</t>
        </is>
      </c>
      <c r="D44" s="18" t="inlineStr">
        <is>
          <t>SN</t>
        </is>
      </c>
      <c r="E44" s="27" t="n">
        <v>1</v>
      </c>
      <c r="F44" s="27" t="n">
        <v>1</v>
      </c>
      <c r="G44" s="27" t="n">
        <v>1</v>
      </c>
      <c r="H44" s="27" t="n">
        <v>1</v>
      </c>
      <c r="I44" s="27" t="n">
        <v>1</v>
      </c>
      <c r="J44" s="27" t="n">
        <v>1</v>
      </c>
      <c r="K44" s="27" t="n">
        <v>1</v>
      </c>
      <c r="L44" s="27" t="n">
        <v>1</v>
      </c>
      <c r="M44" s="27" t="n">
        <v>1</v>
      </c>
      <c r="N44" s="28">
        <f>IF(C44="",0,IFERROR(INDEX($E44:$M44,MATCH('Recepción'!$D$5,$E$1:$M$1,0)),0))</f>
        <v/>
      </c>
      <c r="O44" s="28">
        <f>IF(N44=0,0,IF(A44="S",1,IF(OR(B44='Recepción'!$D$9,B44='Recepción'!$F$9,B44='Recepción'!$D$10,AND(B44="Contacto con líquido",'Recepción'!$E$25="Sí"),AND(B44="Golpe / Caída",'Recepción'!$E$24="Sí"),AND(B44="No enciende",'Recepción'!$E$27="No")),1,0)))</f>
        <v/>
      </c>
      <c r="P44" s="28">
        <f>IF(O44=1,COUNTIF($O$2:O44,1),0)</f>
        <v/>
      </c>
    </row>
    <row r="45">
      <c r="A45" s="18" t="inlineStr">
        <is>
          <t>B</t>
        </is>
      </c>
      <c r="B45" s="20" t="inlineStr">
        <is>
          <t>Contacto con líquido</t>
        </is>
      </c>
      <c r="C45" s="20" t="inlineStr">
        <is>
          <t>¿Recibió limpieza o reparación previa?</t>
        </is>
      </c>
      <c r="D45" s="18" t="inlineStr">
        <is>
          <t>SN</t>
        </is>
      </c>
      <c r="E45" s="27" t="n">
        <v>1</v>
      </c>
      <c r="F45" s="27" t="n">
        <v>1</v>
      </c>
      <c r="G45" s="27" t="n">
        <v>1</v>
      </c>
      <c r="H45" s="27" t="n">
        <v>1</v>
      </c>
      <c r="I45" s="27" t="n">
        <v>1</v>
      </c>
      <c r="J45" s="27" t="n">
        <v>1</v>
      </c>
      <c r="K45" s="27" t="n">
        <v>1</v>
      </c>
      <c r="L45" s="27" t="n">
        <v>1</v>
      </c>
      <c r="M45" s="27" t="n">
        <v>1</v>
      </c>
      <c r="N45" s="28">
        <f>IF(C45="",0,IFERROR(INDEX($E45:$M45,MATCH('Recepción'!$D$5,$E$1:$M$1,0)),0))</f>
        <v/>
      </c>
      <c r="O45" s="28">
        <f>IF(N45=0,0,IF(A45="S",1,IF(OR(B45='Recepción'!$D$9,B45='Recepción'!$F$9,B45='Recepción'!$D$10,AND(B45="Contacto con líquido",'Recepción'!$E$25="Sí"),AND(B45="Golpe / Caída",'Recepción'!$E$24="Sí"),AND(B45="No enciende",'Recepción'!$E$27="No")),1,0)))</f>
        <v/>
      </c>
      <c r="P45" s="28">
        <f>IF(O45=1,COUNTIF($O$2:O45,1),0)</f>
        <v/>
      </c>
    </row>
    <row r="46">
      <c r="A46" s="18" t="inlineStr">
        <is>
          <t>B</t>
        </is>
      </c>
      <c r="B46" s="20" t="inlineStr">
        <is>
          <t>Contacto con líquido</t>
        </is>
      </c>
      <c r="C46" s="20" t="inlineStr">
        <is>
          <t>¿Usó arroz, secador u otro método casero?</t>
        </is>
      </c>
      <c r="D46" s="18" t="inlineStr">
        <is>
          <t>SN</t>
        </is>
      </c>
      <c r="E46" s="27" t="n">
        <v>1</v>
      </c>
      <c r="F46" s="27" t="n">
        <v>1</v>
      </c>
      <c r="G46" s="27" t="n">
        <v>1</v>
      </c>
      <c r="H46" s="27" t="n">
        <v>1</v>
      </c>
      <c r="I46" s="27" t="n">
        <v>1</v>
      </c>
      <c r="J46" s="27" t="n">
        <v>1</v>
      </c>
      <c r="K46" s="27" t="n">
        <v>1</v>
      </c>
      <c r="L46" s="27" t="n">
        <v>1</v>
      </c>
      <c r="M46" s="27" t="n">
        <v>1</v>
      </c>
      <c r="N46" s="28">
        <f>IF(C46="",0,IFERROR(INDEX($E46:$M46,MATCH('Recepción'!$D$5,$E$1:$M$1,0)),0))</f>
        <v/>
      </c>
      <c r="O46" s="28">
        <f>IF(N46=0,0,IF(A46="S",1,IF(OR(B46='Recepción'!$D$9,B46='Recepción'!$F$9,B46='Recepción'!$D$10,AND(B46="Contacto con líquido",'Recepción'!$E$25="Sí"),AND(B46="Golpe / Caída",'Recepción'!$E$24="Sí"),AND(B46="No enciende",'Recepción'!$E$27="No")),1,0)))</f>
        <v/>
      </c>
      <c r="P46" s="28">
        <f>IF(O46=1,COUNTIF($O$2:O46,1),0)</f>
        <v/>
      </c>
    </row>
    <row r="47">
      <c r="A47" s="18" t="inlineStr">
        <is>
          <t>B</t>
        </is>
      </c>
      <c r="B47" s="20" t="inlineStr">
        <is>
          <t>Contacto con líquido</t>
        </is>
      </c>
      <c r="C47" s="20" t="inlineStr">
        <is>
          <t>¿Tiene certificación de resistencia al agua (IP67/IP68)?</t>
        </is>
      </c>
      <c r="D47" s="18" t="inlineStr">
        <is>
          <t>SNS</t>
        </is>
      </c>
      <c r="E47" s="27" t="n">
        <v>1</v>
      </c>
      <c r="F47" s="27" t="n">
        <v>1</v>
      </c>
      <c r="G47" s="27" t="n">
        <v>1</v>
      </c>
      <c r="H47" s="27" t="n">
        <v>0</v>
      </c>
      <c r="I47" s="27" t="n">
        <v>0</v>
      </c>
      <c r="J47" s="27" t="n">
        <v>0</v>
      </c>
      <c r="K47" s="27" t="n">
        <v>0</v>
      </c>
      <c r="L47" s="27" t="n">
        <v>0</v>
      </c>
      <c r="M47" s="27" t="n">
        <v>0</v>
      </c>
      <c r="N47" s="28">
        <f>IF(C47="",0,IFERROR(INDEX($E47:$M47,MATCH('Recepción'!$D$5,$E$1:$M$1,0)),0))</f>
        <v/>
      </c>
      <c r="O47" s="28">
        <f>IF(N47=0,0,IF(A47="S",1,IF(OR(B47='Recepción'!$D$9,B47='Recepción'!$F$9,B47='Recepción'!$D$10,AND(B47="Contacto con líquido",'Recepción'!$E$25="Sí"),AND(B47="Golpe / Caída",'Recepción'!$E$24="Sí"),AND(B47="No enciende",'Recepción'!$E$27="No")),1,0)))</f>
        <v/>
      </c>
      <c r="P47" s="28">
        <f>IF(O47=1,COUNTIF($O$2:O47,1),0)</f>
        <v/>
      </c>
    </row>
    <row r="48">
      <c r="A48" s="18" t="inlineStr">
        <is>
          <t>B</t>
        </is>
      </c>
      <c r="B48" s="20" t="inlineStr">
        <is>
          <t>Golpe / Caída</t>
        </is>
      </c>
      <c r="C48" s="20" t="inlineStr">
        <is>
          <t>¿Cuándo ocurrió?</t>
        </is>
      </c>
      <c r="D48" s="18" t="inlineStr">
        <is>
          <t>CUANDO</t>
        </is>
      </c>
      <c r="E48" s="27" t="n">
        <v>1</v>
      </c>
      <c r="F48" s="27" t="n">
        <v>1</v>
      </c>
      <c r="G48" s="27" t="n">
        <v>1</v>
      </c>
      <c r="H48" s="27" t="n">
        <v>1</v>
      </c>
      <c r="I48" s="27" t="n">
        <v>1</v>
      </c>
      <c r="J48" s="27" t="n">
        <v>1</v>
      </c>
      <c r="K48" s="27" t="n">
        <v>1</v>
      </c>
      <c r="L48" s="27" t="n">
        <v>1</v>
      </c>
      <c r="M48" s="27" t="n">
        <v>1</v>
      </c>
      <c r="N48" s="28">
        <f>IF(C48="",0,IFERROR(INDEX($E48:$M48,MATCH('Recepción'!$D$5,$E$1:$M$1,0)),0))</f>
        <v/>
      </c>
      <c r="O48" s="28">
        <f>IF(N48=0,0,IF(A48="S",1,IF(OR(B48='Recepción'!$D$9,B48='Recepción'!$F$9,B48='Recepción'!$D$10,AND(B48="Contacto con líquido",'Recepción'!$E$25="Sí"),AND(B48="Golpe / Caída",'Recepción'!$E$24="Sí"),AND(B48="No enciende",'Recepción'!$E$27="No")),1,0)))</f>
        <v/>
      </c>
      <c r="P48" s="28">
        <f>IF(O48=1,COUNTIF($O$2:O48,1),0)</f>
        <v/>
      </c>
    </row>
    <row r="49">
      <c r="A49" s="18" t="inlineStr">
        <is>
          <t>B</t>
        </is>
      </c>
      <c r="B49" s="20" t="inlineStr">
        <is>
          <t>Golpe / Caída</t>
        </is>
      </c>
      <c r="C49" s="20" t="inlineStr">
        <is>
          <t>¿Continuó funcionando después del golpe?</t>
        </is>
      </c>
      <c r="D49" s="18" t="inlineStr">
        <is>
          <t>SN</t>
        </is>
      </c>
      <c r="E49" s="27" t="n">
        <v>1</v>
      </c>
      <c r="F49" s="27" t="n">
        <v>1</v>
      </c>
      <c r="G49" s="27" t="n">
        <v>1</v>
      </c>
      <c r="H49" s="27" t="n">
        <v>1</v>
      </c>
      <c r="I49" s="27" t="n">
        <v>1</v>
      </c>
      <c r="J49" s="27" t="n">
        <v>1</v>
      </c>
      <c r="K49" s="27" t="n">
        <v>1</v>
      </c>
      <c r="L49" s="27" t="n">
        <v>1</v>
      </c>
      <c r="M49" s="27" t="n">
        <v>1</v>
      </c>
      <c r="N49" s="28">
        <f>IF(C49="",0,IFERROR(INDEX($E49:$M49,MATCH('Recepción'!$D$5,$E$1:$M$1,0)),0))</f>
        <v/>
      </c>
      <c r="O49" s="28">
        <f>IF(N49=0,0,IF(A49="S",1,IF(OR(B49='Recepción'!$D$9,B49='Recepción'!$F$9,B49='Recepción'!$D$10,AND(B49="Contacto con líquido",'Recepción'!$E$25="Sí"),AND(B49="Golpe / Caída",'Recepción'!$E$24="Sí"),AND(B49="No enciende",'Recepción'!$E$27="No")),1,0)))</f>
        <v/>
      </c>
      <c r="P49" s="28">
        <f>IF(O49=1,COUNTIF($O$2:O49,1),0)</f>
        <v/>
      </c>
    </row>
    <row r="50">
      <c r="A50" s="18" t="inlineStr">
        <is>
          <t>B</t>
        </is>
      </c>
      <c r="B50" s="20" t="inlineStr">
        <is>
          <t>Golpe / Caída</t>
        </is>
      </c>
      <c r="C50" s="20" t="inlineStr">
        <is>
          <t>¿La falla apareció inmediatamente?</t>
        </is>
      </c>
      <c r="D50" s="18" t="inlineStr">
        <is>
          <t>SN</t>
        </is>
      </c>
      <c r="E50" s="27" t="n">
        <v>1</v>
      </c>
      <c r="F50" s="27" t="n">
        <v>1</v>
      </c>
      <c r="G50" s="27" t="n">
        <v>1</v>
      </c>
      <c r="H50" s="27" t="n">
        <v>1</v>
      </c>
      <c r="I50" s="27" t="n">
        <v>1</v>
      </c>
      <c r="J50" s="27" t="n">
        <v>1</v>
      </c>
      <c r="K50" s="27" t="n">
        <v>1</v>
      </c>
      <c r="L50" s="27" t="n">
        <v>1</v>
      </c>
      <c r="M50" s="27" t="n">
        <v>1</v>
      </c>
      <c r="N50" s="28">
        <f>IF(C50="",0,IFERROR(INDEX($E50:$M50,MATCH('Recepción'!$D$5,$E$1:$M$1,0)),0))</f>
        <v/>
      </c>
      <c r="O50" s="28">
        <f>IF(N50=0,0,IF(A50="S",1,IF(OR(B50='Recepción'!$D$9,B50='Recepción'!$F$9,B50='Recepción'!$D$10,AND(B50="Contacto con líquido",'Recepción'!$E$25="Sí"),AND(B50="Golpe / Caída",'Recepción'!$E$24="Sí"),AND(B50="No enciende",'Recepción'!$E$27="No")),1,0)))</f>
        <v/>
      </c>
      <c r="P50" s="28">
        <f>IF(O50=1,COUNTIF($O$2:O50,1),0)</f>
        <v/>
      </c>
    </row>
    <row r="51">
      <c r="A51" s="18" t="inlineStr">
        <is>
          <t>B</t>
        </is>
      </c>
      <c r="B51" s="20" t="inlineStr">
        <is>
          <t>Golpe / Caída</t>
        </is>
      </c>
      <c r="C51" s="20" t="inlineStr">
        <is>
          <t>¿Se dañó la pantalla o el táctil?</t>
        </is>
      </c>
      <c r="D51" s="18" t="inlineStr">
        <is>
          <t>SN</t>
        </is>
      </c>
      <c r="E51" s="27" t="n">
        <v>1</v>
      </c>
      <c r="F51" s="27" t="n">
        <v>1</v>
      </c>
      <c r="G51" s="27" t="n">
        <v>1</v>
      </c>
      <c r="H51" s="27" t="n">
        <v>1</v>
      </c>
      <c r="I51" s="27" t="n">
        <v>0</v>
      </c>
      <c r="J51" s="27" t="n">
        <v>1</v>
      </c>
      <c r="K51" s="27" t="n">
        <v>1</v>
      </c>
      <c r="L51" s="27" t="n">
        <v>0</v>
      </c>
      <c r="M51" s="27" t="n">
        <v>1</v>
      </c>
      <c r="N51" s="28">
        <f>IF(C51="",0,IFERROR(INDEX($E51:$M51,MATCH('Recepción'!$D$5,$E$1:$M$1,0)),0))</f>
        <v/>
      </c>
      <c r="O51" s="28">
        <f>IF(N51=0,0,IF(A51="S",1,IF(OR(B51='Recepción'!$D$9,B51='Recepción'!$F$9,B51='Recepción'!$D$10,AND(B51="Contacto con líquido",'Recepción'!$E$25="Sí"),AND(B51="Golpe / Caída",'Recepción'!$E$24="Sí"),AND(B51="No enciende",'Recepción'!$E$27="No")),1,0)))</f>
        <v/>
      </c>
      <c r="P51" s="28">
        <f>IF(O51=1,COUNTIF($O$2:O51,1),0)</f>
        <v/>
      </c>
    </row>
    <row r="52">
      <c r="A52" s="18" t="inlineStr">
        <is>
          <t>B</t>
        </is>
      </c>
      <c r="B52" s="20" t="inlineStr">
        <is>
          <t>Golpe / Caída</t>
        </is>
      </c>
      <c r="C52" s="20" t="inlineStr">
        <is>
          <t>¿Presentó problemas de imagen?</t>
        </is>
      </c>
      <c r="D52" s="18" t="inlineStr">
        <is>
          <t>SN</t>
        </is>
      </c>
      <c r="E52" s="27" t="n">
        <v>1</v>
      </c>
      <c r="F52" s="27" t="n">
        <v>1</v>
      </c>
      <c r="G52" s="27" t="n">
        <v>1</v>
      </c>
      <c r="H52" s="27" t="n">
        <v>1</v>
      </c>
      <c r="I52" s="27" t="n">
        <v>1</v>
      </c>
      <c r="J52" s="27" t="n">
        <v>1</v>
      </c>
      <c r="K52" s="27" t="n">
        <v>1</v>
      </c>
      <c r="L52" s="27" t="n">
        <v>1</v>
      </c>
      <c r="M52" s="27" t="n">
        <v>1</v>
      </c>
      <c r="N52" s="28">
        <f>IF(C52="",0,IFERROR(INDEX($E52:$M52,MATCH('Recepción'!$D$5,$E$1:$M$1,0)),0))</f>
        <v/>
      </c>
      <c r="O52" s="28">
        <f>IF(N52=0,0,IF(A52="S",1,IF(OR(B52='Recepción'!$D$9,B52='Recepción'!$F$9,B52='Recepción'!$D$10,AND(B52="Contacto con líquido",'Recepción'!$E$25="Sí"),AND(B52="Golpe / Caída",'Recepción'!$E$24="Sí"),AND(B52="No enciende",'Recepción'!$E$27="No")),1,0)))</f>
        <v/>
      </c>
      <c r="P52" s="28">
        <f>IF(O52=1,COUNTIF($O$2:O52,1),0)</f>
        <v/>
      </c>
    </row>
    <row r="53">
      <c r="A53" s="18" t="inlineStr">
        <is>
          <t>B</t>
        </is>
      </c>
      <c r="B53" s="20" t="inlineStr">
        <is>
          <t>Golpe / Caída</t>
        </is>
      </c>
      <c r="C53" s="20" t="inlineStr">
        <is>
          <t>¿Se deformó la carcasa o el chasis?</t>
        </is>
      </c>
      <c r="D53" s="18" t="inlineStr">
        <is>
          <t>SN</t>
        </is>
      </c>
      <c r="E53" s="27" t="n">
        <v>1</v>
      </c>
      <c r="F53" s="27" t="n">
        <v>1</v>
      </c>
      <c r="G53" s="27" t="n">
        <v>1</v>
      </c>
      <c r="H53" s="27" t="n">
        <v>1</v>
      </c>
      <c r="I53" s="27" t="n">
        <v>1</v>
      </c>
      <c r="J53" s="27" t="n">
        <v>1</v>
      </c>
      <c r="K53" s="27" t="n">
        <v>1</v>
      </c>
      <c r="L53" s="27" t="n">
        <v>1</v>
      </c>
      <c r="M53" s="27" t="n">
        <v>1</v>
      </c>
      <c r="N53" s="28">
        <f>IF(C53="",0,IFERROR(INDEX($E53:$M53,MATCH('Recepción'!$D$5,$E$1:$M$1,0)),0))</f>
        <v/>
      </c>
      <c r="O53" s="28">
        <f>IF(N53=0,0,IF(A53="S",1,IF(OR(B53='Recepción'!$D$9,B53='Recepción'!$F$9,B53='Recepción'!$D$10,AND(B53="Contacto con líquido",'Recepción'!$E$25="Sí"),AND(B53="Golpe / Caída",'Recepción'!$E$24="Sí"),AND(B53="No enciende",'Recepción'!$E$27="No")),1,0)))</f>
        <v/>
      </c>
      <c r="P53" s="28">
        <f>IF(O53=1,COUNTIF($O$2:O53,1),0)</f>
        <v/>
      </c>
    </row>
    <row r="54">
      <c r="A54" s="18" t="inlineStr">
        <is>
          <t>B</t>
        </is>
      </c>
      <c r="B54" s="20" t="inlineStr">
        <is>
          <t>Golpe / Caída</t>
        </is>
      </c>
      <c r="C54" s="20" t="inlineStr">
        <is>
          <t>¿Dejó de encender?</t>
        </is>
      </c>
      <c r="D54" s="18" t="inlineStr">
        <is>
          <t>SN</t>
        </is>
      </c>
      <c r="E54" s="27" t="n">
        <v>1</v>
      </c>
      <c r="F54" s="27" t="n">
        <v>1</v>
      </c>
      <c r="G54" s="27" t="n">
        <v>1</v>
      </c>
      <c r="H54" s="27" t="n">
        <v>1</v>
      </c>
      <c r="I54" s="27" t="n">
        <v>1</v>
      </c>
      <c r="J54" s="27" t="n">
        <v>1</v>
      </c>
      <c r="K54" s="27" t="n">
        <v>1</v>
      </c>
      <c r="L54" s="27" t="n">
        <v>1</v>
      </c>
      <c r="M54" s="27" t="n">
        <v>1</v>
      </c>
      <c r="N54" s="28">
        <f>IF(C54="",0,IFERROR(INDEX($E54:$M54,MATCH('Recepción'!$D$5,$E$1:$M$1,0)),0))</f>
        <v/>
      </c>
      <c r="O54" s="28">
        <f>IF(N54=0,0,IF(A54="S",1,IF(OR(B54='Recepción'!$D$9,B54='Recepción'!$F$9,B54='Recepción'!$D$10,AND(B54="Contacto con líquido",'Recepción'!$E$25="Sí"),AND(B54="Golpe / Caída",'Recepción'!$E$24="Sí"),AND(B54="No enciende",'Recepción'!$E$27="No")),1,0)))</f>
        <v/>
      </c>
      <c r="P54" s="28">
        <f>IF(O54=1,COUNTIF($O$2:O54,1),0)</f>
        <v/>
      </c>
    </row>
    <row r="55">
      <c r="A55" s="18" t="inlineStr">
        <is>
          <t>B</t>
        </is>
      </c>
      <c r="B55" s="20" t="inlineStr">
        <is>
          <t>Golpe / Caída</t>
        </is>
      </c>
      <c r="C55" s="20" t="inlineStr">
        <is>
          <t>¿Cayó con la pantalla abierta o cerrada?</t>
        </is>
      </c>
      <c r="D55" s="18" t="inlineStr">
        <is>
          <t>TXT</t>
        </is>
      </c>
      <c r="E55" s="27" t="n">
        <v>0</v>
      </c>
      <c r="F55" s="27" t="n">
        <v>0</v>
      </c>
      <c r="G55" s="27" t="n">
        <v>0</v>
      </c>
      <c r="H55" s="27" t="n">
        <v>1</v>
      </c>
      <c r="I55" s="27" t="n">
        <v>0</v>
      </c>
      <c r="J55" s="27" t="n">
        <v>1</v>
      </c>
      <c r="K55" s="27" t="n">
        <v>0</v>
      </c>
      <c r="L55" s="27" t="n">
        <v>0</v>
      </c>
      <c r="M55" s="27" t="n">
        <v>0</v>
      </c>
      <c r="N55" s="28">
        <f>IF(C55="",0,IFERROR(INDEX($E55:$M55,MATCH('Recepción'!$D$5,$E$1:$M$1,0)),0))</f>
        <v/>
      </c>
      <c r="O55" s="28">
        <f>IF(N55=0,0,IF(A55="S",1,IF(OR(B55='Recepción'!$D$9,B55='Recepción'!$F$9,B55='Recepción'!$D$10,AND(B55="Contacto con líquido",'Recepción'!$E$25="Sí"),AND(B55="Golpe / Caída",'Recepción'!$E$24="Sí"),AND(B55="No enciende",'Recepción'!$E$27="No")),1,0)))</f>
        <v/>
      </c>
      <c r="P55" s="28">
        <f>IF(O55=1,COUNTIF($O$2:O55,1),0)</f>
        <v/>
      </c>
    </row>
    <row r="56">
      <c r="A56" s="18" t="inlineStr">
        <is>
          <t>B</t>
        </is>
      </c>
      <c r="B56" s="20" t="inlineStr">
        <is>
          <t>Golpe / Caída</t>
        </is>
      </c>
      <c r="C56" s="20" t="inlineStr">
        <is>
          <t>¿Tenía un disco dentro de la consola al caer?</t>
        </is>
      </c>
      <c r="D56" s="18" t="inlineStr">
        <is>
          <t>SN</t>
        </is>
      </c>
      <c r="E56" s="27" t="n">
        <v>0</v>
      </c>
      <c r="F56" s="27" t="n">
        <v>0</v>
      </c>
      <c r="G56" s="27" t="n">
        <v>0</v>
      </c>
      <c r="H56" s="27" t="n">
        <v>0</v>
      </c>
      <c r="I56" s="27" t="n">
        <v>0</v>
      </c>
      <c r="J56" s="27" t="n">
        <v>0</v>
      </c>
      <c r="K56" s="27" t="n">
        <v>0</v>
      </c>
      <c r="L56" s="27" t="n">
        <v>1</v>
      </c>
      <c r="M56" s="27" t="n">
        <v>0</v>
      </c>
      <c r="N56" s="28">
        <f>IF(C56="",0,IFERROR(INDEX($E56:$M56,MATCH('Recepción'!$D$5,$E$1:$M$1,0)),0))</f>
        <v/>
      </c>
      <c r="O56" s="28">
        <f>IF(N56=0,0,IF(A56="S",1,IF(OR(B56='Recepción'!$D$9,B56='Recepción'!$F$9,B56='Recepción'!$D$10,AND(B56="Contacto con líquido",'Recepción'!$E$25="Sí"),AND(B56="Golpe / Caída",'Recepción'!$E$24="Sí"),AND(B56="No enciende",'Recepción'!$E$27="No")),1,0)))</f>
        <v/>
      </c>
      <c r="P56" s="28">
        <f>IF(O56=1,COUNTIF($O$2:O56,1),0)</f>
        <v/>
      </c>
    </row>
    <row r="57">
      <c r="A57" s="18" t="inlineStr">
        <is>
          <t>B</t>
        </is>
      </c>
      <c r="B57" s="20" t="inlineStr">
        <is>
          <t>Golpe / Caída</t>
        </is>
      </c>
      <c r="C57" s="20" t="inlineStr">
        <is>
          <t>Zona donde recibió el impacto</t>
        </is>
      </c>
      <c r="D57" s="18" t="inlineStr">
        <is>
          <t>TXT</t>
        </is>
      </c>
      <c r="E57" s="27" t="n">
        <v>1</v>
      </c>
      <c r="F57" s="27" t="n">
        <v>1</v>
      </c>
      <c r="G57" s="27" t="n">
        <v>1</v>
      </c>
      <c r="H57" s="27" t="n">
        <v>1</v>
      </c>
      <c r="I57" s="27" t="n">
        <v>1</v>
      </c>
      <c r="J57" s="27" t="n">
        <v>1</v>
      </c>
      <c r="K57" s="27" t="n">
        <v>1</v>
      </c>
      <c r="L57" s="27" t="n">
        <v>1</v>
      </c>
      <c r="M57" s="27" t="n">
        <v>1</v>
      </c>
      <c r="N57" s="28">
        <f>IF(C57="",0,IFERROR(INDEX($E57:$M57,MATCH('Recepción'!$D$5,$E$1:$M$1,0)),0))</f>
        <v/>
      </c>
      <c r="O57" s="28">
        <f>IF(N57=0,0,IF(A57="S",1,IF(OR(B57='Recepción'!$D$9,B57='Recepción'!$F$9,B57='Recepción'!$D$10,AND(B57="Contacto con líquido",'Recepción'!$E$25="Sí"),AND(B57="Golpe / Caída",'Recepción'!$E$24="Sí"),AND(B57="No enciende",'Recepción'!$E$27="No")),1,0)))</f>
        <v/>
      </c>
      <c r="P57" s="28">
        <f>IF(O57=1,COUNTIF($O$2:O57,1),0)</f>
        <v/>
      </c>
    </row>
    <row r="58">
      <c r="A58" s="18" t="inlineStr">
        <is>
          <t>B</t>
        </is>
      </c>
      <c r="B58" s="20" t="inlineStr">
        <is>
          <t>Pantalla / Imagen</t>
        </is>
      </c>
      <c r="C58" s="20" t="inlineStr">
        <is>
          <t>¿Pantalla quebrada?</t>
        </is>
      </c>
      <c r="D58" s="18" t="inlineStr">
        <is>
          <t>SN</t>
        </is>
      </c>
      <c r="E58" s="27" t="n">
        <v>1</v>
      </c>
      <c r="F58" s="27" t="n">
        <v>1</v>
      </c>
      <c r="G58" s="27" t="n">
        <v>1</v>
      </c>
      <c r="H58" s="27" t="n">
        <v>1</v>
      </c>
      <c r="I58" s="27" t="n">
        <v>0</v>
      </c>
      <c r="J58" s="27" t="n">
        <v>1</v>
      </c>
      <c r="K58" s="27" t="n">
        <v>1</v>
      </c>
      <c r="L58" s="27" t="n">
        <v>0</v>
      </c>
      <c r="M58" s="27" t="n">
        <v>1</v>
      </c>
      <c r="N58" s="28">
        <f>IF(C58="",0,IFERROR(INDEX($E58:$M58,MATCH('Recepción'!$D$5,$E$1:$M$1,0)),0))</f>
        <v/>
      </c>
      <c r="O58" s="28">
        <f>IF(N58=0,0,IF(A58="S",1,IF(OR(B58='Recepción'!$D$9,B58='Recepción'!$F$9,B58='Recepción'!$D$10,AND(B58="Contacto con líquido",'Recepción'!$E$25="Sí"),AND(B58="Golpe / Caída",'Recepción'!$E$24="Sí"),AND(B58="No enciende",'Recepción'!$E$27="No")),1,0)))</f>
        <v/>
      </c>
      <c r="P58" s="28">
        <f>IF(O58=1,COUNTIF($O$2:O58,1),0)</f>
        <v/>
      </c>
    </row>
    <row r="59">
      <c r="A59" s="18" t="inlineStr">
        <is>
          <t>B</t>
        </is>
      </c>
      <c r="B59" s="20" t="inlineStr">
        <is>
          <t>Pantalla / Imagen</t>
        </is>
      </c>
      <c r="C59" s="20" t="inlineStr">
        <is>
          <t>¿Sin imagen?</t>
        </is>
      </c>
      <c r="D59" s="18" t="inlineStr">
        <is>
          <t>SN</t>
        </is>
      </c>
      <c r="E59" s="27" t="n">
        <v>1</v>
      </c>
      <c r="F59" s="27" t="n">
        <v>1</v>
      </c>
      <c r="G59" s="27" t="n">
        <v>1</v>
      </c>
      <c r="H59" s="27" t="n">
        <v>1</v>
      </c>
      <c r="I59" s="27" t="n">
        <v>1</v>
      </c>
      <c r="J59" s="27" t="n">
        <v>1</v>
      </c>
      <c r="K59" s="27" t="n">
        <v>1</v>
      </c>
      <c r="L59" s="27" t="n">
        <v>1</v>
      </c>
      <c r="M59" s="27" t="n">
        <v>1</v>
      </c>
      <c r="N59" s="28">
        <f>IF(C59="",0,IFERROR(INDEX($E59:$M59,MATCH('Recepción'!$D$5,$E$1:$M$1,0)),0))</f>
        <v/>
      </c>
      <c r="O59" s="28">
        <f>IF(N59=0,0,IF(A59="S",1,IF(OR(B59='Recepción'!$D$9,B59='Recepción'!$F$9,B59='Recepción'!$D$10,AND(B59="Contacto con líquido",'Recepción'!$E$25="Sí"),AND(B59="Golpe / Caída",'Recepción'!$E$24="Sí"),AND(B59="No enciende",'Recepción'!$E$27="No")),1,0)))</f>
        <v/>
      </c>
      <c r="P59" s="28">
        <f>IF(O59=1,COUNTIF($O$2:O59,1),0)</f>
        <v/>
      </c>
    </row>
    <row r="60">
      <c r="A60" s="18" t="inlineStr">
        <is>
          <t>B</t>
        </is>
      </c>
      <c r="B60" s="20" t="inlineStr">
        <is>
          <t>Pantalla / Imagen</t>
        </is>
      </c>
      <c r="C60" s="20" t="inlineStr">
        <is>
          <t>¿Imagen intermitente?</t>
        </is>
      </c>
      <c r="D60" s="18" t="inlineStr">
        <is>
          <t>SN</t>
        </is>
      </c>
      <c r="E60" s="27" t="n">
        <v>1</v>
      </c>
      <c r="F60" s="27" t="n">
        <v>1</v>
      </c>
      <c r="G60" s="27" t="n">
        <v>1</v>
      </c>
      <c r="H60" s="27" t="n">
        <v>1</v>
      </c>
      <c r="I60" s="27" t="n">
        <v>1</v>
      </c>
      <c r="J60" s="27" t="n">
        <v>1</v>
      </c>
      <c r="K60" s="27" t="n">
        <v>1</v>
      </c>
      <c r="L60" s="27" t="n">
        <v>1</v>
      </c>
      <c r="M60" s="27" t="n">
        <v>1</v>
      </c>
      <c r="N60" s="28">
        <f>IF(C60="",0,IFERROR(INDEX($E60:$M60,MATCH('Recepción'!$D$5,$E$1:$M$1,0)),0))</f>
        <v/>
      </c>
      <c r="O60" s="28">
        <f>IF(N60=0,0,IF(A60="S",1,IF(OR(B60='Recepción'!$D$9,B60='Recepción'!$F$9,B60='Recepción'!$D$10,AND(B60="Contacto con líquido",'Recepción'!$E$25="Sí"),AND(B60="Golpe / Caída",'Recepción'!$E$24="Sí"),AND(B60="No enciende",'Recepción'!$E$27="No")),1,0)))</f>
        <v/>
      </c>
      <c r="P60" s="28">
        <f>IF(O60=1,COUNTIF($O$2:O60,1),0)</f>
        <v/>
      </c>
    </row>
    <row r="61">
      <c r="A61" s="18" t="inlineStr">
        <is>
          <t>B</t>
        </is>
      </c>
      <c r="B61" s="20" t="inlineStr">
        <is>
          <t>Pantalla / Imagen</t>
        </is>
      </c>
      <c r="C61" s="20" t="inlineStr">
        <is>
          <t>¿Líneas en la imagen?</t>
        </is>
      </c>
      <c r="D61" s="18" t="inlineStr">
        <is>
          <t>SN</t>
        </is>
      </c>
      <c r="E61" s="27" t="n">
        <v>1</v>
      </c>
      <c r="F61" s="27" t="n">
        <v>1</v>
      </c>
      <c r="G61" s="27" t="n">
        <v>1</v>
      </c>
      <c r="H61" s="27" t="n">
        <v>1</v>
      </c>
      <c r="I61" s="27" t="n">
        <v>1</v>
      </c>
      <c r="J61" s="27" t="n">
        <v>1</v>
      </c>
      <c r="K61" s="27" t="n">
        <v>1</v>
      </c>
      <c r="L61" s="27" t="n">
        <v>1</v>
      </c>
      <c r="M61" s="27" t="n">
        <v>1</v>
      </c>
      <c r="N61" s="28">
        <f>IF(C61="",0,IFERROR(INDEX($E61:$M61,MATCH('Recepción'!$D$5,$E$1:$M$1,0)),0))</f>
        <v/>
      </c>
      <c r="O61" s="28">
        <f>IF(N61=0,0,IF(A61="S",1,IF(OR(B61='Recepción'!$D$9,B61='Recepción'!$F$9,B61='Recepción'!$D$10,AND(B61="Contacto con líquido",'Recepción'!$E$25="Sí"),AND(B61="Golpe / Caída",'Recepción'!$E$24="Sí"),AND(B61="No enciende",'Recepción'!$E$27="No")),1,0)))</f>
        <v/>
      </c>
      <c r="P61" s="28">
        <f>IF(O61=1,COUNTIF($O$2:O61,1),0)</f>
        <v/>
      </c>
    </row>
    <row r="62">
      <c r="A62" s="18" t="inlineStr">
        <is>
          <t>B</t>
        </is>
      </c>
      <c r="B62" s="20" t="inlineStr">
        <is>
          <t>Pantalla / Imagen</t>
        </is>
      </c>
      <c r="C62" s="20" t="inlineStr">
        <is>
          <t>¿Manchas?</t>
        </is>
      </c>
      <c r="D62" s="18" t="inlineStr">
        <is>
          <t>SN</t>
        </is>
      </c>
      <c r="E62" s="27" t="n">
        <v>1</v>
      </c>
      <c r="F62" s="27" t="n">
        <v>1</v>
      </c>
      <c r="G62" s="27" t="n">
        <v>1</v>
      </c>
      <c r="H62" s="27" t="n">
        <v>1</v>
      </c>
      <c r="I62" s="27" t="n">
        <v>0</v>
      </c>
      <c r="J62" s="27" t="n">
        <v>1</v>
      </c>
      <c r="K62" s="27" t="n">
        <v>1</v>
      </c>
      <c r="L62" s="27" t="n">
        <v>0</v>
      </c>
      <c r="M62" s="27" t="n">
        <v>1</v>
      </c>
      <c r="N62" s="28">
        <f>IF(C62="",0,IFERROR(INDEX($E62:$M62,MATCH('Recepción'!$D$5,$E$1:$M$1,0)),0))</f>
        <v/>
      </c>
      <c r="O62" s="28">
        <f>IF(N62=0,0,IF(A62="S",1,IF(OR(B62='Recepción'!$D$9,B62='Recepción'!$F$9,B62='Recepción'!$D$10,AND(B62="Contacto con líquido",'Recepción'!$E$25="Sí"),AND(B62="Golpe / Caída",'Recepción'!$E$24="Sí"),AND(B62="No enciende",'Recepción'!$E$27="No")),1,0)))</f>
        <v/>
      </c>
      <c r="P62" s="28">
        <f>IF(O62=1,COUNTIF($O$2:O62,1),0)</f>
        <v/>
      </c>
    </row>
    <row r="63">
      <c r="A63" s="18" t="inlineStr">
        <is>
          <t>B</t>
        </is>
      </c>
      <c r="B63" s="20" t="inlineStr">
        <is>
          <t>Pantalla / Imagen</t>
        </is>
      </c>
      <c r="C63" s="20" t="inlineStr">
        <is>
          <t>¿Parpadeo?</t>
        </is>
      </c>
      <c r="D63" s="18" t="inlineStr">
        <is>
          <t>SN</t>
        </is>
      </c>
      <c r="E63" s="27" t="n">
        <v>1</v>
      </c>
      <c r="F63" s="27" t="n">
        <v>1</v>
      </c>
      <c r="G63" s="27" t="n">
        <v>1</v>
      </c>
      <c r="H63" s="27" t="n">
        <v>1</v>
      </c>
      <c r="I63" s="27" t="n">
        <v>1</v>
      </c>
      <c r="J63" s="27" t="n">
        <v>1</v>
      </c>
      <c r="K63" s="27" t="n">
        <v>1</v>
      </c>
      <c r="L63" s="27" t="n">
        <v>1</v>
      </c>
      <c r="M63" s="27" t="n">
        <v>1</v>
      </c>
      <c r="N63" s="28">
        <f>IF(C63="",0,IFERROR(INDEX($E63:$M63,MATCH('Recepción'!$D$5,$E$1:$M$1,0)),0))</f>
        <v/>
      </c>
      <c r="O63" s="28">
        <f>IF(N63=0,0,IF(A63="S",1,IF(OR(B63='Recepción'!$D$9,B63='Recepción'!$F$9,B63='Recepción'!$D$10,AND(B63="Contacto con líquido",'Recepción'!$E$25="Sí"),AND(B63="Golpe / Caída",'Recepción'!$E$24="Sí"),AND(B63="No enciende",'Recepción'!$E$27="No")),1,0)))</f>
        <v/>
      </c>
      <c r="P63" s="28">
        <f>IF(O63=1,COUNTIF($O$2:O63,1),0)</f>
        <v/>
      </c>
    </row>
    <row r="64">
      <c r="A64" s="18" t="inlineStr">
        <is>
          <t>B</t>
        </is>
      </c>
      <c r="B64" s="20" t="inlineStr">
        <is>
          <t>Pantalla / Imagen</t>
        </is>
      </c>
      <c r="C64" s="20" t="inlineStr">
        <is>
          <t>¿Sombra?</t>
        </is>
      </c>
      <c r="D64" s="18" t="inlineStr">
        <is>
          <t>SN</t>
        </is>
      </c>
      <c r="E64" s="27" t="n">
        <v>1</v>
      </c>
      <c r="F64" s="27" t="n">
        <v>1</v>
      </c>
      <c r="G64" s="27" t="n">
        <v>1</v>
      </c>
      <c r="H64" s="27" t="n">
        <v>1</v>
      </c>
      <c r="I64" s="27" t="n">
        <v>0</v>
      </c>
      <c r="J64" s="27" t="n">
        <v>1</v>
      </c>
      <c r="K64" s="27" t="n">
        <v>1</v>
      </c>
      <c r="L64" s="27" t="n">
        <v>0</v>
      </c>
      <c r="M64" s="27" t="n">
        <v>1</v>
      </c>
      <c r="N64" s="28">
        <f>IF(C64="",0,IFERROR(INDEX($E64:$M64,MATCH('Recepción'!$D$5,$E$1:$M$1,0)),0))</f>
        <v/>
      </c>
      <c r="O64" s="28">
        <f>IF(N64=0,0,IF(A64="S",1,IF(OR(B64='Recepción'!$D$9,B64='Recepción'!$F$9,B64='Recepción'!$D$10,AND(B64="Contacto con líquido",'Recepción'!$E$25="Sí"),AND(B64="Golpe / Caída",'Recepción'!$E$24="Sí"),AND(B64="No enciende",'Recepción'!$E$27="No")),1,0)))</f>
        <v/>
      </c>
      <c r="P64" s="28">
        <f>IF(O64=1,COUNTIF($O$2:O64,1),0)</f>
        <v/>
      </c>
    </row>
    <row r="65">
      <c r="A65" s="18" t="inlineStr">
        <is>
          <t>B</t>
        </is>
      </c>
      <c r="B65" s="20" t="inlineStr">
        <is>
          <t>Pantalla / Imagen</t>
        </is>
      </c>
      <c r="C65" s="20" t="inlineStr">
        <is>
          <t>¿Imagen distorsionada?</t>
        </is>
      </c>
      <c r="D65" s="18" t="inlineStr">
        <is>
          <t>SN</t>
        </is>
      </c>
      <c r="E65" s="27" t="n">
        <v>1</v>
      </c>
      <c r="F65" s="27" t="n">
        <v>1</v>
      </c>
      <c r="G65" s="27" t="n">
        <v>1</v>
      </c>
      <c r="H65" s="27" t="n">
        <v>1</v>
      </c>
      <c r="I65" s="27" t="n">
        <v>1</v>
      </c>
      <c r="J65" s="27" t="n">
        <v>1</v>
      </c>
      <c r="K65" s="27" t="n">
        <v>1</v>
      </c>
      <c r="L65" s="27" t="n">
        <v>1</v>
      </c>
      <c r="M65" s="27" t="n">
        <v>1</v>
      </c>
      <c r="N65" s="28">
        <f>IF(C65="",0,IFERROR(INDEX($E65:$M65,MATCH('Recepción'!$D$5,$E$1:$M$1,0)),0))</f>
        <v/>
      </c>
      <c r="O65" s="28">
        <f>IF(N65=0,0,IF(A65="S",1,IF(OR(B65='Recepción'!$D$9,B65='Recepción'!$F$9,B65='Recepción'!$D$10,AND(B65="Contacto con líquido",'Recepción'!$E$25="Sí"),AND(B65="Golpe / Caída",'Recepción'!$E$24="Sí"),AND(B65="No enciende",'Recepción'!$E$27="No")),1,0)))</f>
        <v/>
      </c>
      <c r="P65" s="28">
        <f>IF(O65=1,COUNTIF($O$2:O65,1),0)</f>
        <v/>
      </c>
    </row>
    <row r="66">
      <c r="A66" s="18" t="inlineStr">
        <is>
          <t>B</t>
        </is>
      </c>
      <c r="B66" s="20" t="inlineStr">
        <is>
          <t>Pantalla / Imagen</t>
        </is>
      </c>
      <c r="C66" s="20" t="inlineStr">
        <is>
          <t>¿El touch no funciona?</t>
        </is>
      </c>
      <c r="D66" s="18" t="inlineStr">
        <is>
          <t>SN</t>
        </is>
      </c>
      <c r="E66" s="27" t="n">
        <v>1</v>
      </c>
      <c r="F66" s="27" t="n">
        <v>1</v>
      </c>
      <c r="G66" s="27" t="n">
        <v>1</v>
      </c>
      <c r="H66" s="27" t="n">
        <v>0</v>
      </c>
      <c r="I66" s="27" t="n">
        <v>0</v>
      </c>
      <c r="J66" s="27" t="n">
        <v>0</v>
      </c>
      <c r="K66" s="27" t="n">
        <v>0</v>
      </c>
      <c r="L66" s="27" t="n">
        <v>0</v>
      </c>
      <c r="M66" s="27" t="n">
        <v>1</v>
      </c>
      <c r="N66" s="28">
        <f>IF(C66="",0,IFERROR(INDEX($E66:$M66,MATCH('Recepción'!$D$5,$E$1:$M$1,0)),0))</f>
        <v/>
      </c>
      <c r="O66" s="28">
        <f>IF(N66=0,0,IF(A66="S",1,IF(OR(B66='Recepción'!$D$9,B66='Recepción'!$F$9,B66='Recepción'!$D$10,AND(B66="Contacto con líquido",'Recepción'!$E$25="Sí"),AND(B66="Golpe / Caída",'Recepción'!$E$24="Sí"),AND(B66="No enciende",'Recepción'!$E$27="No")),1,0)))</f>
        <v/>
      </c>
      <c r="P66" s="28">
        <f>IF(O66=1,COUNTIF($O$2:O66,1),0)</f>
        <v/>
      </c>
    </row>
    <row r="67">
      <c r="A67" s="18" t="inlineStr">
        <is>
          <t>B</t>
        </is>
      </c>
      <c r="B67" s="20" t="inlineStr">
        <is>
          <t>Pantalla / Imagen</t>
        </is>
      </c>
      <c r="C67" s="20" t="inlineStr">
        <is>
          <t>¿La imagen desaparece al mover la pantalla?</t>
        </is>
      </c>
      <c r="D67" s="18" t="inlineStr">
        <is>
          <t>SN</t>
        </is>
      </c>
      <c r="E67" s="27" t="n">
        <v>0</v>
      </c>
      <c r="F67" s="27" t="n">
        <v>0</v>
      </c>
      <c r="G67" s="27" t="n">
        <v>0</v>
      </c>
      <c r="H67" s="27" t="n">
        <v>1</v>
      </c>
      <c r="I67" s="27" t="n">
        <v>0</v>
      </c>
      <c r="J67" s="27" t="n">
        <v>1</v>
      </c>
      <c r="K67" s="27" t="n">
        <v>0</v>
      </c>
      <c r="L67" s="27" t="n">
        <v>0</v>
      </c>
      <c r="M67" s="27" t="n">
        <v>0</v>
      </c>
      <c r="N67" s="28">
        <f>IF(C67="",0,IFERROR(INDEX($E67:$M67,MATCH('Recepción'!$D$5,$E$1:$M$1,0)),0))</f>
        <v/>
      </c>
      <c r="O67" s="28">
        <f>IF(N67=0,0,IF(A67="S",1,IF(OR(B67='Recepción'!$D$9,B67='Recepción'!$F$9,B67='Recepción'!$D$10,AND(B67="Contacto con líquido",'Recepción'!$E$25="Sí"),AND(B67="Golpe / Caída",'Recepción'!$E$24="Sí"),AND(B67="No enciende",'Recepción'!$E$27="No")),1,0)))</f>
        <v/>
      </c>
      <c r="P67" s="28">
        <f>IF(O67=1,COUNTIF($O$2:O67,1),0)</f>
        <v/>
      </c>
    </row>
    <row r="68">
      <c r="A68" s="18" t="inlineStr">
        <is>
          <t>B</t>
        </is>
      </c>
      <c r="B68" s="20" t="inlineStr">
        <is>
          <t>Pantalla / Imagen</t>
        </is>
      </c>
      <c r="C68" s="20" t="inlineStr">
        <is>
          <t>¿Se ve imagen en un monitor o TV externo?</t>
        </is>
      </c>
      <c r="D68" s="18" t="inlineStr">
        <is>
          <t>SN</t>
        </is>
      </c>
      <c r="E68" s="27" t="n">
        <v>0</v>
      </c>
      <c r="F68" s="27" t="n">
        <v>0</v>
      </c>
      <c r="G68" s="27" t="n">
        <v>0</v>
      </c>
      <c r="H68" s="27" t="n">
        <v>1</v>
      </c>
      <c r="I68" s="27" t="n">
        <v>0</v>
      </c>
      <c r="J68" s="27" t="n">
        <v>1</v>
      </c>
      <c r="K68" s="27" t="n">
        <v>1</v>
      </c>
      <c r="L68" s="27" t="n">
        <v>0</v>
      </c>
      <c r="M68" s="27" t="n">
        <v>0</v>
      </c>
      <c r="N68" s="28">
        <f>IF(C68="",0,IFERROR(INDEX($E68:$M68,MATCH('Recepción'!$D$5,$E$1:$M$1,0)),0))</f>
        <v/>
      </c>
      <c r="O68" s="28">
        <f>IF(N68=0,0,IF(A68="S",1,IF(OR(B68='Recepción'!$D$9,B68='Recepción'!$F$9,B68='Recepción'!$D$10,AND(B68="Contacto con líquido",'Recepción'!$E$25="Sí"),AND(B68="Golpe / Caída",'Recepción'!$E$24="Sí"),AND(B68="No enciende",'Recepción'!$E$27="No")),1,0)))</f>
        <v/>
      </c>
      <c r="P68" s="28">
        <f>IF(O68=1,COUNTIF($O$2:O68,1),0)</f>
        <v/>
      </c>
    </row>
    <row r="69">
      <c r="A69" s="18" t="inlineStr">
        <is>
          <t>B</t>
        </is>
      </c>
      <c r="B69" s="20" t="inlineStr">
        <is>
          <t>Pantalla / Imagen</t>
        </is>
      </c>
      <c r="C69" s="20" t="inlineStr">
        <is>
          <t>¿El monitor enciende pero dice «sin señal»?</t>
        </is>
      </c>
      <c r="D69" s="18" t="inlineStr">
        <is>
          <t>SN</t>
        </is>
      </c>
      <c r="E69" s="27" t="n">
        <v>0</v>
      </c>
      <c r="F69" s="27" t="n">
        <v>0</v>
      </c>
      <c r="G69" s="27" t="n">
        <v>0</v>
      </c>
      <c r="H69" s="27" t="n">
        <v>0</v>
      </c>
      <c r="I69" s="27" t="n">
        <v>1</v>
      </c>
      <c r="J69" s="27" t="n">
        <v>0</v>
      </c>
      <c r="K69" s="27" t="n">
        <v>0</v>
      </c>
      <c r="L69" s="27" t="n">
        <v>0</v>
      </c>
      <c r="M69" s="27" t="n">
        <v>0</v>
      </c>
      <c r="N69" s="28">
        <f>IF(C69="",0,IFERROR(INDEX($E69:$M69,MATCH('Recepción'!$D$5,$E$1:$M$1,0)),0))</f>
        <v/>
      </c>
      <c r="O69" s="28">
        <f>IF(N69=0,0,IF(A69="S",1,IF(OR(B69='Recepción'!$D$9,B69='Recepción'!$F$9,B69='Recepción'!$D$10,AND(B69="Contacto con líquido",'Recepción'!$E$25="Sí"),AND(B69="Golpe / Caída",'Recepción'!$E$24="Sí"),AND(B69="No enciende",'Recepción'!$E$27="No")),1,0)))</f>
        <v/>
      </c>
      <c r="P69" s="28">
        <f>IF(O69=1,COUNTIF($O$2:O69,1),0)</f>
        <v/>
      </c>
    </row>
    <row r="70">
      <c r="A70" s="18" t="inlineStr">
        <is>
          <t>B</t>
        </is>
      </c>
      <c r="B70" s="20" t="inlineStr">
        <is>
          <t>Pantalla / Imagen</t>
        </is>
      </c>
      <c r="C70" s="20" t="inlineStr">
        <is>
          <t>¿Ha probado con otro monitor y otro cable?</t>
        </is>
      </c>
      <c r="D70" s="18" t="inlineStr">
        <is>
          <t>SN</t>
        </is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1</v>
      </c>
      <c r="J70" s="27" t="n">
        <v>0</v>
      </c>
      <c r="K70" s="27" t="n">
        <v>0</v>
      </c>
      <c r="L70" s="27" t="n">
        <v>0</v>
      </c>
      <c r="M70" s="27" t="n">
        <v>0</v>
      </c>
      <c r="N70" s="28">
        <f>IF(C70="",0,IFERROR(INDEX($E70:$M70,MATCH('Recepción'!$D$5,$E$1:$M$1,0)),0))</f>
        <v/>
      </c>
      <c r="O70" s="28">
        <f>IF(N70=0,0,IF(A70="S",1,IF(OR(B70='Recepción'!$D$9,B70='Recepción'!$F$9,B70='Recepción'!$D$10,AND(B70="Contacto con líquido",'Recepción'!$E$25="Sí"),AND(B70="Golpe / Caída",'Recepción'!$E$24="Sí"),AND(B70="No enciende",'Recepción'!$E$27="No")),1,0)))</f>
        <v/>
      </c>
      <c r="P70" s="28">
        <f>IF(O70=1,COUNTIF($O$2:O70,1),0)</f>
        <v/>
      </c>
    </row>
    <row r="71">
      <c r="A71" s="18" t="inlineStr">
        <is>
          <t>B</t>
        </is>
      </c>
      <c r="B71" s="20" t="inlineStr">
        <is>
          <t>Pantalla / Imagen</t>
        </is>
      </c>
      <c r="C71" s="20" t="inlineStr">
        <is>
          <t>¿Ha probado otro cable HDMI y otro puerto del televisor?</t>
        </is>
      </c>
      <c r="D71" s="18" t="inlineStr">
        <is>
          <t>SN</t>
        </is>
      </c>
      <c r="E71" s="27" t="n">
        <v>0</v>
      </c>
      <c r="F71" s="27" t="n">
        <v>0</v>
      </c>
      <c r="G71" s="27" t="n">
        <v>0</v>
      </c>
      <c r="H71" s="27" t="n">
        <v>0</v>
      </c>
      <c r="I71" s="27" t="n">
        <v>0</v>
      </c>
      <c r="J71" s="27" t="n">
        <v>0</v>
      </c>
      <c r="K71" s="27" t="n">
        <v>0</v>
      </c>
      <c r="L71" s="27" t="n">
        <v>1</v>
      </c>
      <c r="M71" s="27" t="n">
        <v>0</v>
      </c>
      <c r="N71" s="28">
        <f>IF(C71="",0,IFERROR(INDEX($E71:$M71,MATCH('Recepción'!$D$5,$E$1:$M$1,0)),0))</f>
        <v/>
      </c>
      <c r="O71" s="28">
        <f>IF(N71=0,0,IF(A71="S",1,IF(OR(B71='Recepción'!$D$9,B71='Recepción'!$F$9,B71='Recepción'!$D$10,AND(B71="Contacto con líquido",'Recepción'!$E$25="Sí"),AND(B71="Golpe / Caída",'Recepción'!$E$24="Sí"),AND(B71="No enciende",'Recepción'!$E$27="No")),1,0)))</f>
        <v/>
      </c>
      <c r="P71" s="28">
        <f>IF(O71=1,COUNTIF($O$2:O71,1),0)</f>
        <v/>
      </c>
    </row>
    <row r="72">
      <c r="A72" s="18" t="inlineStr">
        <is>
          <t>B</t>
        </is>
      </c>
      <c r="B72" s="20" t="inlineStr">
        <is>
          <t>Pantalla / Imagen</t>
        </is>
      </c>
      <c r="C72" s="20" t="inlineStr">
        <is>
          <t>¿Sale imagen pero sin sonido?</t>
        </is>
      </c>
      <c r="D72" s="18" t="inlineStr">
        <is>
          <t>SN</t>
        </is>
      </c>
      <c r="E72" s="27" t="n">
        <v>0</v>
      </c>
      <c r="F72" s="27" t="n">
        <v>0</v>
      </c>
      <c r="G72" s="27" t="n">
        <v>0</v>
      </c>
      <c r="H72" s="27" t="n">
        <v>0</v>
      </c>
      <c r="I72" s="27" t="n">
        <v>0</v>
      </c>
      <c r="J72" s="27" t="n">
        <v>0</v>
      </c>
      <c r="K72" s="27" t="n">
        <v>0</v>
      </c>
      <c r="L72" s="27" t="n">
        <v>1</v>
      </c>
      <c r="M72" s="27" t="n">
        <v>0</v>
      </c>
      <c r="N72" s="28">
        <f>IF(C72="",0,IFERROR(INDEX($E72:$M72,MATCH('Recepción'!$D$5,$E$1:$M$1,0)),0))</f>
        <v/>
      </c>
      <c r="O72" s="28">
        <f>IF(N72=0,0,IF(A72="S",1,IF(OR(B72='Recepción'!$D$9,B72='Recepción'!$F$9,B72='Recepción'!$D$10,AND(B72="Contacto con líquido",'Recepción'!$E$25="Sí"),AND(B72="Golpe / Caída",'Recepción'!$E$24="Sí"),AND(B72="No enciende",'Recepción'!$E$27="No")),1,0)))</f>
        <v/>
      </c>
      <c r="P72" s="28">
        <f>IF(O72=1,COUNTIF($O$2:O72,1),0)</f>
        <v/>
      </c>
    </row>
    <row r="73">
      <c r="A73" s="18" t="inlineStr">
        <is>
          <t>B</t>
        </is>
      </c>
      <c r="B73" s="20" t="inlineStr">
        <is>
          <t>Pantalla / Imagen</t>
        </is>
      </c>
      <c r="C73" s="20" t="inlineStr">
        <is>
          <t>¿La luz de la consola enciende pero no hay señal en pantalla?</t>
        </is>
      </c>
      <c r="D73" s="18" t="inlineStr">
        <is>
          <t>SN</t>
        </is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0</v>
      </c>
      <c r="J73" s="27" t="n">
        <v>0</v>
      </c>
      <c r="K73" s="27" t="n">
        <v>0</v>
      </c>
      <c r="L73" s="27" t="n">
        <v>1</v>
      </c>
      <c r="M73" s="27" t="n">
        <v>0</v>
      </c>
      <c r="N73" s="28">
        <f>IF(C73="",0,IFERROR(INDEX($E73:$M73,MATCH('Recepción'!$D$5,$E$1:$M$1,0)),0))</f>
        <v/>
      </c>
      <c r="O73" s="28">
        <f>IF(N73=0,0,IF(A73="S",1,IF(OR(B73='Recepción'!$D$9,B73='Recepción'!$F$9,B73='Recepción'!$D$10,AND(B73="Contacto con líquido",'Recepción'!$E$25="Sí"),AND(B73="Golpe / Caída",'Recepción'!$E$24="Sí"),AND(B73="No enciende",'Recepción'!$E$27="No")),1,0)))</f>
        <v/>
      </c>
      <c r="P73" s="28">
        <f>IF(O73=1,COUNTIF($O$2:O73,1),0)</f>
        <v/>
      </c>
    </row>
    <row r="74">
      <c r="A74" s="18" t="inlineStr">
        <is>
          <t>B</t>
        </is>
      </c>
      <c r="B74" s="20" t="inlineStr">
        <is>
          <t>Pantalla / Imagen</t>
        </is>
      </c>
      <c r="C74" s="20" t="inlineStr">
        <is>
          <t>¿Ocurrió después de un golpe o caída?</t>
        </is>
      </c>
      <c r="D74" s="18" t="inlineStr">
        <is>
          <t>SN</t>
        </is>
      </c>
      <c r="E74" s="27" t="n">
        <v>1</v>
      </c>
      <c r="F74" s="27" t="n">
        <v>1</v>
      </c>
      <c r="G74" s="27" t="n">
        <v>1</v>
      </c>
      <c r="H74" s="27" t="n">
        <v>1</v>
      </c>
      <c r="I74" s="27" t="n">
        <v>1</v>
      </c>
      <c r="J74" s="27" t="n">
        <v>1</v>
      </c>
      <c r="K74" s="27" t="n">
        <v>1</v>
      </c>
      <c r="L74" s="27" t="n">
        <v>1</v>
      </c>
      <c r="M74" s="27" t="n">
        <v>1</v>
      </c>
      <c r="N74" s="28">
        <f>IF(C74="",0,IFERROR(INDEX($E74:$M74,MATCH('Recepción'!$D$5,$E$1:$M$1,0)),0))</f>
        <v/>
      </c>
      <c r="O74" s="28">
        <f>IF(N74=0,0,IF(A74="S",1,IF(OR(B74='Recepción'!$D$9,B74='Recepción'!$F$9,B74='Recepción'!$D$10,AND(B74="Contacto con líquido",'Recepción'!$E$25="Sí"),AND(B74="Golpe / Caída",'Recepción'!$E$24="Sí"),AND(B74="No enciende",'Recepción'!$E$27="No")),1,0)))</f>
        <v/>
      </c>
      <c r="P74" s="28">
        <f>IF(O74=1,COUNTIF($O$2:O74,1),0)</f>
        <v/>
      </c>
    </row>
    <row r="75">
      <c r="A75" s="18" t="inlineStr">
        <is>
          <t>B</t>
        </is>
      </c>
      <c r="B75" s="20" t="inlineStr">
        <is>
          <t>Lentitud / Sistema</t>
        </is>
      </c>
      <c r="C75" s="20" t="inlineStr">
        <is>
          <t>¿Cuándo comenzó la lentitud o el problema?</t>
        </is>
      </c>
      <c r="D75" s="18" t="inlineStr">
        <is>
          <t>CUANDO</t>
        </is>
      </c>
      <c r="E75" s="27" t="n">
        <v>1</v>
      </c>
      <c r="F75" s="27" t="n">
        <v>1</v>
      </c>
      <c r="G75" s="27" t="n">
        <v>1</v>
      </c>
      <c r="H75" s="27" t="n">
        <v>1</v>
      </c>
      <c r="I75" s="27" t="n">
        <v>1</v>
      </c>
      <c r="J75" s="27" t="n">
        <v>1</v>
      </c>
      <c r="K75" s="27" t="n">
        <v>1</v>
      </c>
      <c r="L75" s="27" t="n">
        <v>1</v>
      </c>
      <c r="M75" s="27" t="n">
        <v>1</v>
      </c>
      <c r="N75" s="28">
        <f>IF(C75="",0,IFERROR(INDEX($E75:$M75,MATCH('Recepción'!$D$5,$E$1:$M$1,0)),0))</f>
        <v/>
      </c>
      <c r="O75" s="28">
        <f>IF(N75=0,0,IF(A75="S",1,IF(OR(B75='Recepción'!$D$9,B75='Recepción'!$F$9,B75='Recepción'!$D$10,AND(B75="Contacto con líquido",'Recepción'!$E$25="Sí"),AND(B75="Golpe / Caída",'Recepción'!$E$24="Sí"),AND(B75="No enciende",'Recepción'!$E$27="No")),1,0)))</f>
        <v/>
      </c>
      <c r="P75" s="28">
        <f>IF(O75=1,COUNTIF($O$2:O75,1),0)</f>
        <v/>
      </c>
    </row>
    <row r="76">
      <c r="A76" s="18" t="inlineStr">
        <is>
          <t>B</t>
        </is>
      </c>
      <c r="B76" s="20" t="inlineStr">
        <is>
          <t>Lentitud / Sistema</t>
        </is>
      </c>
      <c r="C76" s="20" t="inlineStr">
        <is>
          <t>¿Tarda demasiado en encender?</t>
        </is>
      </c>
      <c r="D76" s="18" t="inlineStr">
        <is>
          <t>SN</t>
        </is>
      </c>
      <c r="E76" s="27" t="n">
        <v>1</v>
      </c>
      <c r="F76" s="27" t="n">
        <v>1</v>
      </c>
      <c r="G76" s="27" t="n">
        <v>0</v>
      </c>
      <c r="H76" s="27" t="n">
        <v>1</v>
      </c>
      <c r="I76" s="27" t="n">
        <v>1</v>
      </c>
      <c r="J76" s="27" t="n">
        <v>1</v>
      </c>
      <c r="K76" s="27" t="n">
        <v>1</v>
      </c>
      <c r="L76" s="27" t="n">
        <v>0</v>
      </c>
      <c r="M76" s="27" t="n">
        <v>0</v>
      </c>
      <c r="N76" s="28">
        <f>IF(C76="",0,IFERROR(INDEX($E76:$M76,MATCH('Recepción'!$D$5,$E$1:$M$1,0)),0))</f>
        <v/>
      </c>
      <c r="O76" s="28">
        <f>IF(N76=0,0,IF(A76="S",1,IF(OR(B76='Recepción'!$D$9,B76='Recepción'!$F$9,B76='Recepción'!$D$10,AND(B76="Contacto con líquido",'Recepción'!$E$25="Sí"),AND(B76="Golpe / Caída",'Recepción'!$E$24="Sí"),AND(B76="No enciende",'Recepción'!$E$27="No")),1,0)))</f>
        <v/>
      </c>
      <c r="P76" s="28">
        <f>IF(O76=1,COUNTIF($O$2:O76,1),0)</f>
        <v/>
      </c>
    </row>
    <row r="77">
      <c r="A77" s="18" t="inlineStr">
        <is>
          <t>B</t>
        </is>
      </c>
      <c r="B77" s="20" t="inlineStr">
        <is>
          <t>Lentitud / Sistema</t>
        </is>
      </c>
      <c r="C77" s="20" t="inlineStr">
        <is>
          <t>¿Se congela?</t>
        </is>
      </c>
      <c r="D77" s="18" t="inlineStr">
        <is>
          <t>SN</t>
        </is>
      </c>
      <c r="E77" s="27" t="n">
        <v>1</v>
      </c>
      <c r="F77" s="27" t="n">
        <v>1</v>
      </c>
      <c r="G77" s="27" t="n">
        <v>1</v>
      </c>
      <c r="H77" s="27" t="n">
        <v>1</v>
      </c>
      <c r="I77" s="27" t="n">
        <v>1</v>
      </c>
      <c r="J77" s="27" t="n">
        <v>1</v>
      </c>
      <c r="K77" s="27" t="n">
        <v>1</v>
      </c>
      <c r="L77" s="27" t="n">
        <v>1</v>
      </c>
      <c r="M77" s="27" t="n">
        <v>1</v>
      </c>
      <c r="N77" s="28">
        <f>IF(C77="",0,IFERROR(INDEX($E77:$M77,MATCH('Recepción'!$D$5,$E$1:$M$1,0)),0))</f>
        <v/>
      </c>
      <c r="O77" s="28">
        <f>IF(N77=0,0,IF(A77="S",1,IF(OR(B77='Recepción'!$D$9,B77='Recepción'!$F$9,B77='Recepción'!$D$10,AND(B77="Contacto con líquido",'Recepción'!$E$25="Sí"),AND(B77="Golpe / Caída",'Recepción'!$E$24="Sí"),AND(B77="No enciende",'Recepción'!$E$27="No")),1,0)))</f>
        <v/>
      </c>
      <c r="P77" s="28">
        <f>IF(O77=1,COUNTIF($O$2:O77,1),0)</f>
        <v/>
      </c>
    </row>
    <row r="78">
      <c r="A78" s="18" t="inlineStr">
        <is>
          <t>B</t>
        </is>
      </c>
      <c r="B78" s="20" t="inlineStr">
        <is>
          <t>Lentitud / Sistema</t>
        </is>
      </c>
      <c r="C78" s="20" t="inlineStr">
        <is>
          <t>¿Se reinicia solo?</t>
        </is>
      </c>
      <c r="D78" s="18" t="inlineStr">
        <is>
          <t>SN</t>
        </is>
      </c>
      <c r="E78" s="27" t="n">
        <v>1</v>
      </c>
      <c r="F78" s="27" t="n">
        <v>1</v>
      </c>
      <c r="G78" s="27" t="n">
        <v>1</v>
      </c>
      <c r="H78" s="27" t="n">
        <v>1</v>
      </c>
      <c r="I78" s="27" t="n">
        <v>1</v>
      </c>
      <c r="J78" s="27" t="n">
        <v>1</v>
      </c>
      <c r="K78" s="27" t="n">
        <v>1</v>
      </c>
      <c r="L78" s="27" t="n">
        <v>1</v>
      </c>
      <c r="M78" s="27" t="n">
        <v>1</v>
      </c>
      <c r="N78" s="28">
        <f>IF(C78="",0,IFERROR(INDEX($E78:$M78,MATCH('Recepción'!$D$5,$E$1:$M$1,0)),0))</f>
        <v/>
      </c>
      <c r="O78" s="28">
        <f>IF(N78=0,0,IF(A78="S",1,IF(OR(B78='Recepción'!$D$9,B78='Recepción'!$F$9,B78='Recepción'!$D$10,AND(B78="Contacto con líquido",'Recepción'!$E$25="Sí"),AND(B78="Golpe / Caída",'Recepción'!$E$24="Sí"),AND(B78="No enciende",'Recepción'!$E$27="No")),1,0)))</f>
        <v/>
      </c>
      <c r="P78" s="28">
        <f>IF(O78=1,COUNTIF($O$2:O78,1),0)</f>
        <v/>
      </c>
    </row>
    <row r="79">
      <c r="A79" s="18" t="inlineStr">
        <is>
          <t>B</t>
        </is>
      </c>
      <c r="B79" s="20" t="inlineStr">
        <is>
          <t>Lentitud / Sistema</t>
        </is>
      </c>
      <c r="C79" s="20" t="inlineStr">
        <is>
          <t>¿Presenta pantalla azul o error?</t>
        </is>
      </c>
      <c r="D79" s="18" t="inlineStr">
        <is>
          <t>SN</t>
        </is>
      </c>
      <c r="E79" s="27" t="n">
        <v>0</v>
      </c>
      <c r="F79" s="27" t="n">
        <v>0</v>
      </c>
      <c r="G79" s="27" t="n">
        <v>0</v>
      </c>
      <c r="H79" s="27" t="n">
        <v>1</v>
      </c>
      <c r="I79" s="27" t="n">
        <v>1</v>
      </c>
      <c r="J79" s="27" t="n">
        <v>0</v>
      </c>
      <c r="K79" s="27" t="n">
        <v>0</v>
      </c>
      <c r="L79" s="27" t="n">
        <v>0</v>
      </c>
      <c r="M79" s="27" t="n">
        <v>0</v>
      </c>
      <c r="N79" s="28">
        <f>IF(C79="",0,IFERROR(INDEX($E79:$M79,MATCH('Recepción'!$D$5,$E$1:$M$1,0)),0))</f>
        <v/>
      </c>
      <c r="O79" s="28">
        <f>IF(N79=0,0,IF(A79="S",1,IF(OR(B79='Recepción'!$D$9,B79='Recepción'!$F$9,B79='Recepción'!$D$10,AND(B79="Contacto con líquido",'Recepción'!$E$25="Sí"),AND(B79="Golpe / Caída",'Recepción'!$E$24="Sí"),AND(B79="No enciende",'Recepción'!$E$27="No")),1,0)))</f>
        <v/>
      </c>
      <c r="P79" s="28">
        <f>IF(O79=1,COUNTIF($O$2:O79,1),0)</f>
        <v/>
      </c>
    </row>
    <row r="80">
      <c r="A80" s="18" t="inlineStr">
        <is>
          <t>B</t>
        </is>
      </c>
      <c r="B80" s="20" t="inlineStr">
        <is>
          <t>Lentitud / Sistema</t>
        </is>
      </c>
      <c r="C80" s="20" t="inlineStr">
        <is>
          <t>¿Muestra signo de prohibido, pantalla gris o reinicio por error?</t>
        </is>
      </c>
      <c r="D80" s="18" t="inlineStr">
        <is>
          <t>SN</t>
        </is>
      </c>
      <c r="E80" s="27" t="n">
        <v>0</v>
      </c>
      <c r="F80" s="27" t="n">
        <v>0</v>
      </c>
      <c r="G80" s="27" t="n">
        <v>0</v>
      </c>
      <c r="H80" s="27" t="n">
        <v>0</v>
      </c>
      <c r="I80" s="27" t="n">
        <v>0</v>
      </c>
      <c r="J80" s="27" t="n">
        <v>1</v>
      </c>
      <c r="K80" s="27" t="n">
        <v>1</v>
      </c>
      <c r="L80" s="27" t="n">
        <v>0</v>
      </c>
      <c r="M80" s="27" t="n">
        <v>0</v>
      </c>
      <c r="N80" s="28">
        <f>IF(C80="",0,IFERROR(INDEX($E80:$M80,MATCH('Recepción'!$D$5,$E$1:$M$1,0)),0))</f>
        <v/>
      </c>
      <c r="O80" s="28">
        <f>IF(N80=0,0,IF(A80="S",1,IF(OR(B80='Recepción'!$D$9,B80='Recepción'!$F$9,B80='Recepción'!$D$10,AND(B80="Contacto con líquido",'Recepción'!$E$25="Sí"),AND(B80="Golpe / Caída",'Recepción'!$E$24="Sí"),AND(B80="No enciende",'Recepción'!$E$27="No")),1,0)))</f>
        <v/>
      </c>
      <c r="P80" s="28">
        <f>IF(O80=1,COUNTIF($O$2:O80,1),0)</f>
        <v/>
      </c>
    </row>
    <row r="81">
      <c r="A81" s="18" t="inlineStr">
        <is>
          <t>B</t>
        </is>
      </c>
      <c r="B81" s="20" t="inlineStr">
        <is>
          <t>Lentitud / Sistema</t>
        </is>
      </c>
      <c r="C81" s="20" t="inlineStr">
        <is>
          <t>¿Qué código de error aparece en la consola?</t>
        </is>
      </c>
      <c r="D81" s="18" t="inlineStr">
        <is>
          <t>TXT</t>
        </is>
      </c>
      <c r="E81" s="27" t="n">
        <v>0</v>
      </c>
      <c r="F81" s="27" t="n">
        <v>0</v>
      </c>
      <c r="G81" s="27" t="n">
        <v>0</v>
      </c>
      <c r="H81" s="27" t="n">
        <v>0</v>
      </c>
      <c r="I81" s="27" t="n">
        <v>0</v>
      </c>
      <c r="J81" s="27" t="n">
        <v>0</v>
      </c>
      <c r="K81" s="27" t="n">
        <v>0</v>
      </c>
      <c r="L81" s="27" t="n">
        <v>1</v>
      </c>
      <c r="M81" s="27" t="n">
        <v>0</v>
      </c>
      <c r="N81" s="28">
        <f>IF(C81="",0,IFERROR(INDEX($E81:$M81,MATCH('Recepción'!$D$5,$E$1:$M$1,0)),0))</f>
        <v/>
      </c>
      <c r="O81" s="28">
        <f>IF(N81=0,0,IF(A81="S",1,IF(OR(B81='Recepción'!$D$9,B81='Recepción'!$F$9,B81='Recepción'!$D$10,AND(B81="Contacto con líquido",'Recepción'!$E$25="Sí"),AND(B81="Golpe / Caída",'Recepción'!$E$24="Sí"),AND(B81="No enciende",'Recepción'!$E$27="No")),1,0)))</f>
        <v/>
      </c>
      <c r="P81" s="28">
        <f>IF(O81=1,COUNTIF($O$2:O81,1),0)</f>
        <v/>
      </c>
    </row>
    <row r="82">
      <c r="A82" s="18" t="inlineStr">
        <is>
          <t>B</t>
        </is>
      </c>
      <c r="B82" s="20" t="inlineStr">
        <is>
          <t>Lentitud / Sistema</t>
        </is>
      </c>
      <c r="C82" s="20" t="inlineStr">
        <is>
          <t>¿Qué programa, app o juego falla en específico?</t>
        </is>
      </c>
      <c r="D82" s="18" t="inlineStr">
        <is>
          <t>TXT</t>
        </is>
      </c>
      <c r="E82" s="27" t="n">
        <v>1</v>
      </c>
      <c r="F82" s="27" t="n">
        <v>1</v>
      </c>
      <c r="G82" s="27" t="n">
        <v>1</v>
      </c>
      <c r="H82" s="27" t="n">
        <v>1</v>
      </c>
      <c r="I82" s="27" t="n">
        <v>1</v>
      </c>
      <c r="J82" s="27" t="n">
        <v>1</v>
      </c>
      <c r="K82" s="27" t="n">
        <v>1</v>
      </c>
      <c r="L82" s="27" t="n">
        <v>1</v>
      </c>
      <c r="M82" s="27" t="n">
        <v>1</v>
      </c>
      <c r="N82" s="28">
        <f>IF(C82="",0,IFERROR(INDEX($E82:$M82,MATCH('Recepción'!$D$5,$E$1:$M$1,0)),0))</f>
        <v/>
      </c>
      <c r="O82" s="28">
        <f>IF(N82=0,0,IF(A82="S",1,IF(OR(B82='Recepción'!$D$9,B82='Recepción'!$F$9,B82='Recepción'!$D$10,AND(B82="Contacto con líquido",'Recepción'!$E$25="Sí"),AND(B82="Golpe / Caída",'Recepción'!$E$24="Sí"),AND(B82="No enciende",'Recepción'!$E$27="No")),1,0)))</f>
        <v/>
      </c>
      <c r="P82" s="28">
        <f>IF(O82=1,COUNTIF($O$2:O82,1),0)</f>
        <v/>
      </c>
    </row>
    <row r="83">
      <c r="A83" s="18" t="inlineStr">
        <is>
          <t>B</t>
        </is>
      </c>
      <c r="B83" s="20" t="inlineStr">
        <is>
          <t>Lentitud / Sistema</t>
        </is>
      </c>
      <c r="C83" s="20" t="inlineStr">
        <is>
          <t>¿Se realizó recientemente alguna actualización?</t>
        </is>
      </c>
      <c r="D83" s="18" t="inlineStr">
        <is>
          <t>SN</t>
        </is>
      </c>
      <c r="E83" s="27" t="n">
        <v>1</v>
      </c>
      <c r="F83" s="27" t="n">
        <v>1</v>
      </c>
      <c r="G83" s="27" t="n">
        <v>1</v>
      </c>
      <c r="H83" s="27" t="n">
        <v>1</v>
      </c>
      <c r="I83" s="27" t="n">
        <v>1</v>
      </c>
      <c r="J83" s="27" t="n">
        <v>1</v>
      </c>
      <c r="K83" s="27" t="n">
        <v>1</v>
      </c>
      <c r="L83" s="27" t="n">
        <v>1</v>
      </c>
      <c r="M83" s="27" t="n">
        <v>1</v>
      </c>
      <c r="N83" s="28">
        <f>IF(C83="",0,IFERROR(INDEX($E83:$M83,MATCH('Recepción'!$D$5,$E$1:$M$1,0)),0))</f>
        <v/>
      </c>
      <c r="O83" s="28">
        <f>IF(N83=0,0,IF(A83="S",1,IF(OR(B83='Recepción'!$D$9,B83='Recepción'!$F$9,B83='Recepción'!$D$10,AND(B83="Contacto con líquido",'Recepción'!$E$25="Sí"),AND(B83="Golpe / Caída",'Recepción'!$E$24="Sí"),AND(B83="No enciende",'Recepción'!$E$27="No")),1,0)))</f>
        <v/>
      </c>
      <c r="P83" s="28">
        <f>IF(O83=1,COUNTIF($O$2:O83,1),0)</f>
        <v/>
      </c>
    </row>
    <row r="84">
      <c r="A84" s="18" t="inlineStr">
        <is>
          <t>B</t>
        </is>
      </c>
      <c r="B84" s="20" t="inlineStr">
        <is>
          <t>Lentitud / Sistema</t>
        </is>
      </c>
      <c r="C84" s="20" t="inlineStr">
        <is>
          <t>¿Aparece «memoria llena» o tiene poco almacenamiento?</t>
        </is>
      </c>
      <c r="D84" s="18" t="inlineStr">
        <is>
          <t>SN</t>
        </is>
      </c>
      <c r="E84" s="27" t="n">
        <v>1</v>
      </c>
      <c r="F84" s="27" t="n">
        <v>1</v>
      </c>
      <c r="G84" s="27" t="n">
        <v>0</v>
      </c>
      <c r="H84" s="27" t="n">
        <v>0</v>
      </c>
      <c r="I84" s="27" t="n">
        <v>0</v>
      </c>
      <c r="J84" s="27" t="n">
        <v>0</v>
      </c>
      <c r="K84" s="27" t="n">
        <v>0</v>
      </c>
      <c r="L84" s="27" t="n">
        <v>0</v>
      </c>
      <c r="M84" s="27" t="n">
        <v>0</v>
      </c>
      <c r="N84" s="28">
        <f>IF(C84="",0,IFERROR(INDEX($E84:$M84,MATCH('Recepción'!$D$5,$E$1:$M$1,0)),0))</f>
        <v/>
      </c>
      <c r="O84" s="28">
        <f>IF(N84=0,0,IF(A84="S",1,IF(OR(B84='Recepción'!$D$9,B84='Recepción'!$F$9,B84='Recepción'!$D$10,AND(B84="Contacto con líquido",'Recepción'!$E$25="Sí"),AND(B84="Golpe / Caída",'Recepción'!$E$24="Sí"),AND(B84="No enciende",'Recepción'!$E$27="No")),1,0)))</f>
        <v/>
      </c>
      <c r="P84" s="28">
        <f>IF(O84=1,COUNTIF($O$2:O84,1),0)</f>
        <v/>
      </c>
    </row>
    <row r="85">
      <c r="A85" s="18" t="inlineStr">
        <is>
          <t>B</t>
        </is>
      </c>
      <c r="B85" s="20" t="inlineStr">
        <is>
          <t>Lentitud / Sistema</t>
        </is>
      </c>
      <c r="C85" s="20" t="inlineStr">
        <is>
          <t>¿Las aplicaciones se cierran solas?</t>
        </is>
      </c>
      <c r="D85" s="18" t="inlineStr">
        <is>
          <t>SN</t>
        </is>
      </c>
      <c r="E85" s="27" t="n">
        <v>1</v>
      </c>
      <c r="F85" s="27" t="n">
        <v>1</v>
      </c>
      <c r="G85" s="27" t="n">
        <v>0</v>
      </c>
      <c r="H85" s="27" t="n">
        <v>0</v>
      </c>
      <c r="I85" s="27" t="n">
        <v>0</v>
      </c>
      <c r="J85" s="27" t="n">
        <v>0</v>
      </c>
      <c r="K85" s="27" t="n">
        <v>0</v>
      </c>
      <c r="L85" s="27" t="n">
        <v>0</v>
      </c>
      <c r="M85" s="27" t="n">
        <v>0</v>
      </c>
      <c r="N85" s="28">
        <f>IF(C85="",0,IFERROR(INDEX($E85:$M85,MATCH('Recepción'!$D$5,$E$1:$M$1,0)),0))</f>
        <v/>
      </c>
      <c r="O85" s="28">
        <f>IF(N85=0,0,IF(A85="S",1,IF(OR(B85='Recepción'!$D$9,B85='Recepción'!$F$9,B85='Recepción'!$D$10,AND(B85="Contacto con líquido",'Recepción'!$E$25="Sí"),AND(B85="Golpe / Caída",'Recepción'!$E$24="Sí"),AND(B85="No enciende",'Recepción'!$E$27="No")),1,0)))</f>
        <v/>
      </c>
      <c r="P85" s="28">
        <f>IF(O85=1,COUNTIF($O$2:O85,1),0)</f>
        <v/>
      </c>
    </row>
    <row r="86">
      <c r="A86" s="18" t="inlineStr">
        <is>
          <t>B</t>
        </is>
      </c>
      <c r="B86" s="20" t="inlineStr">
        <is>
          <t>Lentitud / Sistema</t>
        </is>
      </c>
      <c r="C86" s="20" t="inlineStr">
        <is>
          <t>¿Necesita conservar los programas instalados?</t>
        </is>
      </c>
      <c r="D86" s="18" t="inlineStr">
        <is>
          <t>SN</t>
        </is>
      </c>
      <c r="E86" s="27" t="n">
        <v>0</v>
      </c>
      <c r="F86" s="27" t="n">
        <v>0</v>
      </c>
      <c r="G86" s="27" t="n">
        <v>0</v>
      </c>
      <c r="H86" s="27" t="n">
        <v>1</v>
      </c>
      <c r="I86" s="27" t="n">
        <v>1</v>
      </c>
      <c r="J86" s="27" t="n">
        <v>1</v>
      </c>
      <c r="K86" s="27" t="n">
        <v>1</v>
      </c>
      <c r="L86" s="27" t="n">
        <v>0</v>
      </c>
      <c r="M86" s="27" t="n">
        <v>0</v>
      </c>
      <c r="N86" s="28">
        <f>IF(C86="",0,IFERROR(INDEX($E86:$M86,MATCH('Recepción'!$D$5,$E$1:$M$1,0)),0))</f>
        <v/>
      </c>
      <c r="O86" s="28">
        <f>IF(N86=0,0,IF(A86="S",1,IF(OR(B86='Recepción'!$D$9,B86='Recepción'!$F$9,B86='Recepción'!$D$10,AND(B86="Contacto con líquido",'Recepción'!$E$25="Sí"),AND(B86="Golpe / Caída",'Recepción'!$E$24="Sí"),AND(B86="No enciende",'Recepción'!$E$27="No")),1,0)))</f>
        <v/>
      </c>
      <c r="P86" s="28">
        <f>IF(O86=1,COUNTIF($O$2:O86,1),0)</f>
        <v/>
      </c>
    </row>
    <row r="87">
      <c r="A87" s="18" t="inlineStr">
        <is>
          <t>B</t>
        </is>
      </c>
      <c r="B87" s="20" t="inlineStr">
        <is>
          <t>Lentitud / Sistema</t>
        </is>
      </c>
      <c r="C87" s="20" t="inlineStr">
        <is>
          <t>¿Tiene virus, anuncios o ventanas emergentes?</t>
        </is>
      </c>
      <c r="D87" s="18" t="inlineStr">
        <is>
          <t>SN</t>
        </is>
      </c>
      <c r="E87" s="27" t="n">
        <v>0</v>
      </c>
      <c r="F87" s="27" t="n">
        <v>0</v>
      </c>
      <c r="G87" s="27" t="n">
        <v>0</v>
      </c>
      <c r="H87" s="27" t="n">
        <v>1</v>
      </c>
      <c r="I87" s="27" t="n">
        <v>1</v>
      </c>
      <c r="J87" s="27" t="n">
        <v>1</v>
      </c>
      <c r="K87" s="27" t="n">
        <v>1</v>
      </c>
      <c r="L87" s="27" t="n">
        <v>0</v>
      </c>
      <c r="M87" s="27" t="n">
        <v>0</v>
      </c>
      <c r="N87" s="28">
        <f>IF(C87="",0,IFERROR(INDEX($E87:$M87,MATCH('Recepción'!$D$5,$E$1:$M$1,0)),0))</f>
        <v/>
      </c>
      <c r="O87" s="28">
        <f>IF(N87=0,0,IF(A87="S",1,IF(OR(B87='Recepción'!$D$9,B87='Recepción'!$F$9,B87='Recepción'!$D$10,AND(B87="Contacto con líquido",'Recepción'!$E$25="Sí"),AND(B87="Golpe / Caída",'Recepción'!$E$24="Sí"),AND(B87="No enciende",'Recepción'!$E$27="No")),1,0)))</f>
        <v/>
      </c>
      <c r="P87" s="28">
        <f>IF(O87=1,COUNTIF($O$2:O87,1),0)</f>
        <v/>
      </c>
    </row>
    <row r="88">
      <c r="A88" s="18" t="inlineStr">
        <is>
          <t>B</t>
        </is>
      </c>
      <c r="B88" s="20" t="inlineStr">
        <is>
          <t>Lentitud / Sistema</t>
        </is>
      </c>
      <c r="C88" s="20" t="inlineStr">
        <is>
          <t>¿Qué sistema operativo y versión utiliza?</t>
        </is>
      </c>
      <c r="D88" s="18" t="inlineStr">
        <is>
          <t>TXT</t>
        </is>
      </c>
      <c r="E88" s="27" t="n">
        <v>0</v>
      </c>
      <c r="F88" s="27" t="n">
        <v>0</v>
      </c>
      <c r="G88" s="27" t="n">
        <v>0</v>
      </c>
      <c r="H88" s="27" t="n">
        <v>1</v>
      </c>
      <c r="I88" s="27" t="n">
        <v>1</v>
      </c>
      <c r="J88" s="27" t="n">
        <v>1</v>
      </c>
      <c r="K88" s="27" t="n">
        <v>1</v>
      </c>
      <c r="L88" s="27" t="n">
        <v>0</v>
      </c>
      <c r="M88" s="27" t="n">
        <v>0</v>
      </c>
      <c r="N88" s="28">
        <f>IF(C88="",0,IFERROR(INDEX($E88:$M88,MATCH('Recepción'!$D$5,$E$1:$M$1,0)),0))</f>
        <v/>
      </c>
      <c r="O88" s="28">
        <f>IF(N88=0,0,IF(A88="S",1,IF(OR(B88='Recepción'!$D$9,B88='Recepción'!$F$9,B88='Recepción'!$D$10,AND(B88="Contacto con líquido",'Recepción'!$E$25="Sí"),AND(B88="Golpe / Caída",'Recepción'!$E$24="Sí"),AND(B88="No enciende",'Recepción'!$E$27="No")),1,0)))</f>
        <v/>
      </c>
      <c r="P88" s="28">
        <f>IF(O88=1,COUNTIF($O$2:O88,1),0)</f>
        <v/>
      </c>
    </row>
    <row r="89">
      <c r="A89" s="18" t="inlineStr">
        <is>
          <t>B</t>
        </is>
      </c>
      <c r="B89" s="20" t="inlineStr">
        <is>
          <t>Disco / Almacenamiento</t>
        </is>
      </c>
      <c r="C89" s="20" t="inlineStr">
        <is>
          <t>¿Se escuchan clics o ruidos raros del disco?</t>
        </is>
      </c>
      <c r="D89" s="18" t="inlineStr">
        <is>
          <t>SN</t>
        </is>
      </c>
      <c r="E89" s="27" t="n">
        <v>0</v>
      </c>
      <c r="F89" s="27" t="n">
        <v>0</v>
      </c>
      <c r="G89" s="27" t="n">
        <v>0</v>
      </c>
      <c r="H89" s="27" t="n">
        <v>1</v>
      </c>
      <c r="I89" s="27" t="n">
        <v>1</v>
      </c>
      <c r="J89" s="27" t="n">
        <v>1</v>
      </c>
      <c r="K89" s="27" t="n">
        <v>1</v>
      </c>
      <c r="L89" s="27" t="n">
        <v>1</v>
      </c>
      <c r="M89" s="27" t="n">
        <v>0</v>
      </c>
      <c r="N89" s="28">
        <f>IF(C89="",0,IFERROR(INDEX($E89:$M89,MATCH('Recepción'!$D$5,$E$1:$M$1,0)),0))</f>
        <v/>
      </c>
      <c r="O89" s="28">
        <f>IF(N89=0,0,IF(A89="S",1,IF(OR(B89='Recepción'!$D$9,B89='Recepción'!$F$9,B89='Recepción'!$D$10,AND(B89="Contacto con líquido",'Recepción'!$E$25="Sí"),AND(B89="Golpe / Caída",'Recepción'!$E$24="Sí"),AND(B89="No enciende",'Recepción'!$E$27="No")),1,0)))</f>
        <v/>
      </c>
      <c r="P89" s="28">
        <f>IF(O89=1,COUNTIF($O$2:O89,1),0)</f>
        <v/>
      </c>
    </row>
    <row r="90">
      <c r="A90" s="18" t="inlineStr">
        <is>
          <t>B</t>
        </is>
      </c>
      <c r="B90" s="20" t="inlineStr">
        <is>
          <t>Disco / Almacenamiento</t>
        </is>
      </c>
      <c r="C90" s="20" t="inlineStr">
        <is>
          <t>¿Aparece «disco no encontrado» o error de arranque?</t>
        </is>
      </c>
      <c r="D90" s="18" t="inlineStr">
        <is>
          <t>SN</t>
        </is>
      </c>
      <c r="E90" s="27" t="n">
        <v>0</v>
      </c>
      <c r="F90" s="27" t="n">
        <v>0</v>
      </c>
      <c r="G90" s="27" t="n">
        <v>0</v>
      </c>
      <c r="H90" s="27" t="n">
        <v>1</v>
      </c>
      <c r="I90" s="27" t="n">
        <v>1</v>
      </c>
      <c r="J90" s="27" t="n">
        <v>1</v>
      </c>
      <c r="K90" s="27" t="n">
        <v>1</v>
      </c>
      <c r="L90" s="27" t="n">
        <v>0</v>
      </c>
      <c r="M90" s="27" t="n">
        <v>0</v>
      </c>
      <c r="N90" s="28">
        <f>IF(C90="",0,IFERROR(INDEX($E90:$M90,MATCH('Recepción'!$D$5,$E$1:$M$1,0)),0))</f>
        <v/>
      </c>
      <c r="O90" s="28">
        <f>IF(N90=0,0,IF(A90="S",1,IF(OR(B90='Recepción'!$D$9,B90='Recepción'!$F$9,B90='Recepción'!$D$10,AND(B90="Contacto con líquido",'Recepción'!$E$25="Sí"),AND(B90="Golpe / Caída",'Recepción'!$E$24="Sí"),AND(B90="No enciende",'Recepción'!$E$27="No")),1,0)))</f>
        <v/>
      </c>
      <c r="P90" s="28">
        <f>IF(O90=1,COUNTIF($O$2:O90,1),0)</f>
        <v/>
      </c>
    </row>
    <row r="91">
      <c r="A91" s="18" t="inlineStr">
        <is>
          <t>B</t>
        </is>
      </c>
      <c r="B91" s="20" t="inlineStr">
        <is>
          <t>Disco / Almacenamiento</t>
        </is>
      </c>
      <c r="C91" s="20" t="inlineStr">
        <is>
          <t>¿Hay archivos que desaparecen o no se pueden abrir?</t>
        </is>
      </c>
      <c r="D91" s="18" t="inlineStr">
        <is>
          <t>SN</t>
        </is>
      </c>
      <c r="E91" s="27" t="n">
        <v>0</v>
      </c>
      <c r="F91" s="27" t="n">
        <v>0</v>
      </c>
      <c r="G91" s="27" t="n">
        <v>0</v>
      </c>
      <c r="H91" s="27" t="n">
        <v>1</v>
      </c>
      <c r="I91" s="27" t="n">
        <v>1</v>
      </c>
      <c r="J91" s="27" t="n">
        <v>1</v>
      </c>
      <c r="K91" s="27" t="n">
        <v>1</v>
      </c>
      <c r="L91" s="27" t="n">
        <v>0</v>
      </c>
      <c r="M91" s="27" t="n">
        <v>0</v>
      </c>
      <c r="N91" s="28">
        <f>IF(C91="",0,IFERROR(INDEX($E91:$M91,MATCH('Recepción'!$D$5,$E$1:$M$1,0)),0))</f>
        <v/>
      </c>
      <c r="O91" s="28">
        <f>IF(N91=0,0,IF(A91="S",1,IF(OR(B91='Recepción'!$D$9,B91='Recepción'!$F$9,B91='Recepción'!$D$10,AND(B91="Contacto con líquido",'Recepción'!$E$25="Sí"),AND(B91="Golpe / Caída",'Recepción'!$E$24="Sí"),AND(B91="No enciende",'Recepción'!$E$27="No")),1,0)))</f>
        <v/>
      </c>
      <c r="P91" s="28">
        <f>IF(O91=1,COUNTIF($O$2:O91,1),0)</f>
        <v/>
      </c>
    </row>
    <row r="92">
      <c r="A92" s="18" t="inlineStr">
        <is>
          <t>B</t>
        </is>
      </c>
      <c r="B92" s="20" t="inlineStr">
        <is>
          <t>Disco / Almacenamiento</t>
        </is>
      </c>
      <c r="C92" s="20" t="inlineStr">
        <is>
          <t>¿El almacenamiento interno falla o se llena solo?</t>
        </is>
      </c>
      <c r="D92" s="18" t="inlineStr">
        <is>
          <t>SN</t>
        </is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0</v>
      </c>
      <c r="J92" s="27" t="n">
        <v>0</v>
      </c>
      <c r="K92" s="27" t="n">
        <v>0</v>
      </c>
      <c r="L92" s="27" t="n">
        <v>1</v>
      </c>
      <c r="M92" s="27" t="n">
        <v>0</v>
      </c>
      <c r="N92" s="28">
        <f>IF(C92="",0,IFERROR(INDEX($E92:$M92,MATCH('Recepción'!$D$5,$E$1:$M$1,0)),0))</f>
        <v/>
      </c>
      <c r="O92" s="28">
        <f>IF(N92=0,0,IF(A92="S",1,IF(OR(B92='Recepción'!$D$9,B92='Recepción'!$F$9,B92='Recepción'!$D$10,AND(B92="Contacto con líquido",'Recepción'!$E$25="Sí"),AND(B92="Golpe / Caída",'Recepción'!$E$24="Sí"),AND(B92="No enciende",'Recepción'!$E$27="No")),1,0)))</f>
        <v/>
      </c>
      <c r="P92" s="28">
        <f>IF(O92=1,COUNTIF($O$2:O92,1),0)</f>
        <v/>
      </c>
    </row>
    <row r="93">
      <c r="A93" s="18" t="inlineStr">
        <is>
          <t>B</t>
        </is>
      </c>
      <c r="B93" s="20" t="inlineStr">
        <is>
          <t>Cuenta / Bloqueo</t>
        </is>
      </c>
      <c r="C93" s="20" t="inlineStr">
        <is>
          <t>¿Recuerda usuario y contraseña de su cuenta (Apple ID, Google, PSN, Xbox, Nintendo, Microsoft)?</t>
        </is>
      </c>
      <c r="D93" s="18" t="inlineStr">
        <is>
          <t>SN</t>
        </is>
      </c>
      <c r="E93" s="27" t="n">
        <v>1</v>
      </c>
      <c r="F93" s="27" t="n">
        <v>1</v>
      </c>
      <c r="G93" s="27" t="n">
        <v>1</v>
      </c>
      <c r="H93" s="27" t="n">
        <v>1</v>
      </c>
      <c r="I93" s="27" t="n">
        <v>0</v>
      </c>
      <c r="J93" s="27" t="n">
        <v>1</v>
      </c>
      <c r="K93" s="27" t="n">
        <v>1</v>
      </c>
      <c r="L93" s="27" t="n">
        <v>1</v>
      </c>
      <c r="M93" s="27" t="n">
        <v>0</v>
      </c>
      <c r="N93" s="28">
        <f>IF(C93="",0,IFERROR(INDEX($E93:$M93,MATCH('Recepción'!$D$5,$E$1:$M$1,0)),0))</f>
        <v/>
      </c>
      <c r="O93" s="28">
        <f>IF(N93=0,0,IF(A93="S",1,IF(OR(B93='Recepción'!$D$9,B93='Recepción'!$F$9,B93='Recepción'!$D$10,AND(B93="Contacto con líquido",'Recepción'!$E$25="Sí"),AND(B93="Golpe / Caída",'Recepción'!$E$24="Sí"),AND(B93="No enciende",'Recepción'!$E$27="No")),1,0)))</f>
        <v/>
      </c>
      <c r="P93" s="28">
        <f>IF(O93=1,COUNTIF($O$2:O93,1),0)</f>
        <v/>
      </c>
    </row>
    <row r="94">
      <c r="A94" s="18" t="inlineStr">
        <is>
          <t>B</t>
        </is>
      </c>
      <c r="B94" s="20" t="inlineStr">
        <is>
          <t>Cuenta / Bloqueo</t>
        </is>
      </c>
      <c r="C94" s="20" t="inlineStr">
        <is>
          <t>¿El equipo tiene bloqueo por contraseña, PIN o patrón?</t>
        </is>
      </c>
      <c r="D94" s="18" t="inlineStr">
        <is>
          <t>SN</t>
        </is>
      </c>
      <c r="E94" s="27" t="n">
        <v>1</v>
      </c>
      <c r="F94" s="27" t="n">
        <v>1</v>
      </c>
      <c r="G94" s="27" t="n">
        <v>1</v>
      </c>
      <c r="H94" s="27" t="n">
        <v>1</v>
      </c>
      <c r="I94" s="27" t="n">
        <v>1</v>
      </c>
      <c r="J94" s="27" t="n">
        <v>1</v>
      </c>
      <c r="K94" s="27" t="n">
        <v>1</v>
      </c>
      <c r="L94" s="27" t="n">
        <v>1</v>
      </c>
      <c r="M94" s="27" t="n">
        <v>0</v>
      </c>
      <c r="N94" s="28">
        <f>IF(C94="",0,IFERROR(INDEX($E94:$M94,MATCH('Recepción'!$D$5,$E$1:$M$1,0)),0))</f>
        <v/>
      </c>
      <c r="O94" s="28">
        <f>IF(N94=0,0,IF(A94="S",1,IF(OR(B94='Recepción'!$D$9,B94='Recepción'!$F$9,B94='Recepción'!$D$10,AND(B94="Contacto con líquido",'Recepción'!$E$25="Sí"),AND(B94="Golpe / Caída",'Recepción'!$E$24="Sí"),AND(B94="No enciende",'Recepción'!$E$27="No")),1,0)))</f>
        <v/>
      </c>
      <c r="P94" s="28">
        <f>IF(O94=1,COUNTIF($O$2:O94,1),0)</f>
        <v/>
      </c>
    </row>
    <row r="95">
      <c r="A95" s="18" t="inlineStr">
        <is>
          <t>B</t>
        </is>
      </c>
      <c r="B95" s="20" t="inlineStr">
        <is>
          <t>Cuenta / Bloqueo</t>
        </is>
      </c>
      <c r="C95" s="20" t="inlineStr">
        <is>
          <t>¿Tiene activado «Buscar mi dispositivo» o bloqueo de activación?</t>
        </is>
      </c>
      <c r="D95" s="18" t="inlineStr">
        <is>
          <t>SNS</t>
        </is>
      </c>
      <c r="E95" s="27" t="n">
        <v>1</v>
      </c>
      <c r="F95" s="27" t="n">
        <v>1</v>
      </c>
      <c r="G95" s="27" t="n">
        <v>1</v>
      </c>
      <c r="H95" s="27" t="n">
        <v>0</v>
      </c>
      <c r="I95" s="27" t="n">
        <v>0</v>
      </c>
      <c r="J95" s="27" t="n">
        <v>1</v>
      </c>
      <c r="K95" s="27" t="n">
        <v>1</v>
      </c>
      <c r="L95" s="27" t="n">
        <v>0</v>
      </c>
      <c r="M95" s="27" t="n">
        <v>0</v>
      </c>
      <c r="N95" s="28">
        <f>IF(C95="",0,IFERROR(INDEX($E95:$M95,MATCH('Recepción'!$D$5,$E$1:$M$1,0)),0))</f>
        <v/>
      </c>
      <c r="O95" s="28">
        <f>IF(N95=0,0,IF(A95="S",1,IF(OR(B95='Recepción'!$D$9,B95='Recepción'!$F$9,B95='Recepción'!$D$10,AND(B95="Contacto con líquido",'Recepción'!$E$25="Sí"),AND(B95="Golpe / Caída",'Recepción'!$E$24="Sí"),AND(B95="No enciende",'Recepción'!$E$27="No")),1,0)))</f>
        <v/>
      </c>
      <c r="P95" s="28">
        <f>IF(O95=1,COUNTIF($O$2:O95,1),0)</f>
        <v/>
      </c>
    </row>
    <row r="96">
      <c r="A96" s="18" t="inlineStr">
        <is>
          <t>B</t>
        </is>
      </c>
      <c r="B96" s="20" t="inlineStr">
        <is>
          <t>Cuenta / Bloqueo</t>
        </is>
      </c>
      <c r="C96" s="20" t="inlineStr">
        <is>
          <t>¿El equipo es de operadora o está bloqueado a una compañía?</t>
        </is>
      </c>
      <c r="D96" s="18" t="inlineStr">
        <is>
          <t>SNS</t>
        </is>
      </c>
      <c r="E96" s="27" t="n">
        <v>1</v>
      </c>
      <c r="F96" s="27" t="n">
        <v>1</v>
      </c>
      <c r="G96" s="27" t="n">
        <v>0</v>
      </c>
      <c r="H96" s="27" t="n">
        <v>0</v>
      </c>
      <c r="I96" s="27" t="n">
        <v>0</v>
      </c>
      <c r="J96" s="27" t="n">
        <v>0</v>
      </c>
      <c r="K96" s="27" t="n">
        <v>0</v>
      </c>
      <c r="L96" s="27" t="n">
        <v>0</v>
      </c>
      <c r="M96" s="27" t="n">
        <v>0</v>
      </c>
      <c r="N96" s="28">
        <f>IF(C96="",0,IFERROR(INDEX($E96:$M96,MATCH('Recepción'!$D$5,$E$1:$M$1,0)),0))</f>
        <v/>
      </c>
      <c r="O96" s="28">
        <f>IF(N96=0,0,IF(A96="S",1,IF(OR(B96='Recepción'!$D$9,B96='Recepción'!$F$9,B96='Recepción'!$D$10,AND(B96="Contacto con líquido",'Recepción'!$E$25="Sí"),AND(B96="Golpe / Caída",'Recepción'!$E$24="Sí"),AND(B96="No enciende",'Recepción'!$E$27="No")),1,0)))</f>
        <v/>
      </c>
      <c r="P96" s="28">
        <f>IF(O96=1,COUNTIF($O$2:O96,1),0)</f>
        <v/>
      </c>
    </row>
    <row r="97">
      <c r="A97" s="18" t="inlineStr">
        <is>
          <t>B</t>
        </is>
      </c>
      <c r="B97" s="20" t="inlineStr">
        <is>
          <t>Cuenta / Bloqueo</t>
        </is>
      </c>
      <c r="C97" s="20" t="inlineStr">
        <is>
          <t>¿Tiene juegos digitales o partidas guardadas que no puede perder?</t>
        </is>
      </c>
      <c r="D97" s="18" t="inlineStr">
        <is>
          <t>SN</t>
        </is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0</v>
      </c>
      <c r="J97" s="27" t="n">
        <v>0</v>
      </c>
      <c r="K97" s="27" t="n">
        <v>0</v>
      </c>
      <c r="L97" s="27" t="n">
        <v>1</v>
      </c>
      <c r="M97" s="27" t="n">
        <v>0</v>
      </c>
      <c r="N97" s="28">
        <f>IF(C97="",0,IFERROR(INDEX($E97:$M97,MATCH('Recepción'!$D$5,$E$1:$M$1,0)),0))</f>
        <v/>
      </c>
      <c r="O97" s="28">
        <f>IF(N97=0,0,IF(A97="S",1,IF(OR(B97='Recepción'!$D$9,B97='Recepción'!$F$9,B97='Recepción'!$D$10,AND(B97="Contacto con líquido",'Recepción'!$E$25="Sí"),AND(B97="Golpe / Caída",'Recepción'!$E$24="Sí"),AND(B97="No enciende",'Recepción'!$E$27="No")),1,0)))</f>
        <v/>
      </c>
      <c r="P97" s="28">
        <f>IF(O97=1,COUNTIF($O$2:O97,1),0)</f>
        <v/>
      </c>
    </row>
    <row r="98">
      <c r="A98" s="18" t="inlineStr">
        <is>
          <t>B</t>
        </is>
      </c>
      <c r="B98" s="20" t="inlineStr">
        <is>
          <t>Audio / Cámara / Micrófono</t>
        </is>
      </c>
      <c r="C98" s="20" t="inlineStr">
        <is>
          <t>¿La bocina no suena o suena distorsionada?</t>
        </is>
      </c>
      <c r="D98" s="18" t="inlineStr">
        <is>
          <t>SN</t>
        </is>
      </c>
      <c r="E98" s="27" t="n">
        <v>1</v>
      </c>
      <c r="F98" s="27" t="n">
        <v>1</v>
      </c>
      <c r="G98" s="27" t="n">
        <v>1</v>
      </c>
      <c r="H98" s="27" t="n">
        <v>1</v>
      </c>
      <c r="I98" s="27" t="n">
        <v>1</v>
      </c>
      <c r="J98" s="27" t="n">
        <v>1</v>
      </c>
      <c r="K98" s="27" t="n">
        <v>1</v>
      </c>
      <c r="L98" s="27" t="n">
        <v>1</v>
      </c>
      <c r="M98" s="27" t="n">
        <v>1</v>
      </c>
      <c r="N98" s="28">
        <f>IF(C98="",0,IFERROR(INDEX($E98:$M98,MATCH('Recepción'!$D$5,$E$1:$M$1,0)),0))</f>
        <v/>
      </c>
      <c r="O98" s="28">
        <f>IF(N98=0,0,IF(A98="S",1,IF(OR(B98='Recepción'!$D$9,B98='Recepción'!$F$9,B98='Recepción'!$D$10,AND(B98="Contacto con líquido",'Recepción'!$E$25="Sí"),AND(B98="Golpe / Caída",'Recepción'!$E$24="Sí"),AND(B98="No enciende",'Recepción'!$E$27="No")),1,0)))</f>
        <v/>
      </c>
      <c r="P98" s="28">
        <f>IF(O98=1,COUNTIF($O$2:O98,1),0)</f>
        <v/>
      </c>
    </row>
    <row r="99">
      <c r="A99" s="18" t="inlineStr">
        <is>
          <t>B</t>
        </is>
      </c>
      <c r="B99" s="20" t="inlineStr">
        <is>
          <t>Audio / Cámara / Micrófono</t>
        </is>
      </c>
      <c r="C99" s="20" t="inlineStr">
        <is>
          <t>¿Se escucha solo de un lado?</t>
        </is>
      </c>
      <c r="D99" s="18" t="inlineStr">
        <is>
          <t>SN</t>
        </is>
      </c>
      <c r="E99" s="27" t="n">
        <v>1</v>
      </c>
      <c r="F99" s="27" t="n">
        <v>1</v>
      </c>
      <c r="G99" s="27" t="n">
        <v>0</v>
      </c>
      <c r="H99" s="27" t="n">
        <v>1</v>
      </c>
      <c r="I99" s="27" t="n">
        <v>1</v>
      </c>
      <c r="J99" s="27" t="n">
        <v>1</v>
      </c>
      <c r="K99" s="27" t="n">
        <v>1</v>
      </c>
      <c r="L99" s="27" t="n">
        <v>1</v>
      </c>
      <c r="M99" s="27" t="n">
        <v>1</v>
      </c>
      <c r="N99" s="28">
        <f>IF(C99="",0,IFERROR(INDEX($E99:$M99,MATCH('Recepción'!$D$5,$E$1:$M$1,0)),0))</f>
        <v/>
      </c>
      <c r="O99" s="28">
        <f>IF(N99=0,0,IF(A99="S",1,IF(OR(B99='Recepción'!$D$9,B99='Recepción'!$F$9,B99='Recepción'!$D$10,AND(B99="Contacto con líquido",'Recepción'!$E$25="Sí"),AND(B99="Golpe / Caída",'Recepción'!$E$24="Sí"),AND(B99="No enciende",'Recepción'!$E$27="No")),1,0)))</f>
        <v/>
      </c>
      <c r="P99" s="28">
        <f>IF(O99=1,COUNTIF($O$2:O99,1),0)</f>
        <v/>
      </c>
    </row>
    <row r="100">
      <c r="A100" s="18" t="inlineStr">
        <is>
          <t>B</t>
        </is>
      </c>
      <c r="B100" s="20" t="inlineStr">
        <is>
          <t>Audio / Cámara / Micrófono</t>
        </is>
      </c>
      <c r="C100" s="20" t="inlineStr">
        <is>
          <t>¿El micrófono no se escucha?</t>
        </is>
      </c>
      <c r="D100" s="18" t="inlineStr">
        <is>
          <t>SN</t>
        </is>
      </c>
      <c r="E100" s="27" t="n">
        <v>1</v>
      </c>
      <c r="F100" s="27" t="n">
        <v>1</v>
      </c>
      <c r="G100" s="27" t="n">
        <v>1</v>
      </c>
      <c r="H100" s="27" t="n">
        <v>1</v>
      </c>
      <c r="I100" s="27" t="n">
        <v>1</v>
      </c>
      <c r="J100" s="27" t="n">
        <v>1</v>
      </c>
      <c r="K100" s="27" t="n">
        <v>1</v>
      </c>
      <c r="L100" s="27" t="n">
        <v>0</v>
      </c>
      <c r="M100" s="27" t="n">
        <v>1</v>
      </c>
      <c r="N100" s="28">
        <f>IF(C100="",0,IFERROR(INDEX($E100:$M100,MATCH('Recepción'!$D$5,$E$1:$M$1,0)),0))</f>
        <v/>
      </c>
      <c r="O100" s="28">
        <f>IF(N100=0,0,IF(A100="S",1,IF(OR(B100='Recepción'!$D$9,B100='Recepción'!$F$9,B100='Recepción'!$D$10,AND(B100="Contacto con líquido",'Recepción'!$E$25="Sí"),AND(B100="Golpe / Caída",'Recepción'!$E$24="Sí"),AND(B100="No enciende",'Recepción'!$E$27="No")),1,0)))</f>
        <v/>
      </c>
      <c r="P100" s="28">
        <f>IF(O100=1,COUNTIF($O$2:O100,1),0)</f>
        <v/>
      </c>
    </row>
    <row r="101">
      <c r="A101" s="18" t="inlineStr">
        <is>
          <t>B</t>
        </is>
      </c>
      <c r="B101" s="20" t="inlineStr">
        <is>
          <t>Audio / Cámara / Micrófono</t>
        </is>
      </c>
      <c r="C101" s="20" t="inlineStr">
        <is>
          <t>¿La cámara frontal o webcam falla?</t>
        </is>
      </c>
      <c r="D101" s="18" t="inlineStr">
        <is>
          <t>SN</t>
        </is>
      </c>
      <c r="E101" s="27" t="n">
        <v>1</v>
      </c>
      <c r="F101" s="27" t="n">
        <v>1</v>
      </c>
      <c r="G101" s="27" t="n">
        <v>0</v>
      </c>
      <c r="H101" s="27" t="n">
        <v>1</v>
      </c>
      <c r="I101" s="27" t="n">
        <v>1</v>
      </c>
      <c r="J101" s="27" t="n">
        <v>1</v>
      </c>
      <c r="K101" s="27" t="n">
        <v>1</v>
      </c>
      <c r="L101" s="27" t="n">
        <v>0</v>
      </c>
      <c r="M101" s="27" t="n">
        <v>1</v>
      </c>
      <c r="N101" s="28">
        <f>IF(C101="",0,IFERROR(INDEX($E101:$M101,MATCH('Recepción'!$D$5,$E$1:$M$1,0)),0))</f>
        <v/>
      </c>
      <c r="O101" s="28">
        <f>IF(N101=0,0,IF(A101="S",1,IF(OR(B101='Recepción'!$D$9,B101='Recepción'!$F$9,B101='Recepción'!$D$10,AND(B101="Contacto con líquido",'Recepción'!$E$25="Sí"),AND(B101="Golpe / Caída",'Recepción'!$E$24="Sí"),AND(B101="No enciende",'Recepción'!$E$27="No")),1,0)))</f>
        <v/>
      </c>
      <c r="P101" s="28">
        <f>IF(O101=1,COUNTIF($O$2:O101,1),0)</f>
        <v/>
      </c>
    </row>
    <row r="102">
      <c r="A102" s="18" t="inlineStr">
        <is>
          <t>B</t>
        </is>
      </c>
      <c r="B102" s="20" t="inlineStr">
        <is>
          <t>Audio / Cámara / Micrófono</t>
        </is>
      </c>
      <c r="C102" s="20" t="inlineStr">
        <is>
          <t>¿La cámara trasera falla o sale borrosa?</t>
        </is>
      </c>
      <c r="D102" s="18" t="inlineStr">
        <is>
          <t>SN</t>
        </is>
      </c>
      <c r="E102" s="27" t="n">
        <v>1</v>
      </c>
      <c r="F102" s="27" t="n">
        <v>1</v>
      </c>
      <c r="G102" s="27" t="n">
        <v>0</v>
      </c>
      <c r="H102" s="27" t="n">
        <v>0</v>
      </c>
      <c r="I102" s="27" t="n">
        <v>0</v>
      </c>
      <c r="J102" s="27" t="n">
        <v>0</v>
      </c>
      <c r="K102" s="27" t="n">
        <v>0</v>
      </c>
      <c r="L102" s="27" t="n">
        <v>0</v>
      </c>
      <c r="M102" s="27" t="n">
        <v>0</v>
      </c>
      <c r="N102" s="28">
        <f>IF(C102="",0,IFERROR(INDEX($E102:$M102,MATCH('Recepción'!$D$5,$E$1:$M$1,0)),0))</f>
        <v/>
      </c>
      <c r="O102" s="28">
        <f>IF(N102=0,0,IF(A102="S",1,IF(OR(B102='Recepción'!$D$9,B102='Recepción'!$F$9,B102='Recepción'!$D$10,AND(B102="Contacto con líquido",'Recepción'!$E$25="Sí"),AND(B102="Golpe / Caída",'Recepción'!$E$24="Sí"),AND(B102="No enciende",'Recepción'!$E$27="No")),1,0)))</f>
        <v/>
      </c>
      <c r="P102" s="28">
        <f>IF(O102=1,COUNTIF($O$2:O102,1),0)</f>
        <v/>
      </c>
    </row>
    <row r="103">
      <c r="A103" s="18" t="inlineStr">
        <is>
          <t>B</t>
        </is>
      </c>
      <c r="B103" s="20" t="inlineStr">
        <is>
          <t>Audio / Cámara / Micrófono</t>
        </is>
      </c>
      <c r="C103" s="20" t="inlineStr">
        <is>
          <t>¿El puerto de audífonos no funciona?</t>
        </is>
      </c>
      <c r="D103" s="18" t="inlineStr">
        <is>
          <t>SN</t>
        </is>
      </c>
      <c r="E103" s="27" t="n">
        <v>1</v>
      </c>
      <c r="F103" s="27" t="n">
        <v>1</v>
      </c>
      <c r="G103" s="27" t="n">
        <v>0</v>
      </c>
      <c r="H103" s="27" t="n">
        <v>1</v>
      </c>
      <c r="I103" s="27" t="n">
        <v>1</v>
      </c>
      <c r="J103" s="27" t="n">
        <v>1</v>
      </c>
      <c r="K103" s="27" t="n">
        <v>1</v>
      </c>
      <c r="L103" s="27" t="n">
        <v>0</v>
      </c>
      <c r="M103" s="27" t="n">
        <v>0</v>
      </c>
      <c r="N103" s="28">
        <f>IF(C103="",0,IFERROR(INDEX($E103:$M103,MATCH('Recepción'!$D$5,$E$1:$M$1,0)),0))</f>
        <v/>
      </c>
      <c r="O103" s="28">
        <f>IF(N103=0,0,IF(A103="S",1,IF(OR(B103='Recepción'!$D$9,B103='Recepción'!$F$9,B103='Recepción'!$D$10,AND(B103="Contacto con líquido",'Recepción'!$E$25="Sí"),AND(B103="Golpe / Caída",'Recepción'!$E$24="Sí"),AND(B103="No enciende",'Recepción'!$E$27="No")),1,0)))</f>
        <v/>
      </c>
      <c r="P103" s="28">
        <f>IF(O103=1,COUNTIF($O$2:O103,1),0)</f>
        <v/>
      </c>
    </row>
    <row r="104">
      <c r="A104" s="18" t="inlineStr">
        <is>
          <t>B</t>
        </is>
      </c>
      <c r="B104" s="20" t="inlineStr">
        <is>
          <t>Audio / Cámara / Micrófono</t>
        </is>
      </c>
      <c r="C104" s="20" t="inlineStr">
        <is>
          <t>¿La vibración no funciona?</t>
        </is>
      </c>
      <c r="D104" s="18" t="inlineStr">
        <is>
          <t>SN</t>
        </is>
      </c>
      <c r="E104" s="27" t="n">
        <v>1</v>
      </c>
      <c r="F104" s="27" t="n">
        <v>1</v>
      </c>
      <c r="G104" s="27" t="n">
        <v>1</v>
      </c>
      <c r="H104" s="27" t="n">
        <v>0</v>
      </c>
      <c r="I104" s="27" t="n">
        <v>0</v>
      </c>
      <c r="J104" s="27" t="n">
        <v>0</v>
      </c>
      <c r="K104" s="27" t="n">
        <v>0</v>
      </c>
      <c r="L104" s="27" t="n">
        <v>0</v>
      </c>
      <c r="M104" s="27" t="n">
        <v>0</v>
      </c>
      <c r="N104" s="28">
        <f>IF(C104="",0,IFERROR(INDEX($E104:$M104,MATCH('Recepción'!$D$5,$E$1:$M$1,0)),0))</f>
        <v/>
      </c>
      <c r="O104" s="28">
        <f>IF(N104=0,0,IF(A104="S",1,IF(OR(B104='Recepción'!$D$9,B104='Recepción'!$F$9,B104='Recepción'!$D$10,AND(B104="Contacto con líquido",'Recepción'!$E$25="Sí"),AND(B104="Golpe / Caída",'Recepción'!$E$24="Sí"),AND(B104="No enciende",'Recepción'!$E$27="No")),1,0)))</f>
        <v/>
      </c>
      <c r="P104" s="28">
        <f>IF(O104=1,COUNTIF($O$2:O104,1),0)</f>
        <v/>
      </c>
    </row>
    <row r="105">
      <c r="A105" s="18" t="inlineStr">
        <is>
          <t>B</t>
        </is>
      </c>
      <c r="B105" s="20" t="inlineStr">
        <is>
          <t>Red / Señal / Conectividad</t>
        </is>
      </c>
      <c r="C105" s="20" t="inlineStr">
        <is>
          <t>¿Aparece «sin servicio» o no detecta la SIM?</t>
        </is>
      </c>
      <c r="D105" s="18" t="inlineStr">
        <is>
          <t>SN</t>
        </is>
      </c>
      <c r="E105" s="27" t="n">
        <v>1</v>
      </c>
      <c r="F105" s="27" t="n">
        <v>0</v>
      </c>
      <c r="G105" s="27" t="n">
        <v>0</v>
      </c>
      <c r="H105" s="27" t="n">
        <v>0</v>
      </c>
      <c r="I105" s="27" t="n">
        <v>0</v>
      </c>
      <c r="J105" s="27" t="n">
        <v>0</v>
      </c>
      <c r="K105" s="27" t="n">
        <v>0</v>
      </c>
      <c r="L105" s="27" t="n">
        <v>0</v>
      </c>
      <c r="M105" s="27" t="n">
        <v>0</v>
      </c>
      <c r="N105" s="28">
        <f>IF(C105="",0,IFERROR(INDEX($E105:$M105,MATCH('Recepción'!$D$5,$E$1:$M$1,0)),0))</f>
        <v/>
      </c>
      <c r="O105" s="28">
        <f>IF(N105=0,0,IF(A105="S",1,IF(OR(B105='Recepción'!$D$9,B105='Recepción'!$F$9,B105='Recepción'!$D$10,AND(B105="Contacto con líquido",'Recepción'!$E$25="Sí"),AND(B105="Golpe / Caída",'Recepción'!$E$24="Sí"),AND(B105="No enciende",'Recepción'!$E$27="No")),1,0)))</f>
        <v/>
      </c>
      <c r="P105" s="28">
        <f>IF(O105=1,COUNTIF($O$2:O105,1),0)</f>
        <v/>
      </c>
    </row>
    <row r="106">
      <c r="A106" s="18" t="inlineStr">
        <is>
          <t>B</t>
        </is>
      </c>
      <c r="B106" s="20" t="inlineStr">
        <is>
          <t>Red / Señal / Conectividad</t>
        </is>
      </c>
      <c r="C106" s="20" t="inlineStr">
        <is>
          <t>¿Las llamadas se cortan o no entran?</t>
        </is>
      </c>
      <c r="D106" s="18" t="inlineStr">
        <is>
          <t>SN</t>
        </is>
      </c>
      <c r="E106" s="27" t="n">
        <v>1</v>
      </c>
      <c r="F106" s="27" t="n">
        <v>0</v>
      </c>
      <c r="G106" s="27" t="n">
        <v>0</v>
      </c>
      <c r="H106" s="27" t="n">
        <v>0</v>
      </c>
      <c r="I106" s="27" t="n">
        <v>0</v>
      </c>
      <c r="J106" s="27" t="n">
        <v>0</v>
      </c>
      <c r="K106" s="27" t="n">
        <v>0</v>
      </c>
      <c r="L106" s="27" t="n">
        <v>0</v>
      </c>
      <c r="M106" s="27" t="n">
        <v>0</v>
      </c>
      <c r="N106" s="28">
        <f>IF(C106="",0,IFERROR(INDEX($E106:$M106,MATCH('Recepción'!$D$5,$E$1:$M$1,0)),0))</f>
        <v/>
      </c>
      <c r="O106" s="28">
        <f>IF(N106=0,0,IF(A106="S",1,IF(OR(B106='Recepción'!$D$9,B106='Recepción'!$F$9,B106='Recepción'!$D$10,AND(B106="Contacto con líquido",'Recepción'!$E$25="Sí"),AND(B106="Golpe / Caída",'Recepción'!$E$24="Sí"),AND(B106="No enciende",'Recepción'!$E$27="No")),1,0)))</f>
        <v/>
      </c>
      <c r="P106" s="28">
        <f>IF(O106=1,COUNTIF($O$2:O106,1),0)</f>
        <v/>
      </c>
    </row>
    <row r="107">
      <c r="A107" s="18" t="inlineStr">
        <is>
          <t>B</t>
        </is>
      </c>
      <c r="B107" s="20" t="inlineStr">
        <is>
          <t>Red / Señal / Conectividad</t>
        </is>
      </c>
      <c r="C107" s="20" t="inlineStr">
        <is>
          <t>¿Los datos móviles no funcionan?</t>
        </is>
      </c>
      <c r="D107" s="18" t="inlineStr">
        <is>
          <t>SN</t>
        </is>
      </c>
      <c r="E107" s="27" t="n">
        <v>1</v>
      </c>
      <c r="F107" s="27" t="n">
        <v>1</v>
      </c>
      <c r="G107" s="27" t="n">
        <v>0</v>
      </c>
      <c r="H107" s="27" t="n">
        <v>0</v>
      </c>
      <c r="I107" s="27" t="n">
        <v>0</v>
      </c>
      <c r="J107" s="27" t="n">
        <v>0</v>
      </c>
      <c r="K107" s="27" t="n">
        <v>0</v>
      </c>
      <c r="L107" s="27" t="n">
        <v>0</v>
      </c>
      <c r="M107" s="27" t="n">
        <v>0</v>
      </c>
      <c r="N107" s="28">
        <f>IF(C107="",0,IFERROR(INDEX($E107:$M107,MATCH('Recepción'!$D$5,$E$1:$M$1,0)),0))</f>
        <v/>
      </c>
      <c r="O107" s="28">
        <f>IF(N107=0,0,IF(A107="S",1,IF(OR(B107='Recepción'!$D$9,B107='Recepción'!$F$9,B107='Recepción'!$D$10,AND(B107="Contacto con líquido",'Recepción'!$E$25="Sí"),AND(B107="Golpe / Caída",'Recepción'!$E$24="Sí"),AND(B107="No enciende",'Recepción'!$E$27="No")),1,0)))</f>
        <v/>
      </c>
      <c r="P107" s="28">
        <f>IF(O107=1,COUNTIF($O$2:O107,1),0)</f>
        <v/>
      </c>
    </row>
    <row r="108">
      <c r="A108" s="18" t="inlineStr">
        <is>
          <t>B</t>
        </is>
      </c>
      <c r="B108" s="20" t="inlineStr">
        <is>
          <t>Red / Señal / Conectividad</t>
        </is>
      </c>
      <c r="C108" s="20" t="inlineStr">
        <is>
          <t>¿Ha probado la SIM en otro equipo?</t>
        </is>
      </c>
      <c r="D108" s="18" t="inlineStr">
        <is>
          <t>SN</t>
        </is>
      </c>
      <c r="E108" s="27" t="n">
        <v>1</v>
      </c>
      <c r="F108" s="27" t="n">
        <v>0</v>
      </c>
      <c r="G108" s="27" t="n">
        <v>0</v>
      </c>
      <c r="H108" s="27" t="n">
        <v>0</v>
      </c>
      <c r="I108" s="27" t="n">
        <v>0</v>
      </c>
      <c r="J108" s="27" t="n">
        <v>0</v>
      </c>
      <c r="K108" s="27" t="n">
        <v>0</v>
      </c>
      <c r="L108" s="27" t="n">
        <v>0</v>
      </c>
      <c r="M108" s="27" t="n">
        <v>0</v>
      </c>
      <c r="N108" s="28">
        <f>IF(C108="",0,IFERROR(INDEX($E108:$M108,MATCH('Recepción'!$D$5,$E$1:$M$1,0)),0))</f>
        <v/>
      </c>
      <c r="O108" s="28">
        <f>IF(N108=0,0,IF(A108="S",1,IF(OR(B108='Recepción'!$D$9,B108='Recepción'!$F$9,B108='Recepción'!$D$10,AND(B108="Contacto con líquido",'Recepción'!$E$25="Sí"),AND(B108="Golpe / Caída",'Recepción'!$E$24="Sí"),AND(B108="No enciende",'Recepción'!$E$27="No")),1,0)))</f>
        <v/>
      </c>
      <c r="P108" s="28">
        <f>IF(O108=1,COUNTIF($O$2:O108,1),0)</f>
        <v/>
      </c>
    </row>
    <row r="109">
      <c r="A109" s="18" t="inlineStr">
        <is>
          <t>B</t>
        </is>
      </c>
      <c r="B109" s="20" t="inlineStr">
        <is>
          <t>Red / Señal / Conectividad</t>
        </is>
      </c>
      <c r="C109" s="20" t="inlineStr">
        <is>
          <t>¿El Wi-Fi no conecta o se desconecta?</t>
        </is>
      </c>
      <c r="D109" s="18" t="inlineStr">
        <is>
          <t>SN</t>
        </is>
      </c>
      <c r="E109" s="27" t="n">
        <v>1</v>
      </c>
      <c r="F109" s="27" t="n">
        <v>1</v>
      </c>
      <c r="G109" s="27" t="n">
        <v>0</v>
      </c>
      <c r="H109" s="27" t="n">
        <v>1</v>
      </c>
      <c r="I109" s="27" t="n">
        <v>1</v>
      </c>
      <c r="J109" s="27" t="n">
        <v>1</v>
      </c>
      <c r="K109" s="27" t="n">
        <v>1</v>
      </c>
      <c r="L109" s="27" t="n">
        <v>1</v>
      </c>
      <c r="M109" s="27" t="n">
        <v>1</v>
      </c>
      <c r="N109" s="28">
        <f>IF(C109="",0,IFERROR(INDEX($E109:$M109,MATCH('Recepción'!$D$5,$E$1:$M$1,0)),0))</f>
        <v/>
      </c>
      <c r="O109" s="28">
        <f>IF(N109=0,0,IF(A109="S",1,IF(OR(B109='Recepción'!$D$9,B109='Recepción'!$F$9,B109='Recepción'!$D$10,AND(B109="Contacto con líquido",'Recepción'!$E$25="Sí"),AND(B109="Golpe / Caída",'Recepción'!$E$24="Sí"),AND(B109="No enciende",'Recepción'!$E$27="No")),1,0)))</f>
        <v/>
      </c>
      <c r="P109" s="28">
        <f>IF(O109=1,COUNTIF($O$2:O109,1),0)</f>
        <v/>
      </c>
    </row>
    <row r="110">
      <c r="A110" s="18" t="inlineStr">
        <is>
          <t>B</t>
        </is>
      </c>
      <c r="B110" s="20" t="inlineStr">
        <is>
          <t>Red / Señal / Conectividad</t>
        </is>
      </c>
      <c r="C110" s="20" t="inlineStr">
        <is>
          <t>¿El Bluetooth no funciona?</t>
        </is>
      </c>
      <c r="D110" s="18" t="inlineStr">
        <is>
          <t>SN</t>
        </is>
      </c>
      <c r="E110" s="27" t="n">
        <v>1</v>
      </c>
      <c r="F110" s="27" t="n">
        <v>1</v>
      </c>
      <c r="G110" s="27" t="n">
        <v>1</v>
      </c>
      <c r="H110" s="27" t="n">
        <v>1</v>
      </c>
      <c r="I110" s="27" t="n">
        <v>1</v>
      </c>
      <c r="J110" s="27" t="n">
        <v>1</v>
      </c>
      <c r="K110" s="27" t="n">
        <v>1</v>
      </c>
      <c r="L110" s="27" t="n">
        <v>1</v>
      </c>
      <c r="M110" s="27" t="n">
        <v>1</v>
      </c>
      <c r="N110" s="28">
        <f>IF(C110="",0,IFERROR(INDEX($E110:$M110,MATCH('Recepción'!$D$5,$E$1:$M$1,0)),0))</f>
        <v/>
      </c>
      <c r="O110" s="28">
        <f>IF(N110=0,0,IF(A110="S",1,IF(OR(B110='Recepción'!$D$9,B110='Recepción'!$F$9,B110='Recepción'!$D$10,AND(B110="Contacto con líquido",'Recepción'!$E$25="Sí"),AND(B110="Golpe / Caída",'Recepción'!$E$24="Sí"),AND(B110="No enciende",'Recepción'!$E$27="No")),1,0)))</f>
        <v/>
      </c>
      <c r="P110" s="28">
        <f>IF(O110=1,COUNTIF($O$2:O110,1),0)</f>
        <v/>
      </c>
    </row>
    <row r="111">
      <c r="A111" s="18" t="inlineStr">
        <is>
          <t>B</t>
        </is>
      </c>
      <c r="B111" s="20" t="inlineStr">
        <is>
          <t>Red / Señal / Conectividad</t>
        </is>
      </c>
      <c r="C111" s="20" t="inlineStr">
        <is>
          <t>¿El GPS falla?</t>
        </is>
      </c>
      <c r="D111" s="18" t="inlineStr">
        <is>
          <t>SN</t>
        </is>
      </c>
      <c r="E111" s="27" t="n">
        <v>1</v>
      </c>
      <c r="F111" s="27" t="n">
        <v>1</v>
      </c>
      <c r="G111" s="27" t="n">
        <v>1</v>
      </c>
      <c r="H111" s="27" t="n">
        <v>0</v>
      </c>
      <c r="I111" s="27" t="n">
        <v>0</v>
      </c>
      <c r="J111" s="27" t="n">
        <v>0</v>
      </c>
      <c r="K111" s="27" t="n">
        <v>0</v>
      </c>
      <c r="L111" s="27" t="n">
        <v>0</v>
      </c>
      <c r="M111" s="27" t="n">
        <v>0</v>
      </c>
      <c r="N111" s="28">
        <f>IF(C111="",0,IFERROR(INDEX($E111:$M111,MATCH('Recepción'!$D$5,$E$1:$M$1,0)),0))</f>
        <v/>
      </c>
      <c r="O111" s="28">
        <f>IF(N111=0,0,IF(A111="S",1,IF(OR(B111='Recepción'!$D$9,B111='Recepción'!$F$9,B111='Recepción'!$D$10,AND(B111="Contacto con líquido",'Recepción'!$E$25="Sí"),AND(B111="Golpe / Caída",'Recepción'!$E$24="Sí"),AND(B111="No enciende",'Recepción'!$E$27="No")),1,0)))</f>
        <v/>
      </c>
      <c r="P111" s="28">
        <f>IF(O111=1,COUNTIF($O$2:O111,1),0)</f>
        <v/>
      </c>
    </row>
    <row r="112">
      <c r="A112" s="18" t="inlineStr">
        <is>
          <t>B</t>
        </is>
      </c>
      <c r="B112" s="20" t="inlineStr">
        <is>
          <t>Red / Señal / Conectividad</t>
        </is>
      </c>
      <c r="C112" s="20" t="inlineStr">
        <is>
          <t>¿No sincroniza con el teléfono?</t>
        </is>
      </c>
      <c r="D112" s="18" t="inlineStr">
        <is>
          <t>SN</t>
        </is>
      </c>
      <c r="E112" s="27" t="n">
        <v>0</v>
      </c>
      <c r="F112" s="27" t="n">
        <v>0</v>
      </c>
      <c r="G112" s="27" t="n">
        <v>1</v>
      </c>
      <c r="H112" s="27" t="n">
        <v>0</v>
      </c>
      <c r="I112" s="27" t="n">
        <v>0</v>
      </c>
      <c r="J112" s="27" t="n">
        <v>0</v>
      </c>
      <c r="K112" s="27" t="n">
        <v>0</v>
      </c>
      <c r="L112" s="27" t="n">
        <v>0</v>
      </c>
      <c r="M112" s="27" t="n">
        <v>0</v>
      </c>
      <c r="N112" s="28">
        <f>IF(C112="",0,IFERROR(INDEX($E112:$M112,MATCH('Recepción'!$D$5,$E$1:$M$1,0)),0))</f>
        <v/>
      </c>
      <c r="O112" s="28">
        <f>IF(N112=0,0,IF(A112="S",1,IF(OR(B112='Recepción'!$D$9,B112='Recepción'!$F$9,B112='Recepción'!$D$10,AND(B112="Contacto con líquido",'Recepción'!$E$25="Sí"),AND(B112="Golpe / Caída",'Recepción'!$E$24="Sí"),AND(B112="No enciende",'Recepción'!$E$27="No")),1,0)))</f>
        <v/>
      </c>
      <c r="P112" s="28">
        <f>IF(O112=1,COUNTIF($O$2:O112,1),0)</f>
        <v/>
      </c>
    </row>
    <row r="113">
      <c r="A113" s="18" t="inlineStr">
        <is>
          <t>B</t>
        </is>
      </c>
      <c r="B113" s="20" t="inlineStr">
        <is>
          <t>Red / Señal / Conectividad</t>
        </is>
      </c>
      <c r="C113" s="20" t="inlineStr">
        <is>
          <t>¿Con qué teléfono está vinculado?</t>
        </is>
      </c>
      <c r="D113" s="18" t="inlineStr">
        <is>
          <t>TXT</t>
        </is>
      </c>
      <c r="E113" s="27" t="n">
        <v>0</v>
      </c>
      <c r="F113" s="27" t="n">
        <v>0</v>
      </c>
      <c r="G113" s="27" t="n">
        <v>1</v>
      </c>
      <c r="H113" s="27" t="n">
        <v>0</v>
      </c>
      <c r="I113" s="27" t="n">
        <v>0</v>
      </c>
      <c r="J113" s="27" t="n">
        <v>0</v>
      </c>
      <c r="K113" s="27" t="n">
        <v>0</v>
      </c>
      <c r="L113" s="27" t="n">
        <v>0</v>
      </c>
      <c r="M113" s="27" t="n">
        <v>0</v>
      </c>
      <c r="N113" s="28">
        <f>IF(C113="",0,IFERROR(INDEX($E113:$M113,MATCH('Recepción'!$D$5,$E$1:$M$1,0)),0))</f>
        <v/>
      </c>
      <c r="O113" s="28">
        <f>IF(N113=0,0,IF(A113="S",1,IF(OR(B113='Recepción'!$D$9,B113='Recepción'!$F$9,B113='Recepción'!$D$10,AND(B113="Contacto con líquido",'Recepción'!$E$25="Sí"),AND(B113="Golpe / Caída",'Recepción'!$E$24="Sí"),AND(B113="No enciende",'Recepción'!$E$27="No")),1,0)))</f>
        <v/>
      </c>
      <c r="P113" s="28">
        <f>IF(O113=1,COUNTIF($O$2:O113,1),0)</f>
        <v/>
      </c>
    </row>
    <row r="114">
      <c r="A114" s="18" t="inlineStr">
        <is>
          <t>B</t>
        </is>
      </c>
      <c r="B114" s="20" t="inlineStr">
        <is>
          <t>Red / Señal / Conectividad</t>
        </is>
      </c>
      <c r="C114" s="20" t="inlineStr">
        <is>
          <t>¿No le llegan las notificaciones?</t>
        </is>
      </c>
      <c r="D114" s="18" t="inlineStr">
        <is>
          <t>SN</t>
        </is>
      </c>
      <c r="E114" s="27" t="n">
        <v>0</v>
      </c>
      <c r="F114" s="27" t="n">
        <v>0</v>
      </c>
      <c r="G114" s="27" t="n">
        <v>1</v>
      </c>
      <c r="H114" s="27" t="n">
        <v>0</v>
      </c>
      <c r="I114" s="27" t="n">
        <v>0</v>
      </c>
      <c r="J114" s="27" t="n">
        <v>0</v>
      </c>
      <c r="K114" s="27" t="n">
        <v>0</v>
      </c>
      <c r="L114" s="27" t="n">
        <v>0</v>
      </c>
      <c r="M114" s="27" t="n">
        <v>0</v>
      </c>
      <c r="N114" s="28">
        <f>IF(C114="",0,IFERROR(INDEX($E114:$M114,MATCH('Recepción'!$D$5,$E$1:$M$1,0)),0))</f>
        <v/>
      </c>
      <c r="O114" s="28">
        <f>IF(N114=0,0,IF(A114="S",1,IF(OR(B114='Recepción'!$D$9,B114='Recepción'!$F$9,B114='Recepción'!$D$10,AND(B114="Contacto con líquido",'Recepción'!$E$25="Sí"),AND(B114="Golpe / Caída",'Recepción'!$E$24="Sí"),AND(B114="No enciende",'Recepción'!$E$27="No")),1,0)))</f>
        <v/>
      </c>
      <c r="P114" s="28">
        <f>IF(O114=1,COUNTIF($O$2:O114,1),0)</f>
        <v/>
      </c>
    </row>
    <row r="115">
      <c r="A115" s="18" t="inlineStr">
        <is>
          <t>B</t>
        </is>
      </c>
      <c r="B115" s="20" t="inlineStr">
        <is>
          <t>Red / Señal / Conectividad</t>
        </is>
      </c>
      <c r="C115" s="20" t="inlineStr">
        <is>
          <t>¿El puerto de red (Ethernet) no funciona?</t>
        </is>
      </c>
      <c r="D115" s="18" t="inlineStr">
        <is>
          <t>SN</t>
        </is>
      </c>
      <c r="E115" s="27" t="n">
        <v>0</v>
      </c>
      <c r="F115" s="27" t="n">
        <v>0</v>
      </c>
      <c r="G115" s="27" t="n">
        <v>0</v>
      </c>
      <c r="H115" s="27" t="n">
        <v>1</v>
      </c>
      <c r="I115" s="27" t="n">
        <v>1</v>
      </c>
      <c r="J115" s="27" t="n">
        <v>0</v>
      </c>
      <c r="K115" s="27" t="n">
        <v>0</v>
      </c>
      <c r="L115" s="27" t="n">
        <v>0</v>
      </c>
      <c r="M115" s="27" t="n">
        <v>0</v>
      </c>
      <c r="N115" s="28">
        <f>IF(C115="",0,IFERROR(INDEX($E115:$M115,MATCH('Recepción'!$D$5,$E$1:$M$1,0)),0))</f>
        <v/>
      </c>
      <c r="O115" s="28">
        <f>IF(N115=0,0,IF(A115="S",1,IF(OR(B115='Recepción'!$D$9,B115='Recepción'!$F$9,B115='Recepción'!$D$10,AND(B115="Contacto con líquido",'Recepción'!$E$25="Sí"),AND(B115="Golpe / Caída",'Recepción'!$E$24="Sí"),AND(B115="No enciende",'Recepción'!$E$27="No")),1,0)))</f>
        <v/>
      </c>
      <c r="P115" s="28">
        <f>IF(O115=1,COUNTIF($O$2:O115,1),0)</f>
        <v/>
      </c>
    </row>
    <row r="116">
      <c r="A116" s="18" t="inlineStr">
        <is>
          <t>B</t>
        </is>
      </c>
      <c r="B116" s="20" t="inlineStr">
        <is>
          <t>Red / Señal / Conectividad</t>
        </is>
      </c>
      <c r="C116" s="20" t="inlineStr">
        <is>
          <t>¿No conecta a los servicios en línea (PSN, Xbox Live, Nintendo)?</t>
        </is>
      </c>
      <c r="D116" s="18" t="inlineStr">
        <is>
          <t>SN</t>
        </is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0</v>
      </c>
      <c r="L116" s="27" t="n">
        <v>1</v>
      </c>
      <c r="M116" s="27" t="n">
        <v>0</v>
      </c>
      <c r="N116" s="28">
        <f>IF(C116="",0,IFERROR(INDEX($E116:$M116,MATCH('Recepción'!$D$5,$E$1:$M$1,0)),0))</f>
        <v/>
      </c>
      <c r="O116" s="28">
        <f>IF(N116=0,0,IF(A116="S",1,IF(OR(B116='Recepción'!$D$9,B116='Recepción'!$F$9,B116='Recepción'!$D$10,AND(B116="Contacto con líquido",'Recepción'!$E$25="Sí"),AND(B116="Golpe / Caída",'Recepción'!$E$24="Sí"),AND(B116="No enciende",'Recepción'!$E$27="No")),1,0)))</f>
        <v/>
      </c>
      <c r="P116" s="28">
        <f>IF(O116=1,COUNTIF($O$2:O116,1),0)</f>
        <v/>
      </c>
    </row>
    <row r="117">
      <c r="A117" s="18" t="inlineStr">
        <is>
          <t>B</t>
        </is>
      </c>
      <c r="B117" s="20" t="inlineStr">
        <is>
          <t>Teclado / Touchpad / Puertos</t>
        </is>
      </c>
      <c r="C117" s="20" t="inlineStr">
        <is>
          <t>¿Hay teclas que no funcionan?</t>
        </is>
      </c>
      <c r="D117" s="18" t="inlineStr">
        <is>
          <t>SN</t>
        </is>
      </c>
      <c r="E117" s="27" t="n">
        <v>0</v>
      </c>
      <c r="F117" s="27" t="n">
        <v>0</v>
      </c>
      <c r="G117" s="27" t="n">
        <v>0</v>
      </c>
      <c r="H117" s="27" t="n">
        <v>1</v>
      </c>
      <c r="I117" s="27" t="n">
        <v>0</v>
      </c>
      <c r="J117" s="27" t="n">
        <v>1</v>
      </c>
      <c r="K117" s="27" t="n">
        <v>0</v>
      </c>
      <c r="L117" s="27" t="n">
        <v>0</v>
      </c>
      <c r="M117" s="27" t="n">
        <v>0</v>
      </c>
      <c r="N117" s="28">
        <f>IF(C117="",0,IFERROR(INDEX($E117:$M117,MATCH('Recepción'!$D$5,$E$1:$M$1,0)),0))</f>
        <v/>
      </c>
      <c r="O117" s="28">
        <f>IF(N117=0,0,IF(A117="S",1,IF(OR(B117='Recepción'!$D$9,B117='Recepción'!$F$9,B117='Recepción'!$D$10,AND(B117="Contacto con líquido",'Recepción'!$E$25="Sí"),AND(B117="Golpe / Caída",'Recepción'!$E$24="Sí"),AND(B117="No enciende",'Recepción'!$E$27="No")),1,0)))</f>
        <v/>
      </c>
      <c r="P117" s="28">
        <f>IF(O117=1,COUNTIF($O$2:O117,1),0)</f>
        <v/>
      </c>
    </row>
    <row r="118">
      <c r="A118" s="18" t="inlineStr">
        <is>
          <t>B</t>
        </is>
      </c>
      <c r="B118" s="20" t="inlineStr">
        <is>
          <t>Teclado / Touchpad / Puertos</t>
        </is>
      </c>
      <c r="C118" s="20" t="inlineStr">
        <is>
          <t>¿El touchpad falla o hace clic solo?</t>
        </is>
      </c>
      <c r="D118" s="18" t="inlineStr">
        <is>
          <t>SN</t>
        </is>
      </c>
      <c r="E118" s="27" t="n">
        <v>0</v>
      </c>
      <c r="F118" s="27" t="n">
        <v>0</v>
      </c>
      <c r="G118" s="27" t="n">
        <v>0</v>
      </c>
      <c r="H118" s="27" t="n">
        <v>1</v>
      </c>
      <c r="I118" s="27" t="n">
        <v>0</v>
      </c>
      <c r="J118" s="27" t="n">
        <v>1</v>
      </c>
      <c r="K118" s="27" t="n">
        <v>0</v>
      </c>
      <c r="L118" s="27" t="n">
        <v>0</v>
      </c>
      <c r="M118" s="27" t="n">
        <v>0</v>
      </c>
      <c r="N118" s="28">
        <f>IF(C118="",0,IFERROR(INDEX($E118:$M118,MATCH('Recepción'!$D$5,$E$1:$M$1,0)),0))</f>
        <v/>
      </c>
      <c r="O118" s="28">
        <f>IF(N118=0,0,IF(A118="S",1,IF(OR(B118='Recepción'!$D$9,B118='Recepción'!$F$9,B118='Recepción'!$D$10,AND(B118="Contacto con líquido",'Recepción'!$E$25="Sí"),AND(B118="Golpe / Caída",'Recepción'!$E$24="Sí"),AND(B118="No enciende",'Recepción'!$E$27="No")),1,0)))</f>
        <v/>
      </c>
      <c r="P118" s="28">
        <f>IF(O118=1,COUNTIF($O$2:O118,1),0)</f>
        <v/>
      </c>
    </row>
    <row r="119">
      <c r="A119" s="18" t="inlineStr">
        <is>
          <t>B</t>
        </is>
      </c>
      <c r="B119" s="20" t="inlineStr">
        <is>
          <t>Teclado / Touchpad / Puertos</t>
        </is>
      </c>
      <c r="C119" s="20" t="inlineStr">
        <is>
          <t>¿Teclado o mouse externos no son detectados?</t>
        </is>
      </c>
      <c r="D119" s="18" t="inlineStr">
        <is>
          <t>SN</t>
        </is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1</v>
      </c>
      <c r="J119" s="27" t="n">
        <v>0</v>
      </c>
      <c r="K119" s="27" t="n">
        <v>1</v>
      </c>
      <c r="L119" s="27" t="n">
        <v>0</v>
      </c>
      <c r="M119" s="27" t="n">
        <v>0</v>
      </c>
      <c r="N119" s="28">
        <f>IF(C119="",0,IFERROR(INDEX($E119:$M119,MATCH('Recepción'!$D$5,$E$1:$M$1,0)),0))</f>
        <v/>
      </c>
      <c r="O119" s="28">
        <f>IF(N119=0,0,IF(A119="S",1,IF(OR(B119='Recepción'!$D$9,B119='Recepción'!$F$9,B119='Recepción'!$D$10,AND(B119="Contacto con líquido",'Recepción'!$E$25="Sí"),AND(B119="Golpe / Caída",'Recepción'!$E$24="Sí"),AND(B119="No enciende",'Recepción'!$E$27="No")),1,0)))</f>
        <v/>
      </c>
      <c r="P119" s="28">
        <f>IF(O119=1,COUNTIF($O$2:O119,1),0)</f>
        <v/>
      </c>
    </row>
    <row r="120">
      <c r="A120" s="18" t="inlineStr">
        <is>
          <t>B</t>
        </is>
      </c>
      <c r="B120" s="20" t="inlineStr">
        <is>
          <t>Teclado / Touchpad / Puertos</t>
        </is>
      </c>
      <c r="C120" s="20" t="inlineStr">
        <is>
          <t>¿Algún puerto USB no funciona?</t>
        </is>
      </c>
      <c r="D120" s="18" t="inlineStr">
        <is>
          <t>SN</t>
        </is>
      </c>
      <c r="E120" s="27" t="n">
        <v>0</v>
      </c>
      <c r="F120" s="27" t="n">
        <v>0</v>
      </c>
      <c r="G120" s="27" t="n">
        <v>0</v>
      </c>
      <c r="H120" s="27" t="n">
        <v>1</v>
      </c>
      <c r="I120" s="27" t="n">
        <v>1</v>
      </c>
      <c r="J120" s="27" t="n">
        <v>1</v>
      </c>
      <c r="K120" s="27" t="n">
        <v>1</v>
      </c>
      <c r="L120" s="27" t="n">
        <v>0</v>
      </c>
      <c r="M120" s="27" t="n">
        <v>0</v>
      </c>
      <c r="N120" s="28">
        <f>IF(C120="",0,IFERROR(INDEX($E120:$M120,MATCH('Recepción'!$D$5,$E$1:$M$1,0)),0))</f>
        <v/>
      </c>
      <c r="O120" s="28">
        <f>IF(N120=0,0,IF(A120="S",1,IF(OR(B120='Recepción'!$D$9,B120='Recepción'!$F$9,B120='Recepción'!$D$10,AND(B120="Contacto con líquido",'Recepción'!$E$25="Sí"),AND(B120="Golpe / Caída",'Recepción'!$E$24="Sí"),AND(B120="No enciende",'Recepción'!$E$27="No")),1,0)))</f>
        <v/>
      </c>
      <c r="P120" s="28">
        <f>IF(O120=1,COUNTIF($O$2:O120,1),0)</f>
        <v/>
      </c>
    </row>
    <row r="121">
      <c r="A121" s="18" t="inlineStr">
        <is>
          <t>B</t>
        </is>
      </c>
      <c r="B121" s="20" t="inlineStr">
        <is>
          <t>Teclado / Touchpad / Puertos</t>
        </is>
      </c>
      <c r="C121" s="20" t="inlineStr">
        <is>
          <t>¿Falla el puerto HDMI, USB-C o lector de tarjetas?</t>
        </is>
      </c>
      <c r="D121" s="18" t="inlineStr">
        <is>
          <t>SN</t>
        </is>
      </c>
      <c r="E121" s="27" t="n">
        <v>0</v>
      </c>
      <c r="F121" s="27" t="n">
        <v>0</v>
      </c>
      <c r="G121" s="27" t="n">
        <v>0</v>
      </c>
      <c r="H121" s="27" t="n">
        <v>1</v>
      </c>
      <c r="I121" s="27" t="n">
        <v>1</v>
      </c>
      <c r="J121" s="27" t="n">
        <v>1</v>
      </c>
      <c r="K121" s="27" t="n">
        <v>1</v>
      </c>
      <c r="L121" s="27" t="n">
        <v>0</v>
      </c>
      <c r="M121" s="27" t="n">
        <v>0</v>
      </c>
      <c r="N121" s="28">
        <f>IF(C121="",0,IFERROR(INDEX($E121:$M121,MATCH('Recepción'!$D$5,$E$1:$M$1,0)),0))</f>
        <v/>
      </c>
      <c r="O121" s="28">
        <f>IF(N121=0,0,IF(A121="S",1,IF(OR(B121='Recepción'!$D$9,B121='Recepción'!$F$9,B121='Recepción'!$D$10,AND(B121="Contacto con líquido",'Recepción'!$E$25="Sí"),AND(B121="Golpe / Caída",'Recepción'!$E$24="Sí"),AND(B121="No enciende",'Recepción'!$E$27="No")),1,0)))</f>
        <v/>
      </c>
      <c r="P121" s="28">
        <f>IF(O121=1,COUNTIF($O$2:O121,1),0)</f>
        <v/>
      </c>
    </row>
    <row r="122">
      <c r="A122" s="18" t="inlineStr">
        <is>
          <t>B</t>
        </is>
      </c>
      <c r="B122" s="20" t="inlineStr">
        <is>
          <t>Teclado / Touchpad / Puertos</t>
        </is>
      </c>
      <c r="C122" s="20" t="inlineStr">
        <is>
          <t>¿El botón de encendido responde bien?</t>
        </is>
      </c>
      <c r="D122" s="18" t="inlineStr">
        <is>
          <t>SN</t>
        </is>
      </c>
      <c r="E122" s="27" t="n">
        <v>0</v>
      </c>
      <c r="F122" s="27" t="n">
        <v>0</v>
      </c>
      <c r="G122" s="27" t="n">
        <v>0</v>
      </c>
      <c r="H122" s="27" t="n">
        <v>1</v>
      </c>
      <c r="I122" s="27" t="n">
        <v>1</v>
      </c>
      <c r="J122" s="27" t="n">
        <v>1</v>
      </c>
      <c r="K122" s="27" t="n">
        <v>1</v>
      </c>
      <c r="L122" s="27" t="n">
        <v>0</v>
      </c>
      <c r="M122" s="27" t="n">
        <v>0</v>
      </c>
      <c r="N122" s="28">
        <f>IF(C122="",0,IFERROR(INDEX($E122:$M122,MATCH('Recepción'!$D$5,$E$1:$M$1,0)),0))</f>
        <v/>
      </c>
      <c r="O122" s="28">
        <f>IF(N122=0,0,IF(A122="S",1,IF(OR(B122='Recepción'!$D$9,B122='Recepción'!$F$9,B122='Recepción'!$D$10,AND(B122="Contacto con líquido",'Recepción'!$E$25="Sí"),AND(B122="Golpe / Caída",'Recepción'!$E$24="Sí"),AND(B122="No enciende",'Recepción'!$E$27="No")),1,0)))</f>
        <v/>
      </c>
      <c r="P122" s="28">
        <f>IF(O122=1,COUNTIF($O$2:O122,1),0)</f>
        <v/>
      </c>
    </row>
    <row r="123">
      <c r="A123" s="18" t="inlineStr">
        <is>
          <t>B</t>
        </is>
      </c>
      <c r="B123" s="20" t="inlineStr">
        <is>
          <t>Lector de disco / Juegos</t>
        </is>
      </c>
      <c r="C123" s="20" t="inlineStr">
        <is>
          <t>¿No lee los discos?</t>
        </is>
      </c>
      <c r="D123" s="18" t="inlineStr">
        <is>
          <t>SN</t>
        </is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0</v>
      </c>
      <c r="J123" s="27" t="n">
        <v>0</v>
      </c>
      <c r="K123" s="27" t="n">
        <v>0</v>
      </c>
      <c r="L123" s="27" t="n">
        <v>1</v>
      </c>
      <c r="M123" s="27" t="n">
        <v>0</v>
      </c>
      <c r="N123" s="28">
        <f>IF(C123="",0,IFERROR(INDEX($E123:$M123,MATCH('Recepción'!$D$5,$E$1:$M$1,0)),0))</f>
        <v/>
      </c>
      <c r="O123" s="28">
        <f>IF(N123=0,0,IF(A123="S",1,IF(OR(B123='Recepción'!$D$9,B123='Recepción'!$F$9,B123='Recepción'!$D$10,AND(B123="Contacto con líquido",'Recepción'!$E$25="Sí"),AND(B123="Golpe / Caída",'Recepción'!$E$24="Sí"),AND(B123="No enciende",'Recepción'!$E$27="No")),1,0)))</f>
        <v/>
      </c>
      <c r="P123" s="28">
        <f>IF(O123=1,COUNTIF($O$2:O123,1),0)</f>
        <v/>
      </c>
    </row>
    <row r="124">
      <c r="A124" s="18" t="inlineStr">
        <is>
          <t>B</t>
        </is>
      </c>
      <c r="B124" s="20" t="inlineStr">
        <is>
          <t>Lector de disco / Juegos</t>
        </is>
      </c>
      <c r="C124" s="20" t="inlineStr">
        <is>
          <t>¿Expulsa el disco solo?</t>
        </is>
      </c>
      <c r="D124" s="18" t="inlineStr">
        <is>
          <t>SN</t>
        </is>
      </c>
      <c r="E124" s="27" t="n">
        <v>0</v>
      </c>
      <c r="F124" s="27" t="n">
        <v>0</v>
      </c>
      <c r="G124" s="27" t="n">
        <v>0</v>
      </c>
      <c r="H124" s="27" t="n">
        <v>0</v>
      </c>
      <c r="I124" s="27" t="n">
        <v>0</v>
      </c>
      <c r="J124" s="27" t="n">
        <v>0</v>
      </c>
      <c r="K124" s="27" t="n">
        <v>0</v>
      </c>
      <c r="L124" s="27" t="n">
        <v>1</v>
      </c>
      <c r="M124" s="27" t="n">
        <v>0</v>
      </c>
      <c r="N124" s="28">
        <f>IF(C124="",0,IFERROR(INDEX($E124:$M124,MATCH('Recepción'!$D$5,$E$1:$M$1,0)),0))</f>
        <v/>
      </c>
      <c r="O124" s="28">
        <f>IF(N124=0,0,IF(A124="S",1,IF(OR(B124='Recepción'!$D$9,B124='Recepción'!$F$9,B124='Recepción'!$D$10,AND(B124="Contacto con líquido",'Recepción'!$E$25="Sí"),AND(B124="Golpe / Caída",'Recepción'!$E$24="Sí"),AND(B124="No enciende",'Recepción'!$E$27="No")),1,0)))</f>
        <v/>
      </c>
      <c r="P124" s="28">
        <f>IF(O124=1,COUNTIF($O$2:O124,1),0)</f>
        <v/>
      </c>
    </row>
    <row r="125">
      <c r="A125" s="18" t="inlineStr">
        <is>
          <t>B</t>
        </is>
      </c>
      <c r="B125" s="20" t="inlineStr">
        <is>
          <t>Lector de disco / Juegos</t>
        </is>
      </c>
      <c r="C125" s="20" t="inlineStr">
        <is>
          <t>¿Hace ruido al leer el disco?</t>
        </is>
      </c>
      <c r="D125" s="18" t="inlineStr">
        <is>
          <t>SN</t>
        </is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0</v>
      </c>
      <c r="J125" s="27" t="n">
        <v>0</v>
      </c>
      <c r="K125" s="27" t="n">
        <v>0</v>
      </c>
      <c r="L125" s="27" t="n">
        <v>1</v>
      </c>
      <c r="M125" s="27" t="n">
        <v>0</v>
      </c>
      <c r="N125" s="28">
        <f>IF(C125="",0,IFERROR(INDEX($E125:$M125,MATCH('Recepción'!$D$5,$E$1:$M$1,0)),0))</f>
        <v/>
      </c>
      <c r="O125" s="28">
        <f>IF(N125=0,0,IF(A125="S",1,IF(OR(B125='Recepción'!$D$9,B125='Recepción'!$F$9,B125='Recepción'!$D$10,AND(B125="Contacto con líquido",'Recepción'!$E$25="Sí"),AND(B125="Golpe / Caída",'Recepción'!$E$24="Sí"),AND(B125="No enciende",'Recepción'!$E$27="No")),1,0)))</f>
        <v/>
      </c>
      <c r="P125" s="28">
        <f>IF(O125=1,COUNTIF($O$2:O125,1),0)</f>
        <v/>
      </c>
    </row>
    <row r="126">
      <c r="A126" s="18" t="inlineStr">
        <is>
          <t>B</t>
        </is>
      </c>
      <c r="B126" s="20" t="inlineStr">
        <is>
          <t>Lector de disco / Juegos</t>
        </is>
      </c>
      <c r="C126" s="20" t="inlineStr">
        <is>
          <t>¿Falla con todos los juegos o con uno solo? (indique cuál)</t>
        </is>
      </c>
      <c r="D126" s="18" t="inlineStr">
        <is>
          <t>TXT</t>
        </is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0</v>
      </c>
      <c r="J126" s="27" t="n">
        <v>0</v>
      </c>
      <c r="K126" s="27" t="n">
        <v>0</v>
      </c>
      <c r="L126" s="27" t="n">
        <v>1</v>
      </c>
      <c r="M126" s="27" t="n">
        <v>0</v>
      </c>
      <c r="N126" s="28">
        <f>IF(C126="",0,IFERROR(INDEX($E126:$M126,MATCH('Recepción'!$D$5,$E$1:$M$1,0)),0))</f>
        <v/>
      </c>
      <c r="O126" s="28">
        <f>IF(N126=0,0,IF(A126="S",1,IF(OR(B126='Recepción'!$D$9,B126='Recepción'!$F$9,B126='Recepción'!$D$10,AND(B126="Contacto con líquido",'Recepción'!$E$25="Sí"),AND(B126="Golpe / Caída",'Recepción'!$E$24="Sí"),AND(B126="No enciende",'Recepción'!$E$27="No")),1,0)))</f>
        <v/>
      </c>
      <c r="P126" s="28">
        <f>IF(O126=1,COUNTIF($O$2:O126,1),0)</f>
        <v/>
      </c>
    </row>
    <row r="127">
      <c r="A127" s="18" t="inlineStr">
        <is>
          <t>B</t>
        </is>
      </c>
      <c r="B127" s="20" t="inlineStr">
        <is>
          <t>Lector de disco / Juegos</t>
        </is>
      </c>
      <c r="C127" s="20" t="inlineStr">
        <is>
          <t>¿Hay un disco dentro actualmente?</t>
        </is>
      </c>
      <c r="D127" s="18" t="inlineStr">
        <is>
          <t>SN</t>
        </is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0</v>
      </c>
      <c r="L127" s="27" t="n">
        <v>1</v>
      </c>
      <c r="M127" s="27" t="n">
        <v>0</v>
      </c>
      <c r="N127" s="28">
        <f>IF(C127="",0,IFERROR(INDEX($E127:$M127,MATCH('Recepción'!$D$5,$E$1:$M$1,0)),0))</f>
        <v/>
      </c>
      <c r="O127" s="28">
        <f>IF(N127=0,0,IF(A127="S",1,IF(OR(B127='Recepción'!$D$9,B127='Recepción'!$F$9,B127='Recepción'!$D$10,AND(B127="Contacto con líquido",'Recepción'!$E$25="Sí"),AND(B127="Golpe / Caída",'Recepción'!$E$24="Sí"),AND(B127="No enciende",'Recepción'!$E$27="No")),1,0)))</f>
        <v/>
      </c>
      <c r="P127" s="28">
        <f>IF(O127=1,COUNTIF($O$2:O127,1),0)</f>
        <v/>
      </c>
    </row>
    <row r="128">
      <c r="A128" s="18" t="inlineStr">
        <is>
          <t>B</t>
        </is>
      </c>
      <c r="B128" s="20" t="inlineStr">
        <is>
          <t>Control / Mando</t>
        </is>
      </c>
      <c r="C128" s="20" t="inlineStr">
        <is>
          <t>¿El control no carga?</t>
        </is>
      </c>
      <c r="D128" s="18" t="inlineStr">
        <is>
          <t>SN</t>
        </is>
      </c>
      <c r="E128" s="27" t="n">
        <v>0</v>
      </c>
      <c r="F128" s="27" t="n">
        <v>0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  <c r="L128" s="27" t="n">
        <v>1</v>
      </c>
      <c r="M128" s="27" t="n">
        <v>0</v>
      </c>
      <c r="N128" s="28">
        <f>IF(C128="",0,IFERROR(INDEX($E128:$M128,MATCH('Recepción'!$D$5,$E$1:$M$1,0)),0))</f>
        <v/>
      </c>
      <c r="O128" s="28">
        <f>IF(N128=0,0,IF(A128="S",1,IF(OR(B128='Recepción'!$D$9,B128='Recepción'!$F$9,B128='Recepción'!$D$10,AND(B128="Contacto con líquido",'Recepción'!$E$25="Sí"),AND(B128="Golpe / Caída",'Recepción'!$E$24="Sí"),AND(B128="No enciende",'Recepción'!$E$27="No")),1,0)))</f>
        <v/>
      </c>
      <c r="P128" s="28">
        <f>IF(O128=1,COUNTIF($O$2:O128,1),0)</f>
        <v/>
      </c>
    </row>
    <row r="129">
      <c r="A129" s="18" t="inlineStr">
        <is>
          <t>B</t>
        </is>
      </c>
      <c r="B129" s="20" t="inlineStr">
        <is>
          <t>Control / Mando</t>
        </is>
      </c>
      <c r="C129" s="20" t="inlineStr">
        <is>
          <t>¿El control no sincroniza?</t>
        </is>
      </c>
      <c r="D129" s="18" t="inlineStr">
        <is>
          <t>SN</t>
        </is>
      </c>
      <c r="E129" s="27" t="n">
        <v>0</v>
      </c>
      <c r="F129" s="27" t="n">
        <v>0</v>
      </c>
      <c r="G129" s="27" t="n">
        <v>0</v>
      </c>
      <c r="H129" s="27" t="n">
        <v>0</v>
      </c>
      <c r="I129" s="27" t="n">
        <v>0</v>
      </c>
      <c r="J129" s="27" t="n">
        <v>0</v>
      </c>
      <c r="K129" s="27" t="n">
        <v>0</v>
      </c>
      <c r="L129" s="27" t="n">
        <v>1</v>
      </c>
      <c r="M129" s="27" t="n">
        <v>0</v>
      </c>
      <c r="N129" s="28">
        <f>IF(C129="",0,IFERROR(INDEX($E129:$M129,MATCH('Recepción'!$D$5,$E$1:$M$1,0)),0))</f>
        <v/>
      </c>
      <c r="O129" s="28">
        <f>IF(N129=0,0,IF(A129="S",1,IF(OR(B129='Recepción'!$D$9,B129='Recepción'!$F$9,B129='Recepción'!$D$10,AND(B129="Contacto con líquido",'Recepción'!$E$25="Sí"),AND(B129="Golpe / Caída",'Recepción'!$E$24="Sí"),AND(B129="No enciende",'Recepción'!$E$27="No")),1,0)))</f>
        <v/>
      </c>
      <c r="P129" s="28">
        <f>IF(O129=1,COUNTIF($O$2:O129,1),0)</f>
        <v/>
      </c>
    </row>
    <row r="130">
      <c r="A130" s="18" t="inlineStr">
        <is>
          <t>B</t>
        </is>
      </c>
      <c r="B130" s="20" t="inlineStr">
        <is>
          <t>Control / Mando</t>
        </is>
      </c>
      <c r="C130" s="20" t="inlineStr">
        <is>
          <t>¿Tiene «drift» (el stick se mueve solo)?</t>
        </is>
      </c>
      <c r="D130" s="18" t="inlineStr">
        <is>
          <t>SN</t>
        </is>
      </c>
      <c r="E130" s="27" t="n">
        <v>0</v>
      </c>
      <c r="F130" s="27" t="n">
        <v>0</v>
      </c>
      <c r="G130" s="27" t="n">
        <v>0</v>
      </c>
      <c r="H130" s="27" t="n">
        <v>0</v>
      </c>
      <c r="I130" s="27" t="n">
        <v>0</v>
      </c>
      <c r="J130" s="27" t="n">
        <v>0</v>
      </c>
      <c r="K130" s="27" t="n">
        <v>0</v>
      </c>
      <c r="L130" s="27" t="n">
        <v>1</v>
      </c>
      <c r="M130" s="27" t="n">
        <v>0</v>
      </c>
      <c r="N130" s="28">
        <f>IF(C130="",0,IFERROR(INDEX($E130:$M130,MATCH('Recepción'!$D$5,$E$1:$M$1,0)),0))</f>
        <v/>
      </c>
      <c r="O130" s="28">
        <f>IF(N130=0,0,IF(A130="S",1,IF(OR(B130='Recepción'!$D$9,B130='Recepción'!$F$9,B130='Recepción'!$D$10,AND(B130="Contacto con líquido",'Recepción'!$E$25="Sí"),AND(B130="Golpe / Caída",'Recepción'!$E$24="Sí"),AND(B130="No enciende",'Recepción'!$E$27="No")),1,0)))</f>
        <v/>
      </c>
      <c r="P130" s="28">
        <f>IF(O130=1,COUNTIF($O$2:O130,1),0)</f>
        <v/>
      </c>
    </row>
    <row r="131">
      <c r="A131" s="18" t="inlineStr">
        <is>
          <t>B</t>
        </is>
      </c>
      <c r="B131" s="20" t="inlineStr">
        <is>
          <t>Control / Mando</t>
        </is>
      </c>
      <c r="C131" s="20" t="inlineStr">
        <is>
          <t>¿Fallan botones o gatillos?</t>
        </is>
      </c>
      <c r="D131" s="18" t="inlineStr">
        <is>
          <t>SN</t>
        </is>
      </c>
      <c r="E131" s="27" t="n">
        <v>0</v>
      </c>
      <c r="F131" s="27" t="n">
        <v>0</v>
      </c>
      <c r="G131" s="27" t="n">
        <v>0</v>
      </c>
      <c r="H131" s="27" t="n">
        <v>0</v>
      </c>
      <c r="I131" s="27" t="n">
        <v>0</v>
      </c>
      <c r="J131" s="27" t="n">
        <v>0</v>
      </c>
      <c r="K131" s="27" t="n">
        <v>0</v>
      </c>
      <c r="L131" s="27" t="n">
        <v>1</v>
      </c>
      <c r="M131" s="27" t="n">
        <v>0</v>
      </c>
      <c r="N131" s="28">
        <f>IF(C131="",0,IFERROR(INDEX($E131:$M131,MATCH('Recepción'!$D$5,$E$1:$M$1,0)),0))</f>
        <v/>
      </c>
      <c r="O131" s="28">
        <f>IF(N131=0,0,IF(A131="S",1,IF(OR(B131='Recepción'!$D$9,B131='Recepción'!$F$9,B131='Recepción'!$D$10,AND(B131="Contacto con líquido",'Recepción'!$E$25="Sí"),AND(B131="Golpe / Caída",'Recepción'!$E$24="Sí"),AND(B131="No enciende",'Recepción'!$E$27="No")),1,0)))</f>
        <v/>
      </c>
      <c r="P131" s="28">
        <f>IF(O131=1,COUNTIF($O$2:O131,1),0)</f>
        <v/>
      </c>
    </row>
    <row r="132">
      <c r="A132" s="18" t="inlineStr">
        <is>
          <t>B</t>
        </is>
      </c>
      <c r="B132" s="20" t="inlineStr">
        <is>
          <t>Control / Mando</t>
        </is>
      </c>
      <c r="C132" s="20" t="inlineStr">
        <is>
          <t>¿Ha probado con otro control?</t>
        </is>
      </c>
      <c r="D132" s="18" t="inlineStr">
        <is>
          <t>SN</t>
        </is>
      </c>
      <c r="E132" s="27" t="n">
        <v>0</v>
      </c>
      <c r="F132" s="27" t="n">
        <v>0</v>
      </c>
      <c r="G132" s="27" t="n">
        <v>0</v>
      </c>
      <c r="H132" s="27" t="n">
        <v>0</v>
      </c>
      <c r="I132" s="27" t="n">
        <v>0</v>
      </c>
      <c r="J132" s="27" t="n">
        <v>0</v>
      </c>
      <c r="K132" s="27" t="n">
        <v>0</v>
      </c>
      <c r="L132" s="27" t="n">
        <v>1</v>
      </c>
      <c r="M132" s="27" t="n">
        <v>0</v>
      </c>
      <c r="N132" s="28">
        <f>IF(C132="",0,IFERROR(INDEX($E132:$M132,MATCH('Recepción'!$D$5,$E$1:$M$1,0)),0))</f>
        <v/>
      </c>
      <c r="O132" s="28">
        <f>IF(N132=0,0,IF(A132="S",1,IF(OR(B132='Recepción'!$D$9,B132='Recepción'!$F$9,B132='Recepción'!$D$10,AND(B132="Contacto con líquido",'Recepción'!$E$25="Sí"),AND(B132="Golpe / Caída",'Recepción'!$E$24="Sí"),AND(B132="No enciende",'Recepción'!$E$27="No")),1,0)))</f>
        <v/>
      </c>
      <c r="P132" s="28">
        <f>IF(O132=1,COUNTIF($O$2:O132,1),0)</f>
        <v/>
      </c>
    </row>
    <row r="133">
      <c r="A133" s="18" t="inlineStr">
        <is>
          <t>B</t>
        </is>
      </c>
      <c r="B133" s="20" t="inlineStr">
        <is>
          <t>Control / Mando</t>
        </is>
      </c>
      <c r="C133" s="20" t="inlineStr">
        <is>
          <t>¿Cuántos controles trae?</t>
        </is>
      </c>
      <c r="D133" s="18" t="inlineStr">
        <is>
          <t>TXT</t>
        </is>
      </c>
      <c r="E133" s="27" t="n">
        <v>0</v>
      </c>
      <c r="F133" s="27" t="n">
        <v>0</v>
      </c>
      <c r="G133" s="27" t="n">
        <v>0</v>
      </c>
      <c r="H133" s="27" t="n">
        <v>0</v>
      </c>
      <c r="I133" s="27" t="n">
        <v>0</v>
      </c>
      <c r="J133" s="27" t="n">
        <v>0</v>
      </c>
      <c r="K133" s="27" t="n">
        <v>0</v>
      </c>
      <c r="L133" s="27" t="n">
        <v>1</v>
      </c>
      <c r="M133" s="27" t="n">
        <v>0</v>
      </c>
      <c r="N133" s="28">
        <f>IF(C133="",0,IFERROR(INDEX($E133:$M133,MATCH('Recepción'!$D$5,$E$1:$M$1,0)),0))</f>
        <v/>
      </c>
      <c r="O133" s="28">
        <f>IF(N133=0,0,IF(A133="S",1,IF(OR(B133='Recepción'!$D$9,B133='Recepción'!$F$9,B133='Recepción'!$D$10,AND(B133="Contacto con líquido",'Recepción'!$E$25="Sí"),AND(B133="Golpe / Caída",'Recepción'!$E$24="Sí"),AND(B133="No enciende",'Recepción'!$E$27="No")),1,0)))</f>
        <v/>
      </c>
      <c r="P133" s="28">
        <f>IF(O133=1,COUNTIF($O$2:O133,1),0)</f>
        <v/>
      </c>
    </row>
    <row r="134">
      <c r="A134" s="18" t="inlineStr">
        <is>
          <t>B</t>
        </is>
      </c>
      <c r="B134" s="20" t="inlineStr">
        <is>
          <t>Sensores / Botones / Correa</t>
        </is>
      </c>
      <c r="C134" s="20" t="inlineStr">
        <is>
          <t>¿El sensor de ritmo cardíaco u oxígeno falla?</t>
        </is>
      </c>
      <c r="D134" s="18" t="inlineStr">
        <is>
          <t>SN</t>
        </is>
      </c>
      <c r="E134" s="27" t="n">
        <v>0</v>
      </c>
      <c r="F134" s="27" t="n">
        <v>0</v>
      </c>
      <c r="G134" s="27" t="n">
        <v>1</v>
      </c>
      <c r="H134" s="27" t="n">
        <v>0</v>
      </c>
      <c r="I134" s="27" t="n">
        <v>0</v>
      </c>
      <c r="J134" s="27" t="n">
        <v>0</v>
      </c>
      <c r="K134" s="27" t="n">
        <v>0</v>
      </c>
      <c r="L134" s="27" t="n">
        <v>0</v>
      </c>
      <c r="M134" s="27" t="n">
        <v>0</v>
      </c>
      <c r="N134" s="28">
        <f>IF(C134="",0,IFERROR(INDEX($E134:$M134,MATCH('Recepción'!$D$5,$E$1:$M$1,0)),0))</f>
        <v/>
      </c>
      <c r="O134" s="28">
        <f>IF(N134=0,0,IF(A134="S",1,IF(OR(B134='Recepción'!$D$9,B134='Recepción'!$F$9,B134='Recepción'!$D$10,AND(B134="Contacto con líquido",'Recepción'!$E$25="Sí"),AND(B134="Golpe / Caída",'Recepción'!$E$24="Sí"),AND(B134="No enciende",'Recepción'!$E$27="No")),1,0)))</f>
        <v/>
      </c>
      <c r="P134" s="28">
        <f>IF(O134=1,COUNTIF($O$2:O134,1),0)</f>
        <v/>
      </c>
    </row>
    <row r="135">
      <c r="A135" s="18" t="inlineStr">
        <is>
          <t>B</t>
        </is>
      </c>
      <c r="B135" s="20" t="inlineStr">
        <is>
          <t>Sensores / Botones / Correa</t>
        </is>
      </c>
      <c r="C135" s="20" t="inlineStr">
        <is>
          <t>¿Los botones o la corona no responden?</t>
        </is>
      </c>
      <c r="D135" s="18" t="inlineStr">
        <is>
          <t>SN</t>
        </is>
      </c>
      <c r="E135" s="27" t="n">
        <v>0</v>
      </c>
      <c r="F135" s="27" t="n">
        <v>0</v>
      </c>
      <c r="G135" s="27" t="n">
        <v>1</v>
      </c>
      <c r="H135" s="27" t="n">
        <v>0</v>
      </c>
      <c r="I135" s="27" t="n">
        <v>0</v>
      </c>
      <c r="J135" s="27" t="n">
        <v>0</v>
      </c>
      <c r="K135" s="27" t="n">
        <v>0</v>
      </c>
      <c r="L135" s="27" t="n">
        <v>0</v>
      </c>
      <c r="M135" s="27" t="n">
        <v>0</v>
      </c>
      <c r="N135" s="28">
        <f>IF(C135="",0,IFERROR(INDEX($E135:$M135,MATCH('Recepción'!$D$5,$E$1:$M$1,0)),0))</f>
        <v/>
      </c>
      <c r="O135" s="28">
        <f>IF(N135=0,0,IF(A135="S",1,IF(OR(B135='Recepción'!$D$9,B135='Recepción'!$F$9,B135='Recepción'!$D$10,AND(B135="Contacto con líquido",'Recepción'!$E$25="Sí"),AND(B135="Golpe / Caída",'Recepción'!$E$24="Sí"),AND(B135="No enciende",'Recepción'!$E$27="No")),1,0)))</f>
        <v/>
      </c>
      <c r="P135" s="28">
        <f>IF(O135=1,COUNTIF($O$2:O135,1),0)</f>
        <v/>
      </c>
    </row>
    <row r="136">
      <c r="A136" s="18" t="inlineStr">
        <is>
          <t>B</t>
        </is>
      </c>
      <c r="B136" s="20" t="inlineStr">
        <is>
          <t>Sensores / Botones / Correa</t>
        </is>
      </c>
      <c r="C136" s="20" t="inlineStr">
        <is>
          <t>¿La correa o hebilla está dañada?</t>
        </is>
      </c>
      <c r="D136" s="18" t="inlineStr">
        <is>
          <t>SN</t>
        </is>
      </c>
      <c r="E136" s="27" t="n">
        <v>0</v>
      </c>
      <c r="F136" s="27" t="n">
        <v>0</v>
      </c>
      <c r="G136" s="27" t="n">
        <v>1</v>
      </c>
      <c r="H136" s="27" t="n">
        <v>0</v>
      </c>
      <c r="I136" s="27" t="n">
        <v>0</v>
      </c>
      <c r="J136" s="27" t="n">
        <v>0</v>
      </c>
      <c r="K136" s="27" t="n">
        <v>0</v>
      </c>
      <c r="L136" s="27" t="n">
        <v>0</v>
      </c>
      <c r="M136" s="27" t="n">
        <v>0</v>
      </c>
      <c r="N136" s="28">
        <f>IF(C136="",0,IFERROR(INDEX($E136:$M136,MATCH('Recepción'!$D$5,$E$1:$M$1,0)),0))</f>
        <v/>
      </c>
      <c r="O136" s="28">
        <f>IF(N136=0,0,IF(A136="S",1,IF(OR(B136='Recepción'!$D$9,B136='Recepción'!$F$9,B136='Recepción'!$D$10,AND(B136="Contacto con líquido",'Recepción'!$E$25="Sí"),AND(B136="Golpe / Caída",'Recepción'!$E$24="Sí"),AND(B136="No enciende",'Recepción'!$E$27="No")),1,0)))</f>
        <v/>
      </c>
      <c r="P136" s="28">
        <f>IF(O136=1,COUNTIF($O$2:O136,1),0)</f>
        <v/>
      </c>
    </row>
    <row r="137">
      <c r="A137" s="18" t="inlineStr">
        <is>
          <t>B</t>
        </is>
      </c>
      <c r="B137" s="20" t="inlineStr">
        <is>
          <t>Sensores / Botones / Correa</t>
        </is>
      </c>
      <c r="C137" s="20" t="inlineStr">
        <is>
          <t>¿Se desvincula solo del teléfono?</t>
        </is>
      </c>
      <c r="D137" s="18" t="inlineStr">
        <is>
          <t>SN</t>
        </is>
      </c>
      <c r="E137" s="27" t="n">
        <v>0</v>
      </c>
      <c r="F137" s="27" t="n">
        <v>0</v>
      </c>
      <c r="G137" s="27" t="n">
        <v>1</v>
      </c>
      <c r="H137" s="27" t="n">
        <v>0</v>
      </c>
      <c r="I137" s="27" t="n">
        <v>0</v>
      </c>
      <c r="J137" s="27" t="n">
        <v>0</v>
      </c>
      <c r="K137" s="27" t="n">
        <v>0</v>
      </c>
      <c r="L137" s="27" t="n">
        <v>0</v>
      </c>
      <c r="M137" s="27" t="n">
        <v>0</v>
      </c>
      <c r="N137" s="28">
        <f>IF(C137="",0,IFERROR(INDEX($E137:$M137,MATCH('Recepción'!$D$5,$E$1:$M$1,0)),0))</f>
        <v/>
      </c>
      <c r="O137" s="28">
        <f>IF(N137=0,0,IF(A137="S",1,IF(OR(B137='Recepción'!$D$9,B137='Recepción'!$F$9,B137='Recepción'!$D$10,AND(B137="Contacto con líquido",'Recepción'!$E$25="Sí"),AND(B137="Golpe / Caída",'Recepción'!$E$24="Sí"),AND(B137="No enciende",'Recepción'!$E$27="No")),1,0)))</f>
        <v/>
      </c>
      <c r="P137" s="28">
        <f>IF(O137=1,COUNTIF($O$2:O137,1),0)</f>
        <v/>
      </c>
    </row>
    <row r="138">
      <c r="A138" s="18" t="inlineStr">
        <is>
          <t>B</t>
        </is>
      </c>
      <c r="B138" s="20" t="inlineStr">
        <is>
          <t>Sensores / Botones / Correa</t>
        </is>
      </c>
      <c r="C138" s="20" t="inlineStr">
        <is>
          <t>¿Ya se le hizo restablecimiento de fábrica?</t>
        </is>
      </c>
      <c r="D138" s="18" t="inlineStr">
        <is>
          <t>SN</t>
        </is>
      </c>
      <c r="E138" s="27" t="n">
        <v>0</v>
      </c>
      <c r="F138" s="27" t="n">
        <v>0</v>
      </c>
      <c r="G138" s="27" t="n">
        <v>1</v>
      </c>
      <c r="H138" s="27" t="n">
        <v>0</v>
      </c>
      <c r="I138" s="27" t="n">
        <v>0</v>
      </c>
      <c r="J138" s="27" t="n">
        <v>0</v>
      </c>
      <c r="K138" s="27" t="n">
        <v>0</v>
      </c>
      <c r="L138" s="27" t="n">
        <v>0</v>
      </c>
      <c r="M138" s="27" t="n">
        <v>0</v>
      </c>
      <c r="N138" s="28">
        <f>IF(C138="",0,IFERROR(INDEX($E138:$M138,MATCH('Recepción'!$D$5,$E$1:$M$1,0)),0))</f>
        <v/>
      </c>
      <c r="O138" s="28">
        <f>IF(N138=0,0,IF(A138="S",1,IF(OR(B138='Recepción'!$D$9,B138='Recepción'!$F$9,B138='Recepción'!$D$10,AND(B138="Contacto con líquido",'Recepción'!$E$25="Sí"),AND(B138="Golpe / Caída",'Recepción'!$E$24="Sí"),AND(B138="No enciende",'Recepción'!$E$27="No")),1,0)))</f>
        <v/>
      </c>
      <c r="P138" s="28">
        <f>IF(O138=1,COUNTIF($O$2:O138,1),0)</f>
        <v/>
      </c>
    </row>
    <row r="139">
      <c r="A139" s="18" t="inlineStr">
        <is>
          <t>B</t>
        </is>
      </c>
      <c r="B139" s="20" t="inlineStr">
        <is>
          <t>Otra falla</t>
        </is>
      </c>
      <c r="C139" s="20" t="inlineStr">
        <is>
          <t>Describa la otra falla o condición</t>
        </is>
      </c>
      <c r="D139" s="18" t="inlineStr">
        <is>
          <t>TXT</t>
        </is>
      </c>
      <c r="E139" s="27" t="n">
        <v>1</v>
      </c>
      <c r="F139" s="27" t="n">
        <v>1</v>
      </c>
      <c r="G139" s="27" t="n">
        <v>1</v>
      </c>
      <c r="H139" s="27" t="n">
        <v>1</v>
      </c>
      <c r="I139" s="27" t="n">
        <v>1</v>
      </c>
      <c r="J139" s="27" t="n">
        <v>1</v>
      </c>
      <c r="K139" s="27" t="n">
        <v>1</v>
      </c>
      <c r="L139" s="27" t="n">
        <v>1</v>
      </c>
      <c r="M139" s="27" t="n">
        <v>1</v>
      </c>
      <c r="N139" s="28">
        <f>IF(C139="",0,IFERROR(INDEX($E139:$M139,MATCH('Recepción'!$D$5,$E$1:$M$1,0)),0))</f>
        <v/>
      </c>
      <c r="O139" s="28">
        <f>IF(N139=0,0,IF(A139="S",1,IF(OR(B139='Recepción'!$D$9,B139='Recepción'!$F$9,B139='Recepción'!$D$10,AND(B139="Contacto con líquido",'Recepción'!$E$25="Sí"),AND(B139="Golpe / Caída",'Recepción'!$E$24="Sí"),AND(B139="No enciende",'Recepción'!$E$27="No")),1,0)))</f>
        <v/>
      </c>
      <c r="P139" s="28">
        <f>IF(O139=1,COUNTIF($O$2:O139,1),0)</f>
        <v/>
      </c>
    </row>
    <row r="140">
      <c r="A140" s="18" t="inlineStr">
        <is>
          <t>B</t>
        </is>
      </c>
      <c r="B140" s="20" t="inlineStr">
        <is>
          <t>Otra falla</t>
        </is>
      </c>
      <c r="C140" s="20" t="inlineStr">
        <is>
          <t>¿Qué soluciones ya intentó el cliente?</t>
        </is>
      </c>
      <c r="D140" s="18" t="inlineStr">
        <is>
          <t>TXT</t>
        </is>
      </c>
      <c r="E140" s="27" t="n">
        <v>1</v>
      </c>
      <c r="F140" s="27" t="n">
        <v>1</v>
      </c>
      <c r="G140" s="27" t="n">
        <v>1</v>
      </c>
      <c r="H140" s="27" t="n">
        <v>1</v>
      </c>
      <c r="I140" s="27" t="n">
        <v>1</v>
      </c>
      <c r="J140" s="27" t="n">
        <v>1</v>
      </c>
      <c r="K140" s="27" t="n">
        <v>1</v>
      </c>
      <c r="L140" s="27" t="n">
        <v>1</v>
      </c>
      <c r="M140" s="27" t="n">
        <v>1</v>
      </c>
      <c r="N140" s="28">
        <f>IF(C140="",0,IFERROR(INDEX($E140:$M140,MATCH('Recepción'!$D$5,$E$1:$M$1,0)),0))</f>
        <v/>
      </c>
      <c r="O140" s="28">
        <f>IF(N140=0,0,IF(A140="S",1,IF(OR(B140='Recepción'!$D$9,B140='Recepción'!$F$9,B140='Recepción'!$D$10,AND(B140="Contacto con líquido",'Recepción'!$E$25="Sí"),AND(B140="Golpe / Caída",'Recepción'!$E$24="Sí"),AND(B140="No enciende",'Recepción'!$E$27="No")),1,0)))</f>
        <v/>
      </c>
      <c r="P140" s="28">
        <f>IF(O140=1,COUNTIF($O$2:O140,1),0)</f>
        <v/>
      </c>
    </row>
    <row r="141">
      <c r="A141" s="18" t="inlineStr">
        <is>
          <t>S</t>
        </is>
      </c>
      <c r="B141" s="20" t="inlineStr"/>
      <c r="C141" s="20" t="inlineStr">
        <is>
          <t>C. VERIFICACIÓN DE RECEPCIÓN RCP (la completa el colaborador que recibe)</t>
        </is>
      </c>
      <c r="D141" s="18" t="inlineStr">
        <is>
          <t>HEAD</t>
        </is>
      </c>
      <c r="E141" s="27" t="n">
        <v>1</v>
      </c>
      <c r="F141" s="27" t="n">
        <v>1</v>
      </c>
      <c r="G141" s="27" t="n">
        <v>1</v>
      </c>
      <c r="H141" s="27" t="n">
        <v>1</v>
      </c>
      <c r="I141" s="27" t="n">
        <v>1</v>
      </c>
      <c r="J141" s="27" t="n">
        <v>1</v>
      </c>
      <c r="K141" s="27" t="n">
        <v>1</v>
      </c>
      <c r="L141" s="27" t="n">
        <v>1</v>
      </c>
      <c r="M141" s="27" t="n">
        <v>1</v>
      </c>
      <c r="N141" s="28">
        <f>IF(C141="",0,IFERROR(INDEX($E141:$M141,MATCH('Recepción'!$D$5,$E$1:$M$1,0)),0))</f>
        <v/>
      </c>
      <c r="O141" s="28">
        <f>IF(N141=0,0,IF(A141="S",1,IF(OR(B141='Recepción'!$D$9,B141='Recepción'!$F$9,B141='Recepción'!$D$10,AND(B141="Contacto con líquido",'Recepción'!$E$25="Sí"),AND(B141="Golpe / Caída",'Recepción'!$E$24="Sí"),AND(B141="No enciende",'Recepción'!$E$27="No")),1,0)))</f>
        <v/>
      </c>
      <c r="P141" s="28">
        <f>IF(O141=1,COUNTIF($O$2:O141,1),0)</f>
        <v/>
      </c>
    </row>
    <row r="142">
      <c r="A142" s="18" t="inlineStr">
        <is>
          <t>S</t>
        </is>
      </c>
      <c r="B142" s="20" t="inlineStr">
        <is>
          <t>Estado físico</t>
        </is>
      </c>
      <c r="C142" s="20" t="inlineStr">
        <is>
          <t>Pantalla</t>
        </is>
      </c>
      <c r="D142" s="18" t="inlineStr">
        <is>
          <t>E_PANT</t>
        </is>
      </c>
      <c r="E142" s="27" t="n">
        <v>1</v>
      </c>
      <c r="F142" s="27" t="n">
        <v>1</v>
      </c>
      <c r="G142" s="27" t="n">
        <v>1</v>
      </c>
      <c r="H142" s="27" t="n">
        <v>1</v>
      </c>
      <c r="I142" s="27" t="n">
        <v>0</v>
      </c>
      <c r="J142" s="27" t="n">
        <v>1</v>
      </c>
      <c r="K142" s="27" t="n">
        <v>1</v>
      </c>
      <c r="L142" s="27" t="n">
        <v>0</v>
      </c>
      <c r="M142" s="27" t="n">
        <v>1</v>
      </c>
      <c r="N142" s="28">
        <f>IF(C142="",0,IFERROR(INDEX($E142:$M142,MATCH('Recepción'!$D$5,$E$1:$M$1,0)),0))</f>
        <v/>
      </c>
      <c r="O142" s="28">
        <f>IF(N142=0,0,IF(A142="S",1,IF(OR(B142='Recepción'!$D$9,B142='Recepción'!$F$9,B142='Recepción'!$D$10,AND(B142="Contacto con líquido",'Recepción'!$E$25="Sí"),AND(B142="Golpe / Caída",'Recepción'!$E$24="Sí"),AND(B142="No enciende",'Recepción'!$E$27="No")),1,0)))</f>
        <v/>
      </c>
      <c r="P142" s="28">
        <f>IF(O142=1,COUNTIF($O$2:O142,1),0)</f>
        <v/>
      </c>
    </row>
    <row r="143">
      <c r="A143" s="18" t="inlineStr">
        <is>
          <t>S</t>
        </is>
      </c>
      <c r="B143" s="20" t="inlineStr">
        <is>
          <t>Estado físico</t>
        </is>
      </c>
      <c r="C143" s="20" t="inlineStr">
        <is>
          <t>Carcasa / chasis</t>
        </is>
      </c>
      <c r="D143" s="18" t="inlineStr">
        <is>
          <t>E_CARC</t>
        </is>
      </c>
      <c r="E143" s="27" t="n">
        <v>1</v>
      </c>
      <c r="F143" s="27" t="n">
        <v>1</v>
      </c>
      <c r="G143" s="27" t="n">
        <v>1</v>
      </c>
      <c r="H143" s="27" t="n">
        <v>1</v>
      </c>
      <c r="I143" s="27" t="n">
        <v>1</v>
      </c>
      <c r="J143" s="27" t="n">
        <v>1</v>
      </c>
      <c r="K143" s="27" t="n">
        <v>1</v>
      </c>
      <c r="L143" s="27" t="n">
        <v>1</v>
      </c>
      <c r="M143" s="27" t="n">
        <v>1</v>
      </c>
      <c r="N143" s="28">
        <f>IF(C143="",0,IFERROR(INDEX($E143:$M143,MATCH('Recepción'!$D$5,$E$1:$M$1,0)),0))</f>
        <v/>
      </c>
      <c r="O143" s="28">
        <f>IF(N143=0,0,IF(A143="S",1,IF(OR(B143='Recepción'!$D$9,B143='Recepción'!$F$9,B143='Recepción'!$D$10,AND(B143="Contacto con líquido",'Recepción'!$E$25="Sí"),AND(B143="Golpe / Caída",'Recepción'!$E$24="Sí"),AND(B143="No enciende",'Recepción'!$E$27="No")),1,0)))</f>
        <v/>
      </c>
      <c r="P143" s="28">
        <f>IF(O143=1,COUNTIF($O$2:O143,1),0)</f>
        <v/>
      </c>
    </row>
    <row r="144">
      <c r="A144" s="18" t="inlineStr">
        <is>
          <t>S</t>
        </is>
      </c>
      <c r="B144" s="20" t="inlineStr">
        <is>
          <t>Estado físico</t>
        </is>
      </c>
      <c r="C144" s="20" t="inlineStr">
        <is>
          <t>Tornillos</t>
        </is>
      </c>
      <c r="D144" s="18" t="inlineStr">
        <is>
          <t>E_TORN</t>
        </is>
      </c>
      <c r="E144" s="27" t="n">
        <v>1</v>
      </c>
      <c r="F144" s="27" t="n">
        <v>1</v>
      </c>
      <c r="G144" s="27" t="n">
        <v>1</v>
      </c>
      <c r="H144" s="27" t="n">
        <v>1</v>
      </c>
      <c r="I144" s="27" t="n">
        <v>1</v>
      </c>
      <c r="J144" s="27" t="n">
        <v>1</v>
      </c>
      <c r="K144" s="27" t="n">
        <v>1</v>
      </c>
      <c r="L144" s="27" t="n">
        <v>1</v>
      </c>
      <c r="M144" s="27" t="n">
        <v>1</v>
      </c>
      <c r="N144" s="28">
        <f>IF(C144="",0,IFERROR(INDEX($E144:$M144,MATCH('Recepción'!$D$5,$E$1:$M$1,0)),0))</f>
        <v/>
      </c>
      <c r="O144" s="28">
        <f>IF(N144=0,0,IF(A144="S",1,IF(OR(B144='Recepción'!$D$9,B144='Recepción'!$F$9,B144='Recepción'!$D$10,AND(B144="Contacto con líquido",'Recepción'!$E$25="Sí"),AND(B144="Golpe / Caída",'Recepción'!$E$24="Sí"),AND(B144="No enciende",'Recepción'!$E$27="No")),1,0)))</f>
        <v/>
      </c>
      <c r="P144" s="28">
        <f>IF(O144=1,COUNTIF($O$2:O144,1),0)</f>
        <v/>
      </c>
    </row>
    <row r="145">
      <c r="A145" s="18" t="inlineStr">
        <is>
          <t>S</t>
        </is>
      </c>
      <c r="B145" s="20" t="inlineStr">
        <is>
          <t>Estado físico</t>
        </is>
      </c>
      <c r="C145" s="20" t="inlineStr">
        <is>
          <t>Bisagras</t>
        </is>
      </c>
      <c r="D145" s="18" t="inlineStr">
        <is>
          <t>E_BIS</t>
        </is>
      </c>
      <c r="E145" s="27" t="n">
        <v>0</v>
      </c>
      <c r="F145" s="27" t="n">
        <v>0</v>
      </c>
      <c r="G145" s="27" t="n">
        <v>0</v>
      </c>
      <c r="H145" s="27" t="n">
        <v>1</v>
      </c>
      <c r="I145" s="27" t="n">
        <v>0</v>
      </c>
      <c r="J145" s="27" t="n">
        <v>1</v>
      </c>
      <c r="K145" s="27" t="n">
        <v>0</v>
      </c>
      <c r="L145" s="27" t="n">
        <v>0</v>
      </c>
      <c r="M145" s="27" t="n">
        <v>0</v>
      </c>
      <c r="N145" s="28">
        <f>IF(C145="",0,IFERROR(INDEX($E145:$M145,MATCH('Recepción'!$D$5,$E$1:$M$1,0)),0))</f>
        <v/>
      </c>
      <c r="O145" s="28">
        <f>IF(N145=0,0,IF(A145="S",1,IF(OR(B145='Recepción'!$D$9,B145='Recepción'!$F$9,B145='Recepción'!$D$10,AND(B145="Contacto con líquido",'Recepción'!$E$25="Sí"),AND(B145="Golpe / Caída",'Recepción'!$E$24="Sí"),AND(B145="No enciende",'Recepción'!$E$27="No")),1,0)))</f>
        <v/>
      </c>
      <c r="P145" s="28">
        <f>IF(O145=1,COUNTIF($O$2:O145,1),0)</f>
        <v/>
      </c>
    </row>
    <row r="146">
      <c r="A146" s="18" t="inlineStr">
        <is>
          <t>S</t>
        </is>
      </c>
      <c r="B146" s="20" t="inlineStr">
        <is>
          <t>Estado físico</t>
        </is>
      </c>
      <c r="C146" s="20" t="inlineStr">
        <is>
          <t>Botones y puertos</t>
        </is>
      </c>
      <c r="D146" s="18" t="inlineStr">
        <is>
          <t>E_GEN</t>
        </is>
      </c>
      <c r="E146" s="27" t="n">
        <v>1</v>
      </c>
      <c r="F146" s="27" t="n">
        <v>1</v>
      </c>
      <c r="G146" s="27" t="n">
        <v>1</v>
      </c>
      <c r="H146" s="27" t="n">
        <v>1</v>
      </c>
      <c r="I146" s="27" t="n">
        <v>1</v>
      </c>
      <c r="J146" s="27" t="n">
        <v>1</v>
      </c>
      <c r="K146" s="27" t="n">
        <v>1</v>
      </c>
      <c r="L146" s="27" t="n">
        <v>1</v>
      </c>
      <c r="M146" s="27" t="n">
        <v>1</v>
      </c>
      <c r="N146" s="28">
        <f>IF(C146="",0,IFERROR(INDEX($E146:$M146,MATCH('Recepción'!$D$5,$E$1:$M$1,0)),0))</f>
        <v/>
      </c>
      <c r="O146" s="28">
        <f>IF(N146=0,0,IF(A146="S",1,IF(OR(B146='Recepción'!$D$9,B146='Recepción'!$F$9,B146='Recepción'!$D$10,AND(B146="Contacto con líquido",'Recepción'!$E$25="Sí"),AND(B146="Golpe / Caída",'Recepción'!$E$24="Sí"),AND(B146="No enciende",'Recepción'!$E$27="No")),1,0)))</f>
        <v/>
      </c>
      <c r="P146" s="28">
        <f>IF(O146=1,COUNTIF($O$2:O146,1),0)</f>
        <v/>
      </c>
    </row>
    <row r="147">
      <c r="A147" s="18" t="inlineStr">
        <is>
          <t>S</t>
        </is>
      </c>
      <c r="B147" s="20" t="inlineStr">
        <is>
          <t>Estado físico</t>
        </is>
      </c>
      <c r="C147" s="20" t="inlineStr">
        <is>
          <t>Correa / hebilla</t>
        </is>
      </c>
      <c r="D147" s="18" t="inlineStr">
        <is>
          <t>E_GEN</t>
        </is>
      </c>
      <c r="E147" s="27" t="n">
        <v>0</v>
      </c>
      <c r="F147" s="27" t="n">
        <v>0</v>
      </c>
      <c r="G147" s="27" t="n">
        <v>1</v>
      </c>
      <c r="H147" s="27" t="n">
        <v>0</v>
      </c>
      <c r="I147" s="27" t="n">
        <v>0</v>
      </c>
      <c r="J147" s="27" t="n">
        <v>0</v>
      </c>
      <c r="K147" s="27" t="n">
        <v>0</v>
      </c>
      <c r="L147" s="27" t="n">
        <v>0</v>
      </c>
      <c r="M147" s="27" t="n">
        <v>0</v>
      </c>
      <c r="N147" s="28">
        <f>IF(C147="",0,IFERROR(INDEX($E147:$M147,MATCH('Recepción'!$D$5,$E$1:$M$1,0)),0))</f>
        <v/>
      </c>
      <c r="O147" s="28">
        <f>IF(N147=0,0,IF(A147="S",1,IF(OR(B147='Recepción'!$D$9,B147='Recepción'!$F$9,B147='Recepción'!$D$10,AND(B147="Contacto con líquido",'Recepción'!$E$25="Sí"),AND(B147="Golpe / Caída",'Recepción'!$E$24="Sí"),AND(B147="No enciende",'Recepción'!$E$27="No")),1,0)))</f>
        <v/>
      </c>
      <c r="P147" s="28">
        <f>IF(O147=1,COUNTIF($O$2:O147,1),0)</f>
        <v/>
      </c>
    </row>
    <row r="148">
      <c r="A148" s="18" t="inlineStr">
        <is>
          <t>S</t>
        </is>
      </c>
      <c r="B148" s="20" t="inlineStr">
        <is>
          <t>Estado físico</t>
        </is>
      </c>
      <c r="C148" s="20" t="inlineStr">
        <is>
          <t>Ventilación / rejillas</t>
        </is>
      </c>
      <c r="D148" s="18" t="inlineStr">
        <is>
          <t>E_GEN</t>
        </is>
      </c>
      <c r="E148" s="27" t="n">
        <v>0</v>
      </c>
      <c r="F148" s="27" t="n">
        <v>0</v>
      </c>
      <c r="G148" s="27" t="n">
        <v>0</v>
      </c>
      <c r="H148" s="27" t="n">
        <v>1</v>
      </c>
      <c r="I148" s="27" t="n">
        <v>1</v>
      </c>
      <c r="J148" s="27" t="n">
        <v>1</v>
      </c>
      <c r="K148" s="27" t="n">
        <v>1</v>
      </c>
      <c r="L148" s="27" t="n">
        <v>1</v>
      </c>
      <c r="M148" s="27" t="n">
        <v>0</v>
      </c>
      <c r="N148" s="28">
        <f>IF(C148="",0,IFERROR(INDEX($E148:$M148,MATCH('Recepción'!$D$5,$E$1:$M$1,0)),0))</f>
        <v/>
      </c>
      <c r="O148" s="28">
        <f>IF(N148=0,0,IF(A148="S",1,IF(OR(B148='Recepción'!$D$9,B148='Recepción'!$F$9,B148='Recepción'!$D$10,AND(B148="Contacto con líquido",'Recepción'!$E$25="Sí"),AND(B148="Golpe / Caída",'Recepción'!$E$24="Sí"),AND(B148="No enciende",'Recepción'!$E$27="No")),1,0)))</f>
        <v/>
      </c>
      <c r="P148" s="28">
        <f>IF(O148=1,COUNTIF($O$2:O148,1),0)</f>
        <v/>
      </c>
    </row>
    <row r="149">
      <c r="A149" s="18" t="inlineStr">
        <is>
          <t>S</t>
        </is>
      </c>
      <c r="B149" s="20" t="inlineStr">
        <is>
          <t>Estado físico</t>
        </is>
      </c>
      <c r="C149" s="20" t="inlineStr">
        <is>
          <t>¿Señales de apertura previa?</t>
        </is>
      </c>
      <c r="D149" s="18" t="inlineStr">
        <is>
          <t>SN</t>
        </is>
      </c>
      <c r="E149" s="27" t="n">
        <v>1</v>
      </c>
      <c r="F149" s="27" t="n">
        <v>1</v>
      </c>
      <c r="G149" s="27" t="n">
        <v>1</v>
      </c>
      <c r="H149" s="27" t="n">
        <v>1</v>
      </c>
      <c r="I149" s="27" t="n">
        <v>1</v>
      </c>
      <c r="J149" s="27" t="n">
        <v>1</v>
      </c>
      <c r="K149" s="27" t="n">
        <v>1</v>
      </c>
      <c r="L149" s="27" t="n">
        <v>1</v>
      </c>
      <c r="M149" s="27" t="n">
        <v>1</v>
      </c>
      <c r="N149" s="28">
        <f>IF(C149="",0,IFERROR(INDEX($E149:$M149,MATCH('Recepción'!$D$5,$E$1:$M$1,0)),0))</f>
        <v/>
      </c>
      <c r="O149" s="28">
        <f>IF(N149=0,0,IF(A149="S",1,IF(OR(B149='Recepción'!$D$9,B149='Recepción'!$F$9,B149='Recepción'!$D$10,AND(B149="Contacto con líquido",'Recepción'!$E$25="Sí"),AND(B149="Golpe / Caída",'Recepción'!$E$24="Sí"),AND(B149="No enciende",'Recepción'!$E$27="No")),1,0)))</f>
        <v/>
      </c>
      <c r="P149" s="28">
        <f>IF(O149=1,COUNTIF($O$2:O149,1),0)</f>
        <v/>
      </c>
    </row>
    <row r="150">
      <c r="A150" s="18" t="inlineStr">
        <is>
          <t>S</t>
        </is>
      </c>
      <c r="B150" s="20" t="inlineStr">
        <is>
          <t>Estado físico</t>
        </is>
      </c>
      <c r="C150" s="20" t="inlineStr">
        <is>
          <t>¿Señales visibles de humedad?</t>
        </is>
      </c>
      <c r="D150" s="18" t="inlineStr">
        <is>
          <t>SN</t>
        </is>
      </c>
      <c r="E150" s="27" t="n">
        <v>1</v>
      </c>
      <c r="F150" s="27" t="n">
        <v>1</v>
      </c>
      <c r="G150" s="27" t="n">
        <v>1</v>
      </c>
      <c r="H150" s="27" t="n">
        <v>1</v>
      </c>
      <c r="I150" s="27" t="n">
        <v>1</v>
      </c>
      <c r="J150" s="27" t="n">
        <v>1</v>
      </c>
      <c r="K150" s="27" t="n">
        <v>1</v>
      </c>
      <c r="L150" s="27" t="n">
        <v>1</v>
      </c>
      <c r="M150" s="27" t="n">
        <v>1</v>
      </c>
      <c r="N150" s="28">
        <f>IF(C150="",0,IFERROR(INDEX($E150:$M150,MATCH('Recepción'!$D$5,$E$1:$M$1,0)),0))</f>
        <v/>
      </c>
      <c r="O150" s="28">
        <f>IF(N150=0,0,IF(A150="S",1,IF(OR(B150='Recepción'!$D$9,B150='Recepción'!$F$9,B150='Recepción'!$D$10,AND(B150="Contacto con líquido",'Recepción'!$E$25="Sí"),AND(B150="Golpe / Caída",'Recepción'!$E$24="Sí"),AND(B150="No enciende",'Recepción'!$E$27="No")),1,0)))</f>
        <v/>
      </c>
      <c r="P150" s="28">
        <f>IF(O150=1,COUNTIF($O$2:O150,1),0)</f>
        <v/>
      </c>
    </row>
    <row r="151">
      <c r="A151" s="18" t="inlineStr">
        <is>
          <t>S</t>
        </is>
      </c>
      <c r="B151" s="20" t="inlineStr">
        <is>
          <t>Estado físico</t>
        </is>
      </c>
      <c r="C151" s="20" t="inlineStr">
        <is>
          <t>¿Batería inflada?</t>
        </is>
      </c>
      <c r="D151" s="18" t="inlineStr">
        <is>
          <t>SN</t>
        </is>
      </c>
      <c r="E151" s="27" t="n">
        <v>1</v>
      </c>
      <c r="F151" s="27" t="n">
        <v>1</v>
      </c>
      <c r="G151" s="27" t="n">
        <v>1</v>
      </c>
      <c r="H151" s="27" t="n">
        <v>1</v>
      </c>
      <c r="I151" s="27" t="n">
        <v>0</v>
      </c>
      <c r="J151" s="27" t="n">
        <v>1</v>
      </c>
      <c r="K151" s="27" t="n">
        <v>0</v>
      </c>
      <c r="L151" s="27" t="n">
        <v>0</v>
      </c>
      <c r="M151" s="27" t="n">
        <v>1</v>
      </c>
      <c r="N151" s="28">
        <f>IF(C151="",0,IFERROR(INDEX($E151:$M151,MATCH('Recepción'!$D$5,$E$1:$M$1,0)),0))</f>
        <v/>
      </c>
      <c r="O151" s="28">
        <f>IF(N151=0,0,IF(A151="S",1,IF(OR(B151='Recepción'!$D$9,B151='Recepción'!$F$9,B151='Recepción'!$D$10,AND(B151="Contacto con líquido",'Recepción'!$E$25="Sí"),AND(B151="Golpe / Caída",'Recepción'!$E$24="Sí"),AND(B151="No enciende",'Recepción'!$E$27="No")),1,0)))</f>
        <v/>
      </c>
      <c r="P151" s="28">
        <f>IF(O151=1,COUNTIF($O$2:O151,1),0)</f>
        <v/>
      </c>
    </row>
    <row r="152">
      <c r="A152" s="18" t="inlineStr">
        <is>
          <t>S</t>
        </is>
      </c>
      <c r="B152" s="20" t="inlineStr">
        <is>
          <t>Estado físico</t>
        </is>
      </c>
      <c r="C152" s="20" t="inlineStr">
        <is>
          <t>Otro daño visible (describa)</t>
        </is>
      </c>
      <c r="D152" s="18" t="inlineStr">
        <is>
          <t>TXT</t>
        </is>
      </c>
      <c r="E152" s="27" t="n">
        <v>1</v>
      </c>
      <c r="F152" s="27" t="n">
        <v>1</v>
      </c>
      <c r="G152" s="27" t="n">
        <v>1</v>
      </c>
      <c r="H152" s="27" t="n">
        <v>1</v>
      </c>
      <c r="I152" s="27" t="n">
        <v>1</v>
      </c>
      <c r="J152" s="27" t="n">
        <v>1</v>
      </c>
      <c r="K152" s="27" t="n">
        <v>1</v>
      </c>
      <c r="L152" s="27" t="n">
        <v>1</v>
      </c>
      <c r="M152" s="27" t="n">
        <v>1</v>
      </c>
      <c r="N152" s="28">
        <f>IF(C152="",0,IFERROR(INDEX($E152:$M152,MATCH('Recepción'!$D$5,$E$1:$M$1,0)),0))</f>
        <v/>
      </c>
      <c r="O152" s="28">
        <f>IF(N152=0,0,IF(A152="S",1,IF(OR(B152='Recepción'!$D$9,B152='Recepción'!$F$9,B152='Recepción'!$D$10,AND(B152="Contacto con líquido",'Recepción'!$E$25="Sí"),AND(B152="Golpe / Caída",'Recepción'!$E$24="Sí"),AND(B152="No enciende",'Recepción'!$E$27="No")),1,0)))</f>
        <v/>
      </c>
      <c r="P152" s="28">
        <f>IF(O152=1,COUNTIF($O$2:O152,1),0)</f>
        <v/>
      </c>
    </row>
    <row r="153">
      <c r="A153" s="18" t="inlineStr">
        <is>
          <t>S</t>
        </is>
      </c>
      <c r="B153" s="20" t="inlineStr">
        <is>
          <t>Estado al ingresar</t>
        </is>
      </c>
      <c r="C153" s="20" t="inlineStr">
        <is>
          <t>¿Enciende?</t>
        </is>
      </c>
      <c r="D153" s="18" t="inlineStr">
        <is>
          <t>SNC</t>
        </is>
      </c>
      <c r="E153" s="27" t="n">
        <v>1</v>
      </c>
      <c r="F153" s="27" t="n">
        <v>1</v>
      </c>
      <c r="G153" s="27" t="n">
        <v>1</v>
      </c>
      <c r="H153" s="27" t="n">
        <v>1</v>
      </c>
      <c r="I153" s="27" t="n">
        <v>1</v>
      </c>
      <c r="J153" s="27" t="n">
        <v>1</v>
      </c>
      <c r="K153" s="27" t="n">
        <v>1</v>
      </c>
      <c r="L153" s="27" t="n">
        <v>1</v>
      </c>
      <c r="M153" s="27" t="n">
        <v>1</v>
      </c>
      <c r="N153" s="28">
        <f>IF(C153="",0,IFERROR(INDEX($E153:$M153,MATCH('Recepción'!$D$5,$E$1:$M$1,0)),0))</f>
        <v/>
      </c>
      <c r="O153" s="28">
        <f>IF(N153=0,0,IF(A153="S",1,IF(OR(B153='Recepción'!$D$9,B153='Recepción'!$F$9,B153='Recepción'!$D$10,AND(B153="Contacto con líquido",'Recepción'!$E$25="Sí"),AND(B153="Golpe / Caída",'Recepción'!$E$24="Sí"),AND(B153="No enciende",'Recepción'!$E$27="No")),1,0)))</f>
        <v/>
      </c>
      <c r="P153" s="28">
        <f>IF(O153=1,COUNTIF($O$2:O153,1),0)</f>
        <v/>
      </c>
    </row>
    <row r="154">
      <c r="A154" s="18" t="inlineStr">
        <is>
          <t>S</t>
        </is>
      </c>
      <c r="B154" s="20" t="inlineStr">
        <is>
          <t>Estado al ingresar</t>
        </is>
      </c>
      <c r="C154" s="20" t="inlineStr">
        <is>
          <t>¿Da imagen?</t>
        </is>
      </c>
      <c r="D154" s="18" t="inlineStr">
        <is>
          <t>SNC</t>
        </is>
      </c>
      <c r="E154" s="27" t="n">
        <v>1</v>
      </c>
      <c r="F154" s="27" t="n">
        <v>1</v>
      </c>
      <c r="G154" s="27" t="n">
        <v>0</v>
      </c>
      <c r="H154" s="27" t="n">
        <v>1</v>
      </c>
      <c r="I154" s="27" t="n">
        <v>1</v>
      </c>
      <c r="J154" s="27" t="n">
        <v>1</v>
      </c>
      <c r="K154" s="27" t="n">
        <v>1</v>
      </c>
      <c r="L154" s="27" t="n">
        <v>1</v>
      </c>
      <c r="M154" s="27" t="n">
        <v>1</v>
      </c>
      <c r="N154" s="28">
        <f>IF(C154="",0,IFERROR(INDEX($E154:$M154,MATCH('Recepción'!$D$5,$E$1:$M$1,0)),0))</f>
        <v/>
      </c>
      <c r="O154" s="28">
        <f>IF(N154=0,0,IF(A154="S",1,IF(OR(B154='Recepción'!$D$9,B154='Recepción'!$F$9,B154='Recepción'!$D$10,AND(B154="Contacto con líquido",'Recepción'!$E$25="Sí"),AND(B154="Golpe / Caída",'Recepción'!$E$24="Sí"),AND(B154="No enciende",'Recepción'!$E$27="No")),1,0)))</f>
        <v/>
      </c>
      <c r="P154" s="28">
        <f>IF(O154=1,COUNTIF($O$2:O154,1),0)</f>
        <v/>
      </c>
    </row>
    <row r="155">
      <c r="A155" s="18" t="inlineStr">
        <is>
          <t>S</t>
        </is>
      </c>
      <c r="B155" s="20" t="inlineStr">
        <is>
          <t>Estado al ingresar</t>
        </is>
      </c>
      <c r="C155" s="20" t="inlineStr">
        <is>
          <t>¿Inicia el sistema operativo?</t>
        </is>
      </c>
      <c r="D155" s="18" t="inlineStr">
        <is>
          <t>SNC</t>
        </is>
      </c>
      <c r="E155" s="27" t="n">
        <v>1</v>
      </c>
      <c r="F155" s="27" t="n">
        <v>1</v>
      </c>
      <c r="G155" s="27" t="n">
        <v>0</v>
      </c>
      <c r="H155" s="27" t="n">
        <v>1</v>
      </c>
      <c r="I155" s="27" t="n">
        <v>1</v>
      </c>
      <c r="J155" s="27" t="n">
        <v>1</v>
      </c>
      <c r="K155" s="27" t="n">
        <v>1</v>
      </c>
      <c r="L155" s="27" t="n">
        <v>1</v>
      </c>
      <c r="M155" s="27" t="n">
        <v>1</v>
      </c>
      <c r="N155" s="28">
        <f>IF(C155="",0,IFERROR(INDEX($E155:$M155,MATCH('Recepción'!$D$5,$E$1:$M$1,0)),0))</f>
        <v/>
      </c>
      <c r="O155" s="28">
        <f>IF(N155=0,0,IF(A155="S",1,IF(OR(B155='Recepción'!$D$9,B155='Recepción'!$F$9,B155='Recepción'!$D$10,AND(B155="Contacto con líquido",'Recepción'!$E$25="Sí"),AND(B155="Golpe / Caída",'Recepción'!$E$24="Sí"),AND(B155="No enciende",'Recepción'!$E$27="No")),1,0)))</f>
        <v/>
      </c>
      <c r="P155" s="28">
        <f>IF(O155=1,COUNTIF($O$2:O155,1),0)</f>
        <v/>
      </c>
    </row>
    <row r="156">
      <c r="A156" s="18" t="inlineStr">
        <is>
          <t>S</t>
        </is>
      </c>
      <c r="B156" s="20" t="inlineStr">
        <is>
          <t>Estado al ingresar</t>
        </is>
      </c>
      <c r="C156" s="20" t="inlineStr">
        <is>
          <t>¿Muestra la hora y responde?</t>
        </is>
      </c>
      <c r="D156" s="18" t="inlineStr">
        <is>
          <t>SNC</t>
        </is>
      </c>
      <c r="E156" s="27" t="n">
        <v>0</v>
      </c>
      <c r="F156" s="27" t="n">
        <v>0</v>
      </c>
      <c r="G156" s="27" t="n">
        <v>1</v>
      </c>
      <c r="H156" s="27" t="n">
        <v>0</v>
      </c>
      <c r="I156" s="27" t="n">
        <v>0</v>
      </c>
      <c r="J156" s="27" t="n">
        <v>0</v>
      </c>
      <c r="K156" s="27" t="n">
        <v>0</v>
      </c>
      <c r="L156" s="27" t="n">
        <v>0</v>
      </c>
      <c r="M156" s="27" t="n">
        <v>0</v>
      </c>
      <c r="N156" s="28">
        <f>IF(C156="",0,IFERROR(INDEX($E156:$M156,MATCH('Recepción'!$D$5,$E$1:$M$1,0)),0))</f>
        <v/>
      </c>
      <c r="O156" s="28">
        <f>IF(N156=0,0,IF(A156="S",1,IF(OR(B156='Recepción'!$D$9,B156='Recepción'!$F$9,B156='Recepción'!$D$10,AND(B156="Contacto con líquido",'Recepción'!$E$25="Sí"),AND(B156="Golpe / Caída",'Recepción'!$E$24="Sí"),AND(B156="No enciende",'Recepción'!$E$27="No")),1,0)))</f>
        <v/>
      </c>
      <c r="P156" s="28">
        <f>IF(O156=1,COUNTIF($O$2:O156,1),0)</f>
        <v/>
      </c>
    </row>
    <row r="157">
      <c r="A157" s="18" t="inlineStr">
        <is>
          <t>S</t>
        </is>
      </c>
      <c r="B157" s="20" t="inlineStr">
        <is>
          <t>Accesorios entregados</t>
        </is>
      </c>
      <c r="C157" s="20" t="inlineStr">
        <is>
          <t>Accesorio: Cargador</t>
        </is>
      </c>
      <c r="D157" s="18" t="inlineStr">
        <is>
          <t>PR</t>
        </is>
      </c>
      <c r="E157" s="27" t="n">
        <v>1</v>
      </c>
      <c r="F157" s="27" t="n">
        <v>0</v>
      </c>
      <c r="G157" s="27" t="n">
        <v>0</v>
      </c>
      <c r="H157" s="27" t="n">
        <v>0</v>
      </c>
      <c r="I157" s="27" t="n">
        <v>0</v>
      </c>
      <c r="J157" s="27" t="n">
        <v>0</v>
      </c>
      <c r="K157" s="27" t="n">
        <v>0</v>
      </c>
      <c r="L157" s="27" t="n">
        <v>0</v>
      </c>
      <c r="M157" s="27" t="n">
        <v>0</v>
      </c>
      <c r="N157" s="28">
        <f>IF(C157="",0,IFERROR(INDEX($E157:$M157,MATCH('Recepción'!$D$5,$E$1:$M$1,0)),0))</f>
        <v/>
      </c>
      <c r="O157" s="28">
        <f>IF(N157=0,0,IF(A157="S",1,IF(OR(B157='Recepción'!$D$9,B157='Recepción'!$F$9,B157='Recepción'!$D$10,AND(B157="Contacto con líquido",'Recepción'!$E$25="Sí"),AND(B157="Golpe / Caída",'Recepción'!$E$24="Sí"),AND(B157="No enciende",'Recepción'!$E$27="No")),1,0)))</f>
        <v/>
      </c>
      <c r="P157" s="28">
        <f>IF(O157=1,COUNTIF($O$2:O157,1),0)</f>
        <v/>
      </c>
    </row>
    <row r="158">
      <c r="A158" s="18" t="inlineStr">
        <is>
          <t>S</t>
        </is>
      </c>
      <c r="B158" s="20" t="inlineStr">
        <is>
          <t>Accesorios entregados</t>
        </is>
      </c>
      <c r="C158" s="20" t="inlineStr">
        <is>
          <t>Accesorio: Cable</t>
        </is>
      </c>
      <c r="D158" s="18" t="inlineStr">
        <is>
          <t>PR</t>
        </is>
      </c>
      <c r="E158" s="27" t="n">
        <v>1</v>
      </c>
      <c r="F158" s="27" t="n">
        <v>0</v>
      </c>
      <c r="G158" s="27" t="n">
        <v>0</v>
      </c>
      <c r="H158" s="27" t="n">
        <v>0</v>
      </c>
      <c r="I158" s="27" t="n">
        <v>0</v>
      </c>
      <c r="J158" s="27" t="n">
        <v>0</v>
      </c>
      <c r="K158" s="27" t="n">
        <v>0</v>
      </c>
      <c r="L158" s="27" t="n">
        <v>0</v>
      </c>
      <c r="M158" s="27" t="n">
        <v>0</v>
      </c>
      <c r="N158" s="28">
        <f>IF(C158="",0,IFERROR(INDEX($E158:$M158,MATCH('Recepción'!$D$5,$E$1:$M$1,0)),0))</f>
        <v/>
      </c>
      <c r="O158" s="28">
        <f>IF(N158=0,0,IF(A158="S",1,IF(OR(B158='Recepción'!$D$9,B158='Recepción'!$F$9,B158='Recepción'!$D$10,AND(B158="Contacto con líquido",'Recepción'!$E$25="Sí"),AND(B158="Golpe / Caída",'Recepción'!$E$24="Sí"),AND(B158="No enciende",'Recepción'!$E$27="No")),1,0)))</f>
        <v/>
      </c>
      <c r="P158" s="28">
        <f>IF(O158=1,COUNTIF($O$2:O158,1),0)</f>
        <v/>
      </c>
    </row>
    <row r="159">
      <c r="A159" s="18" t="inlineStr">
        <is>
          <t>S</t>
        </is>
      </c>
      <c r="B159" s="20" t="inlineStr">
        <is>
          <t>Accesorios entregados</t>
        </is>
      </c>
      <c r="C159" s="20" t="inlineStr">
        <is>
          <t>Accesorio: Funda</t>
        </is>
      </c>
      <c r="D159" s="18" t="inlineStr">
        <is>
          <t>PR</t>
        </is>
      </c>
      <c r="E159" s="27" t="n">
        <v>1</v>
      </c>
      <c r="F159" s="27" t="n">
        <v>0</v>
      </c>
      <c r="G159" s="27" t="n">
        <v>0</v>
      </c>
      <c r="H159" s="27" t="n">
        <v>0</v>
      </c>
      <c r="I159" s="27" t="n">
        <v>0</v>
      </c>
      <c r="J159" s="27" t="n">
        <v>0</v>
      </c>
      <c r="K159" s="27" t="n">
        <v>0</v>
      </c>
      <c r="L159" s="27" t="n">
        <v>0</v>
      </c>
      <c r="M159" s="27" t="n">
        <v>0</v>
      </c>
      <c r="N159" s="28">
        <f>IF(C159="",0,IFERROR(INDEX($E159:$M159,MATCH('Recepción'!$D$5,$E$1:$M$1,0)),0))</f>
        <v/>
      </c>
      <c r="O159" s="28">
        <f>IF(N159=0,0,IF(A159="S",1,IF(OR(B159='Recepción'!$D$9,B159='Recepción'!$F$9,B159='Recepción'!$D$10,AND(B159="Contacto con líquido",'Recepción'!$E$25="Sí"),AND(B159="Golpe / Caída",'Recepción'!$E$24="Sí"),AND(B159="No enciende",'Recepción'!$E$27="No")),1,0)))</f>
        <v/>
      </c>
      <c r="P159" s="28">
        <f>IF(O159=1,COUNTIF($O$2:O159,1),0)</f>
        <v/>
      </c>
    </row>
    <row r="160">
      <c r="A160" s="18" t="inlineStr">
        <is>
          <t>S</t>
        </is>
      </c>
      <c r="B160" s="20" t="inlineStr">
        <is>
          <t>Accesorios entregados</t>
        </is>
      </c>
      <c r="C160" s="20" t="inlineStr">
        <is>
          <t>Accesorio: SIM</t>
        </is>
      </c>
      <c r="D160" s="18" t="inlineStr">
        <is>
          <t>PR</t>
        </is>
      </c>
      <c r="E160" s="27" t="n">
        <v>1</v>
      </c>
      <c r="F160" s="27" t="n">
        <v>0</v>
      </c>
      <c r="G160" s="27" t="n">
        <v>0</v>
      </c>
      <c r="H160" s="27" t="n">
        <v>0</v>
      </c>
      <c r="I160" s="27" t="n">
        <v>0</v>
      </c>
      <c r="J160" s="27" t="n">
        <v>0</v>
      </c>
      <c r="K160" s="27" t="n">
        <v>0</v>
      </c>
      <c r="L160" s="27" t="n">
        <v>0</v>
      </c>
      <c r="M160" s="27" t="n">
        <v>0</v>
      </c>
      <c r="N160" s="28">
        <f>IF(C160="",0,IFERROR(INDEX($E160:$M160,MATCH('Recepción'!$D$5,$E$1:$M$1,0)),0))</f>
        <v/>
      </c>
      <c r="O160" s="28">
        <f>IF(N160=0,0,IF(A160="S",1,IF(OR(B160='Recepción'!$D$9,B160='Recepción'!$F$9,B160='Recepción'!$D$10,AND(B160="Contacto con líquido",'Recepción'!$E$25="Sí"),AND(B160="Golpe / Caída",'Recepción'!$E$24="Sí"),AND(B160="No enciende",'Recepción'!$E$27="No")),1,0)))</f>
        <v/>
      </c>
      <c r="P160" s="28">
        <f>IF(O160=1,COUNTIF($O$2:O160,1),0)</f>
        <v/>
      </c>
    </row>
    <row r="161">
      <c r="A161" s="18" t="inlineStr">
        <is>
          <t>S</t>
        </is>
      </c>
      <c r="B161" s="20" t="inlineStr">
        <is>
          <t>Accesorios entregados</t>
        </is>
      </c>
      <c r="C161" s="20" t="inlineStr">
        <is>
          <t>Accesorio: MicroSD</t>
        </is>
      </c>
      <c r="D161" s="18" t="inlineStr">
        <is>
          <t>PR</t>
        </is>
      </c>
      <c r="E161" s="27" t="n">
        <v>1</v>
      </c>
      <c r="F161" s="27" t="n">
        <v>0</v>
      </c>
      <c r="G161" s="27" t="n">
        <v>0</v>
      </c>
      <c r="H161" s="27" t="n">
        <v>0</v>
      </c>
      <c r="I161" s="27" t="n">
        <v>0</v>
      </c>
      <c r="J161" s="27" t="n">
        <v>0</v>
      </c>
      <c r="K161" s="27" t="n">
        <v>0</v>
      </c>
      <c r="L161" s="27" t="n">
        <v>0</v>
      </c>
      <c r="M161" s="27" t="n">
        <v>0</v>
      </c>
      <c r="N161" s="28">
        <f>IF(C161="",0,IFERROR(INDEX($E161:$M161,MATCH('Recepción'!$D$5,$E$1:$M$1,0)),0))</f>
        <v/>
      </c>
      <c r="O161" s="28">
        <f>IF(N161=0,0,IF(A161="S",1,IF(OR(B161='Recepción'!$D$9,B161='Recepción'!$F$9,B161='Recepción'!$D$10,AND(B161="Contacto con líquido",'Recepción'!$E$25="Sí"),AND(B161="Golpe / Caída",'Recepción'!$E$24="Sí"),AND(B161="No enciende",'Recepción'!$E$27="No")),1,0)))</f>
        <v/>
      </c>
      <c r="P161" s="28">
        <f>IF(O161=1,COUNTIF($O$2:O161,1),0)</f>
        <v/>
      </c>
    </row>
    <row r="162">
      <c r="A162" s="18" t="inlineStr">
        <is>
          <t>S</t>
        </is>
      </c>
      <c r="B162" s="20" t="inlineStr">
        <is>
          <t>Accesorios entregados</t>
        </is>
      </c>
      <c r="C162" s="20" t="inlineStr">
        <is>
          <t>Accesorio: Adaptador</t>
        </is>
      </c>
      <c r="D162" s="18" t="inlineStr">
        <is>
          <t>PR</t>
        </is>
      </c>
      <c r="E162" s="27" t="n">
        <v>1</v>
      </c>
      <c r="F162" s="27" t="n">
        <v>0</v>
      </c>
      <c r="G162" s="27" t="n">
        <v>0</v>
      </c>
      <c r="H162" s="27" t="n">
        <v>0</v>
      </c>
      <c r="I162" s="27" t="n">
        <v>0</v>
      </c>
      <c r="J162" s="27" t="n">
        <v>0</v>
      </c>
      <c r="K162" s="27" t="n">
        <v>0</v>
      </c>
      <c r="L162" s="27" t="n">
        <v>0</v>
      </c>
      <c r="M162" s="27" t="n">
        <v>0</v>
      </c>
      <c r="N162" s="28">
        <f>IF(C162="",0,IFERROR(INDEX($E162:$M162,MATCH('Recepción'!$D$5,$E$1:$M$1,0)),0))</f>
        <v/>
      </c>
      <c r="O162" s="28">
        <f>IF(N162=0,0,IF(A162="S",1,IF(OR(B162='Recepción'!$D$9,B162='Recepción'!$F$9,B162='Recepción'!$D$10,AND(B162="Contacto con líquido",'Recepción'!$E$25="Sí"),AND(B162="Golpe / Caída",'Recepción'!$E$24="Sí"),AND(B162="No enciende",'Recepción'!$E$27="No")),1,0)))</f>
        <v/>
      </c>
      <c r="P162" s="28">
        <f>IF(O162=1,COUNTIF($O$2:O162,1),0)</f>
        <v/>
      </c>
    </row>
    <row r="163">
      <c r="A163" s="18" t="inlineStr">
        <is>
          <t>S</t>
        </is>
      </c>
      <c r="B163" s="20" t="inlineStr">
        <is>
          <t>Accesorios entregados</t>
        </is>
      </c>
      <c r="C163" s="20" t="inlineStr">
        <is>
          <t>Accesorio: Cargador</t>
        </is>
      </c>
      <c r="D163" s="18" t="inlineStr">
        <is>
          <t>PR</t>
        </is>
      </c>
      <c r="E163" s="27" t="n">
        <v>0</v>
      </c>
      <c r="F163" s="27" t="n">
        <v>1</v>
      </c>
      <c r="G163" s="27" t="n">
        <v>0</v>
      </c>
      <c r="H163" s="27" t="n">
        <v>0</v>
      </c>
      <c r="I163" s="27" t="n">
        <v>0</v>
      </c>
      <c r="J163" s="27" t="n">
        <v>0</v>
      </c>
      <c r="K163" s="27" t="n">
        <v>0</v>
      </c>
      <c r="L163" s="27" t="n">
        <v>0</v>
      </c>
      <c r="M163" s="27" t="n">
        <v>0</v>
      </c>
      <c r="N163" s="28">
        <f>IF(C163="",0,IFERROR(INDEX($E163:$M163,MATCH('Recepción'!$D$5,$E$1:$M$1,0)),0))</f>
        <v/>
      </c>
      <c r="O163" s="28">
        <f>IF(N163=0,0,IF(A163="S",1,IF(OR(B163='Recepción'!$D$9,B163='Recepción'!$F$9,B163='Recepción'!$D$10,AND(B163="Contacto con líquido",'Recepción'!$E$25="Sí"),AND(B163="Golpe / Caída",'Recepción'!$E$24="Sí"),AND(B163="No enciende",'Recepción'!$E$27="No")),1,0)))</f>
        <v/>
      </c>
      <c r="P163" s="28">
        <f>IF(O163=1,COUNTIF($O$2:O163,1),0)</f>
        <v/>
      </c>
    </row>
    <row r="164">
      <c r="A164" s="18" t="inlineStr">
        <is>
          <t>S</t>
        </is>
      </c>
      <c r="B164" s="20" t="inlineStr">
        <is>
          <t>Accesorios entregados</t>
        </is>
      </c>
      <c r="C164" s="20" t="inlineStr">
        <is>
          <t>Accesorio: Cable</t>
        </is>
      </c>
      <c r="D164" s="18" t="inlineStr">
        <is>
          <t>PR</t>
        </is>
      </c>
      <c r="E164" s="27" t="n">
        <v>0</v>
      </c>
      <c r="F164" s="27" t="n">
        <v>1</v>
      </c>
      <c r="G164" s="27" t="n">
        <v>0</v>
      </c>
      <c r="H164" s="27" t="n">
        <v>0</v>
      </c>
      <c r="I164" s="27" t="n">
        <v>0</v>
      </c>
      <c r="J164" s="27" t="n">
        <v>0</v>
      </c>
      <c r="K164" s="27" t="n">
        <v>0</v>
      </c>
      <c r="L164" s="27" t="n">
        <v>0</v>
      </c>
      <c r="M164" s="27" t="n">
        <v>0</v>
      </c>
      <c r="N164" s="28">
        <f>IF(C164="",0,IFERROR(INDEX($E164:$M164,MATCH('Recepción'!$D$5,$E$1:$M$1,0)),0))</f>
        <v/>
      </c>
      <c r="O164" s="28">
        <f>IF(N164=0,0,IF(A164="S",1,IF(OR(B164='Recepción'!$D$9,B164='Recepción'!$F$9,B164='Recepción'!$D$10,AND(B164="Contacto con líquido",'Recepción'!$E$25="Sí"),AND(B164="Golpe / Caída",'Recepción'!$E$24="Sí"),AND(B164="No enciende",'Recepción'!$E$27="No")),1,0)))</f>
        <v/>
      </c>
      <c r="P164" s="28">
        <f>IF(O164=1,COUNTIF($O$2:O164,1),0)</f>
        <v/>
      </c>
    </row>
    <row r="165">
      <c r="A165" s="18" t="inlineStr">
        <is>
          <t>S</t>
        </is>
      </c>
      <c r="B165" s="20" t="inlineStr">
        <is>
          <t>Accesorios entregados</t>
        </is>
      </c>
      <c r="C165" s="20" t="inlineStr">
        <is>
          <t>Accesorio: Funda / teclado</t>
        </is>
      </c>
      <c r="D165" s="18" t="inlineStr">
        <is>
          <t>PR</t>
        </is>
      </c>
      <c r="E165" s="27" t="n">
        <v>0</v>
      </c>
      <c r="F165" s="27" t="n">
        <v>1</v>
      </c>
      <c r="G165" s="27" t="n">
        <v>0</v>
      </c>
      <c r="H165" s="27" t="n">
        <v>0</v>
      </c>
      <c r="I165" s="27" t="n">
        <v>0</v>
      </c>
      <c r="J165" s="27" t="n">
        <v>0</v>
      </c>
      <c r="K165" s="27" t="n">
        <v>0</v>
      </c>
      <c r="L165" s="27" t="n">
        <v>0</v>
      </c>
      <c r="M165" s="27" t="n">
        <v>0</v>
      </c>
      <c r="N165" s="28">
        <f>IF(C165="",0,IFERROR(INDEX($E165:$M165,MATCH('Recepción'!$D$5,$E$1:$M$1,0)),0))</f>
        <v/>
      </c>
      <c r="O165" s="28">
        <f>IF(N165=0,0,IF(A165="S",1,IF(OR(B165='Recepción'!$D$9,B165='Recepción'!$F$9,B165='Recepción'!$D$10,AND(B165="Contacto con líquido",'Recepción'!$E$25="Sí"),AND(B165="Golpe / Caída",'Recepción'!$E$24="Sí"),AND(B165="No enciende",'Recepción'!$E$27="No")),1,0)))</f>
        <v/>
      </c>
      <c r="P165" s="28">
        <f>IF(O165=1,COUNTIF($O$2:O165,1),0)</f>
        <v/>
      </c>
    </row>
    <row r="166">
      <c r="A166" s="18" t="inlineStr">
        <is>
          <t>S</t>
        </is>
      </c>
      <c r="B166" s="20" t="inlineStr">
        <is>
          <t>Accesorios entregados</t>
        </is>
      </c>
      <c r="C166" s="20" t="inlineStr">
        <is>
          <t>Accesorio: SIM</t>
        </is>
      </c>
      <c r="D166" s="18" t="inlineStr">
        <is>
          <t>PR</t>
        </is>
      </c>
      <c r="E166" s="27" t="n">
        <v>0</v>
      </c>
      <c r="F166" s="27" t="n">
        <v>1</v>
      </c>
      <c r="G166" s="27" t="n">
        <v>0</v>
      </c>
      <c r="H166" s="27" t="n">
        <v>0</v>
      </c>
      <c r="I166" s="27" t="n">
        <v>0</v>
      </c>
      <c r="J166" s="27" t="n">
        <v>0</v>
      </c>
      <c r="K166" s="27" t="n">
        <v>0</v>
      </c>
      <c r="L166" s="27" t="n">
        <v>0</v>
      </c>
      <c r="M166" s="27" t="n">
        <v>0</v>
      </c>
      <c r="N166" s="28">
        <f>IF(C166="",0,IFERROR(INDEX($E166:$M166,MATCH('Recepción'!$D$5,$E$1:$M$1,0)),0))</f>
        <v/>
      </c>
      <c r="O166" s="28">
        <f>IF(N166=0,0,IF(A166="S",1,IF(OR(B166='Recepción'!$D$9,B166='Recepción'!$F$9,B166='Recepción'!$D$10,AND(B166="Contacto con líquido",'Recepción'!$E$25="Sí"),AND(B166="Golpe / Caída",'Recepción'!$E$24="Sí"),AND(B166="No enciende",'Recepción'!$E$27="No")),1,0)))</f>
        <v/>
      </c>
      <c r="P166" s="28">
        <f>IF(O166=1,COUNTIF($O$2:O166,1),0)</f>
        <v/>
      </c>
    </row>
    <row r="167">
      <c r="A167" s="18" t="inlineStr">
        <is>
          <t>S</t>
        </is>
      </c>
      <c r="B167" s="20" t="inlineStr">
        <is>
          <t>Accesorios entregados</t>
        </is>
      </c>
      <c r="C167" s="20" t="inlineStr">
        <is>
          <t>Accesorio: MicroSD</t>
        </is>
      </c>
      <c r="D167" s="18" t="inlineStr">
        <is>
          <t>PR</t>
        </is>
      </c>
      <c r="E167" s="27" t="n">
        <v>0</v>
      </c>
      <c r="F167" s="27" t="n">
        <v>1</v>
      </c>
      <c r="G167" s="27" t="n">
        <v>0</v>
      </c>
      <c r="H167" s="27" t="n">
        <v>0</v>
      </c>
      <c r="I167" s="27" t="n">
        <v>0</v>
      </c>
      <c r="J167" s="27" t="n">
        <v>0</v>
      </c>
      <c r="K167" s="27" t="n">
        <v>0</v>
      </c>
      <c r="L167" s="27" t="n">
        <v>0</v>
      </c>
      <c r="M167" s="27" t="n">
        <v>0</v>
      </c>
      <c r="N167" s="28">
        <f>IF(C167="",0,IFERROR(INDEX($E167:$M167,MATCH('Recepción'!$D$5,$E$1:$M$1,0)),0))</f>
        <v/>
      </c>
      <c r="O167" s="28">
        <f>IF(N167=0,0,IF(A167="S",1,IF(OR(B167='Recepción'!$D$9,B167='Recepción'!$F$9,B167='Recepción'!$D$10,AND(B167="Contacto con líquido",'Recepción'!$E$25="Sí"),AND(B167="Golpe / Caída",'Recepción'!$E$24="Sí"),AND(B167="No enciende",'Recepción'!$E$27="No")),1,0)))</f>
        <v/>
      </c>
      <c r="P167" s="28">
        <f>IF(O167=1,COUNTIF($O$2:O167,1),0)</f>
        <v/>
      </c>
    </row>
    <row r="168">
      <c r="A168" s="18" t="inlineStr">
        <is>
          <t>S</t>
        </is>
      </c>
      <c r="B168" s="20" t="inlineStr">
        <is>
          <t>Accesorios entregados</t>
        </is>
      </c>
      <c r="C168" s="20" t="inlineStr">
        <is>
          <t>Accesorio: Lápiz óptico</t>
        </is>
      </c>
      <c r="D168" s="18" t="inlineStr">
        <is>
          <t>PR</t>
        </is>
      </c>
      <c r="E168" s="27" t="n">
        <v>0</v>
      </c>
      <c r="F168" s="27" t="n">
        <v>1</v>
      </c>
      <c r="G168" s="27" t="n">
        <v>0</v>
      </c>
      <c r="H168" s="27" t="n">
        <v>0</v>
      </c>
      <c r="I168" s="27" t="n">
        <v>0</v>
      </c>
      <c r="J168" s="27" t="n">
        <v>0</v>
      </c>
      <c r="K168" s="27" t="n">
        <v>0</v>
      </c>
      <c r="L168" s="27" t="n">
        <v>0</v>
      </c>
      <c r="M168" s="27" t="n">
        <v>0</v>
      </c>
      <c r="N168" s="28">
        <f>IF(C168="",0,IFERROR(INDEX($E168:$M168,MATCH('Recepción'!$D$5,$E$1:$M$1,0)),0))</f>
        <v/>
      </c>
      <c r="O168" s="28">
        <f>IF(N168=0,0,IF(A168="S",1,IF(OR(B168='Recepción'!$D$9,B168='Recepción'!$F$9,B168='Recepción'!$D$10,AND(B168="Contacto con líquido",'Recepción'!$E$25="Sí"),AND(B168="Golpe / Caída",'Recepción'!$E$24="Sí"),AND(B168="No enciende",'Recepción'!$E$27="No")),1,0)))</f>
        <v/>
      </c>
      <c r="P168" s="28">
        <f>IF(O168=1,COUNTIF($O$2:O168,1),0)</f>
        <v/>
      </c>
    </row>
    <row r="169">
      <c r="A169" s="18" t="inlineStr">
        <is>
          <t>S</t>
        </is>
      </c>
      <c r="B169" s="20" t="inlineStr">
        <is>
          <t>Accesorios entregados</t>
        </is>
      </c>
      <c r="C169" s="20" t="inlineStr">
        <is>
          <t>Accesorio: Cargador magnético</t>
        </is>
      </c>
      <c r="D169" s="18" t="inlineStr">
        <is>
          <t>PR</t>
        </is>
      </c>
      <c r="E169" s="27" t="n">
        <v>0</v>
      </c>
      <c r="F169" s="27" t="n">
        <v>0</v>
      </c>
      <c r="G169" s="27" t="n">
        <v>1</v>
      </c>
      <c r="H169" s="27" t="n">
        <v>0</v>
      </c>
      <c r="I169" s="27" t="n">
        <v>0</v>
      </c>
      <c r="J169" s="27" t="n">
        <v>0</v>
      </c>
      <c r="K169" s="27" t="n">
        <v>0</v>
      </c>
      <c r="L169" s="27" t="n">
        <v>0</v>
      </c>
      <c r="M169" s="27" t="n">
        <v>0</v>
      </c>
      <c r="N169" s="28">
        <f>IF(C169="",0,IFERROR(INDEX($E169:$M169,MATCH('Recepción'!$D$5,$E$1:$M$1,0)),0))</f>
        <v/>
      </c>
      <c r="O169" s="28">
        <f>IF(N169=0,0,IF(A169="S",1,IF(OR(B169='Recepción'!$D$9,B169='Recepción'!$F$9,B169='Recepción'!$D$10,AND(B169="Contacto con líquido",'Recepción'!$E$25="Sí"),AND(B169="Golpe / Caída",'Recepción'!$E$24="Sí"),AND(B169="No enciende",'Recepción'!$E$27="No")),1,0)))</f>
        <v/>
      </c>
      <c r="P169" s="28">
        <f>IF(O169=1,COUNTIF($O$2:O169,1),0)</f>
        <v/>
      </c>
    </row>
    <row r="170">
      <c r="A170" s="18" t="inlineStr">
        <is>
          <t>S</t>
        </is>
      </c>
      <c r="B170" s="20" t="inlineStr">
        <is>
          <t>Accesorios entregados</t>
        </is>
      </c>
      <c r="C170" s="20" t="inlineStr">
        <is>
          <t>Accesorio: Correa adicional</t>
        </is>
      </c>
      <c r="D170" s="18" t="inlineStr">
        <is>
          <t>PR</t>
        </is>
      </c>
      <c r="E170" s="27" t="n">
        <v>0</v>
      </c>
      <c r="F170" s="27" t="n">
        <v>0</v>
      </c>
      <c r="G170" s="27" t="n">
        <v>1</v>
      </c>
      <c r="H170" s="27" t="n">
        <v>0</v>
      </c>
      <c r="I170" s="27" t="n">
        <v>0</v>
      </c>
      <c r="J170" s="27" t="n">
        <v>0</v>
      </c>
      <c r="K170" s="27" t="n">
        <v>0</v>
      </c>
      <c r="L170" s="27" t="n">
        <v>0</v>
      </c>
      <c r="M170" s="27" t="n">
        <v>0</v>
      </c>
      <c r="N170" s="28">
        <f>IF(C170="",0,IFERROR(INDEX($E170:$M170,MATCH('Recepción'!$D$5,$E$1:$M$1,0)),0))</f>
        <v/>
      </c>
      <c r="O170" s="28">
        <f>IF(N170=0,0,IF(A170="S",1,IF(OR(B170='Recepción'!$D$9,B170='Recepción'!$F$9,B170='Recepción'!$D$10,AND(B170="Contacto con líquido",'Recepción'!$E$25="Sí"),AND(B170="Golpe / Caída",'Recepción'!$E$24="Sí"),AND(B170="No enciende",'Recepción'!$E$27="No")),1,0)))</f>
        <v/>
      </c>
      <c r="P170" s="28">
        <f>IF(O170=1,COUNTIF($O$2:O170,1),0)</f>
        <v/>
      </c>
    </row>
    <row r="171">
      <c r="A171" s="18" t="inlineStr">
        <is>
          <t>S</t>
        </is>
      </c>
      <c r="B171" s="20" t="inlineStr">
        <is>
          <t>Accesorios entregados</t>
        </is>
      </c>
      <c r="C171" s="20" t="inlineStr">
        <is>
          <t>Accesorio: Cargador</t>
        </is>
      </c>
      <c r="D171" s="18" t="inlineStr">
        <is>
          <t>PR</t>
        </is>
      </c>
      <c r="E171" s="27" t="n">
        <v>0</v>
      </c>
      <c r="F171" s="27" t="n">
        <v>0</v>
      </c>
      <c r="G171" s="27" t="n">
        <v>0</v>
      </c>
      <c r="H171" s="27" t="n">
        <v>1</v>
      </c>
      <c r="I171" s="27" t="n">
        <v>0</v>
      </c>
      <c r="J171" s="27" t="n">
        <v>0</v>
      </c>
      <c r="K171" s="27" t="n">
        <v>0</v>
      </c>
      <c r="L171" s="27" t="n">
        <v>0</v>
      </c>
      <c r="M171" s="27" t="n">
        <v>0</v>
      </c>
      <c r="N171" s="28">
        <f>IF(C171="",0,IFERROR(INDEX($E171:$M171,MATCH('Recepción'!$D$5,$E$1:$M$1,0)),0))</f>
        <v/>
      </c>
      <c r="O171" s="28">
        <f>IF(N171=0,0,IF(A171="S",1,IF(OR(B171='Recepción'!$D$9,B171='Recepción'!$F$9,B171='Recepción'!$D$10,AND(B171="Contacto con líquido",'Recepción'!$E$25="Sí"),AND(B171="Golpe / Caída",'Recepción'!$E$24="Sí"),AND(B171="No enciende",'Recepción'!$E$27="No")),1,0)))</f>
        <v/>
      </c>
      <c r="P171" s="28">
        <f>IF(O171=1,COUNTIF($O$2:O171,1),0)</f>
        <v/>
      </c>
    </row>
    <row r="172">
      <c r="A172" s="18" t="inlineStr">
        <is>
          <t>S</t>
        </is>
      </c>
      <c r="B172" s="20" t="inlineStr">
        <is>
          <t>Accesorios entregados</t>
        </is>
      </c>
      <c r="C172" s="20" t="inlineStr">
        <is>
          <t>Accesorio: Funda / maletín</t>
        </is>
      </c>
      <c r="D172" s="18" t="inlineStr">
        <is>
          <t>PR</t>
        </is>
      </c>
      <c r="E172" s="27" t="n">
        <v>0</v>
      </c>
      <c r="F172" s="27" t="n">
        <v>0</v>
      </c>
      <c r="G172" s="27" t="n">
        <v>0</v>
      </c>
      <c r="H172" s="27" t="n">
        <v>1</v>
      </c>
      <c r="I172" s="27" t="n">
        <v>0</v>
      </c>
      <c r="J172" s="27" t="n">
        <v>0</v>
      </c>
      <c r="K172" s="27" t="n">
        <v>0</v>
      </c>
      <c r="L172" s="27" t="n">
        <v>0</v>
      </c>
      <c r="M172" s="27" t="n">
        <v>0</v>
      </c>
      <c r="N172" s="28">
        <f>IF(C172="",0,IFERROR(INDEX($E172:$M172,MATCH('Recepción'!$D$5,$E$1:$M$1,0)),0))</f>
        <v/>
      </c>
      <c r="O172" s="28">
        <f>IF(N172=0,0,IF(A172="S",1,IF(OR(B172='Recepción'!$D$9,B172='Recepción'!$F$9,B172='Recepción'!$D$10,AND(B172="Contacto con líquido",'Recepción'!$E$25="Sí"),AND(B172="Golpe / Caída",'Recepción'!$E$24="Sí"),AND(B172="No enciende",'Recepción'!$E$27="No")),1,0)))</f>
        <v/>
      </c>
      <c r="P172" s="28">
        <f>IF(O172=1,COUNTIF($O$2:O172,1),0)</f>
        <v/>
      </c>
    </row>
    <row r="173">
      <c r="A173" s="18" t="inlineStr">
        <is>
          <t>S</t>
        </is>
      </c>
      <c r="B173" s="20" t="inlineStr">
        <is>
          <t>Accesorios entregados</t>
        </is>
      </c>
      <c r="C173" s="20" t="inlineStr">
        <is>
          <t>Accesorio: Mouse</t>
        </is>
      </c>
      <c r="D173" s="18" t="inlineStr">
        <is>
          <t>PR</t>
        </is>
      </c>
      <c r="E173" s="27" t="n">
        <v>0</v>
      </c>
      <c r="F173" s="27" t="n">
        <v>0</v>
      </c>
      <c r="G173" s="27" t="n">
        <v>0</v>
      </c>
      <c r="H173" s="27" t="n">
        <v>1</v>
      </c>
      <c r="I173" s="27" t="n">
        <v>0</v>
      </c>
      <c r="J173" s="27" t="n">
        <v>0</v>
      </c>
      <c r="K173" s="27" t="n">
        <v>0</v>
      </c>
      <c r="L173" s="27" t="n">
        <v>0</v>
      </c>
      <c r="M173" s="27" t="n">
        <v>0</v>
      </c>
      <c r="N173" s="28">
        <f>IF(C173="",0,IFERROR(INDEX($E173:$M173,MATCH('Recepción'!$D$5,$E$1:$M$1,0)),0))</f>
        <v/>
      </c>
      <c r="O173" s="28">
        <f>IF(N173=0,0,IF(A173="S",1,IF(OR(B173='Recepción'!$D$9,B173='Recepción'!$F$9,B173='Recepción'!$D$10,AND(B173="Contacto con líquido",'Recepción'!$E$25="Sí"),AND(B173="Golpe / Caída",'Recepción'!$E$24="Sí"),AND(B173="No enciende",'Recepción'!$E$27="No")),1,0)))</f>
        <v/>
      </c>
      <c r="P173" s="28">
        <f>IF(O173=1,COUNTIF($O$2:O173,1),0)</f>
        <v/>
      </c>
    </row>
    <row r="174">
      <c r="A174" s="18" t="inlineStr">
        <is>
          <t>S</t>
        </is>
      </c>
      <c r="B174" s="20" t="inlineStr">
        <is>
          <t>Accesorios entregados</t>
        </is>
      </c>
      <c r="C174" s="20" t="inlineStr">
        <is>
          <t>Accesorio: Cargador</t>
        </is>
      </c>
      <c r="D174" s="18" t="inlineStr">
        <is>
          <t>PR</t>
        </is>
      </c>
      <c r="E174" s="27" t="n">
        <v>0</v>
      </c>
      <c r="F174" s="27" t="n">
        <v>0</v>
      </c>
      <c r="G174" s="27" t="n">
        <v>0</v>
      </c>
      <c r="H174" s="27" t="n">
        <v>0</v>
      </c>
      <c r="I174" s="27" t="n">
        <v>0</v>
      </c>
      <c r="J174" s="27" t="n">
        <v>1</v>
      </c>
      <c r="K174" s="27" t="n">
        <v>0</v>
      </c>
      <c r="L174" s="27" t="n">
        <v>0</v>
      </c>
      <c r="M174" s="27" t="n">
        <v>0</v>
      </c>
      <c r="N174" s="28">
        <f>IF(C174="",0,IFERROR(INDEX($E174:$M174,MATCH('Recepción'!$D$5,$E$1:$M$1,0)),0))</f>
        <v/>
      </c>
      <c r="O174" s="28">
        <f>IF(N174=0,0,IF(A174="S",1,IF(OR(B174='Recepción'!$D$9,B174='Recepción'!$F$9,B174='Recepción'!$D$10,AND(B174="Contacto con líquido",'Recepción'!$E$25="Sí"),AND(B174="Golpe / Caída",'Recepción'!$E$24="Sí"),AND(B174="No enciende",'Recepción'!$E$27="No")),1,0)))</f>
        <v/>
      </c>
      <c r="P174" s="28">
        <f>IF(O174=1,COUNTIF($O$2:O174,1),0)</f>
        <v/>
      </c>
    </row>
    <row r="175">
      <c r="A175" s="18" t="inlineStr">
        <is>
          <t>S</t>
        </is>
      </c>
      <c r="B175" s="20" t="inlineStr">
        <is>
          <t>Accesorios entregados</t>
        </is>
      </c>
      <c r="C175" s="20" t="inlineStr">
        <is>
          <t>Accesorio: Funda</t>
        </is>
      </c>
      <c r="D175" s="18" t="inlineStr">
        <is>
          <t>PR</t>
        </is>
      </c>
      <c r="E175" s="27" t="n">
        <v>0</v>
      </c>
      <c r="F175" s="27" t="n">
        <v>0</v>
      </c>
      <c r="G175" s="27" t="n">
        <v>0</v>
      </c>
      <c r="H175" s="27" t="n">
        <v>0</v>
      </c>
      <c r="I175" s="27" t="n">
        <v>0</v>
      </c>
      <c r="J175" s="27" t="n">
        <v>1</v>
      </c>
      <c r="K175" s="27" t="n">
        <v>0</v>
      </c>
      <c r="L175" s="27" t="n">
        <v>0</v>
      </c>
      <c r="M175" s="27" t="n">
        <v>0</v>
      </c>
      <c r="N175" s="28">
        <f>IF(C175="",0,IFERROR(INDEX($E175:$M175,MATCH('Recepción'!$D$5,$E$1:$M$1,0)),0))</f>
        <v/>
      </c>
      <c r="O175" s="28">
        <f>IF(N175=0,0,IF(A175="S",1,IF(OR(B175='Recepción'!$D$9,B175='Recepción'!$F$9,B175='Recepción'!$D$10,AND(B175="Contacto con líquido",'Recepción'!$E$25="Sí"),AND(B175="Golpe / Caída",'Recepción'!$E$24="Sí"),AND(B175="No enciende",'Recepción'!$E$27="No")),1,0)))</f>
        <v/>
      </c>
      <c r="P175" s="28">
        <f>IF(O175=1,COUNTIF($O$2:O175,1),0)</f>
        <v/>
      </c>
    </row>
    <row r="176">
      <c r="A176" s="18" t="inlineStr">
        <is>
          <t>S</t>
        </is>
      </c>
      <c r="B176" s="20" t="inlineStr">
        <is>
          <t>Accesorios entregados</t>
        </is>
      </c>
      <c r="C176" s="20" t="inlineStr">
        <is>
          <t>Accesorio: Adaptador USB-C</t>
        </is>
      </c>
      <c r="D176" s="18" t="inlineStr">
        <is>
          <t>PR</t>
        </is>
      </c>
      <c r="E176" s="27" t="n">
        <v>0</v>
      </c>
      <c r="F176" s="27" t="n">
        <v>0</v>
      </c>
      <c r="G176" s="27" t="n">
        <v>0</v>
      </c>
      <c r="H176" s="27" t="n">
        <v>0</v>
      </c>
      <c r="I176" s="27" t="n">
        <v>0</v>
      </c>
      <c r="J176" s="27" t="n">
        <v>1</v>
      </c>
      <c r="K176" s="27" t="n">
        <v>0</v>
      </c>
      <c r="L176" s="27" t="n">
        <v>0</v>
      </c>
      <c r="M176" s="27" t="n">
        <v>0</v>
      </c>
      <c r="N176" s="28">
        <f>IF(C176="",0,IFERROR(INDEX($E176:$M176,MATCH('Recepción'!$D$5,$E$1:$M$1,0)),0))</f>
        <v/>
      </c>
      <c r="O176" s="28">
        <f>IF(N176=0,0,IF(A176="S",1,IF(OR(B176='Recepción'!$D$9,B176='Recepción'!$F$9,B176='Recepción'!$D$10,AND(B176="Contacto con líquido",'Recepción'!$E$25="Sí"),AND(B176="Golpe / Caída",'Recepción'!$E$24="Sí"),AND(B176="No enciende",'Recepción'!$E$27="No")),1,0)))</f>
        <v/>
      </c>
      <c r="P176" s="28">
        <f>IF(O176=1,COUNTIF($O$2:O176,1),0)</f>
        <v/>
      </c>
    </row>
    <row r="177">
      <c r="A177" s="18" t="inlineStr">
        <is>
          <t>S</t>
        </is>
      </c>
      <c r="B177" s="20" t="inlineStr">
        <is>
          <t>Accesorios entregados</t>
        </is>
      </c>
      <c r="C177" s="20" t="inlineStr">
        <is>
          <t>Accesorio: Cable de poder</t>
        </is>
      </c>
      <c r="D177" s="18" t="inlineStr">
        <is>
          <t>PR</t>
        </is>
      </c>
      <c r="E177" s="27" t="n">
        <v>0</v>
      </c>
      <c r="F177" s="27" t="n">
        <v>0</v>
      </c>
      <c r="G177" s="27" t="n">
        <v>0</v>
      </c>
      <c r="H177" s="27" t="n">
        <v>0</v>
      </c>
      <c r="I177" s="27" t="n">
        <v>1</v>
      </c>
      <c r="J177" s="27" t="n">
        <v>0</v>
      </c>
      <c r="K177" s="27" t="n">
        <v>0</v>
      </c>
      <c r="L177" s="27" t="n">
        <v>0</v>
      </c>
      <c r="M177" s="27" t="n">
        <v>0</v>
      </c>
      <c r="N177" s="28">
        <f>IF(C177="",0,IFERROR(INDEX($E177:$M177,MATCH('Recepción'!$D$5,$E$1:$M$1,0)),0))</f>
        <v/>
      </c>
      <c r="O177" s="28">
        <f>IF(N177=0,0,IF(A177="S",1,IF(OR(B177='Recepción'!$D$9,B177='Recepción'!$F$9,B177='Recepción'!$D$10,AND(B177="Contacto con líquido",'Recepción'!$E$25="Sí"),AND(B177="Golpe / Caída",'Recepción'!$E$24="Sí"),AND(B177="No enciende",'Recepción'!$E$27="No")),1,0)))</f>
        <v/>
      </c>
      <c r="P177" s="28">
        <f>IF(O177=1,COUNTIF($O$2:O177,1),0)</f>
        <v/>
      </c>
    </row>
    <row r="178">
      <c r="A178" s="18" t="inlineStr">
        <is>
          <t>S</t>
        </is>
      </c>
      <c r="B178" s="20" t="inlineStr">
        <is>
          <t>Accesorios entregados</t>
        </is>
      </c>
      <c r="C178" s="20" t="inlineStr">
        <is>
          <t>Accesorio: Teclado</t>
        </is>
      </c>
      <c r="D178" s="18" t="inlineStr">
        <is>
          <t>PR</t>
        </is>
      </c>
      <c r="E178" s="27" t="n">
        <v>0</v>
      </c>
      <c r="F178" s="27" t="n">
        <v>0</v>
      </c>
      <c r="G178" s="27" t="n">
        <v>0</v>
      </c>
      <c r="H178" s="27" t="n">
        <v>0</v>
      </c>
      <c r="I178" s="27" t="n">
        <v>1</v>
      </c>
      <c r="J178" s="27" t="n">
        <v>0</v>
      </c>
      <c r="K178" s="27" t="n">
        <v>0</v>
      </c>
      <c r="L178" s="27" t="n">
        <v>0</v>
      </c>
      <c r="M178" s="27" t="n">
        <v>0</v>
      </c>
      <c r="N178" s="28">
        <f>IF(C178="",0,IFERROR(INDEX($E178:$M178,MATCH('Recepción'!$D$5,$E$1:$M$1,0)),0))</f>
        <v/>
      </c>
      <c r="O178" s="28">
        <f>IF(N178=0,0,IF(A178="S",1,IF(OR(B178='Recepción'!$D$9,B178='Recepción'!$F$9,B178='Recepción'!$D$10,AND(B178="Contacto con líquido",'Recepción'!$E$25="Sí"),AND(B178="Golpe / Caída",'Recepción'!$E$24="Sí"),AND(B178="No enciende",'Recepción'!$E$27="No")),1,0)))</f>
        <v/>
      </c>
      <c r="P178" s="28">
        <f>IF(O178=1,COUNTIF($O$2:O178,1),0)</f>
        <v/>
      </c>
    </row>
    <row r="179">
      <c r="A179" s="18" t="inlineStr">
        <is>
          <t>S</t>
        </is>
      </c>
      <c r="B179" s="20" t="inlineStr">
        <is>
          <t>Accesorios entregados</t>
        </is>
      </c>
      <c r="C179" s="20" t="inlineStr">
        <is>
          <t>Accesorio: Mouse</t>
        </is>
      </c>
      <c r="D179" s="18" t="inlineStr">
        <is>
          <t>PR</t>
        </is>
      </c>
      <c r="E179" s="27" t="n">
        <v>0</v>
      </c>
      <c r="F179" s="27" t="n">
        <v>0</v>
      </c>
      <c r="G179" s="27" t="n">
        <v>0</v>
      </c>
      <c r="H179" s="27" t="n">
        <v>0</v>
      </c>
      <c r="I179" s="27" t="n">
        <v>1</v>
      </c>
      <c r="J179" s="27" t="n">
        <v>0</v>
      </c>
      <c r="K179" s="27" t="n">
        <v>0</v>
      </c>
      <c r="L179" s="27" t="n">
        <v>0</v>
      </c>
      <c r="M179" s="27" t="n">
        <v>0</v>
      </c>
      <c r="N179" s="28">
        <f>IF(C179="",0,IFERROR(INDEX($E179:$M179,MATCH('Recepción'!$D$5,$E$1:$M$1,0)),0))</f>
        <v/>
      </c>
      <c r="O179" s="28">
        <f>IF(N179=0,0,IF(A179="S",1,IF(OR(B179='Recepción'!$D$9,B179='Recepción'!$F$9,B179='Recepción'!$D$10,AND(B179="Contacto con líquido",'Recepción'!$E$25="Sí"),AND(B179="Golpe / Caída",'Recepción'!$E$24="Sí"),AND(B179="No enciende",'Recepción'!$E$27="No")),1,0)))</f>
        <v/>
      </c>
      <c r="P179" s="28">
        <f>IF(O179=1,COUNTIF($O$2:O179,1),0)</f>
        <v/>
      </c>
    </row>
    <row r="180">
      <c r="A180" s="18" t="inlineStr">
        <is>
          <t>S</t>
        </is>
      </c>
      <c r="B180" s="20" t="inlineStr">
        <is>
          <t>Accesorios entregados</t>
        </is>
      </c>
      <c r="C180" s="20" t="inlineStr">
        <is>
          <t>Accesorio: Monitor</t>
        </is>
      </c>
      <c r="D180" s="18" t="inlineStr">
        <is>
          <t>PR</t>
        </is>
      </c>
      <c r="E180" s="27" t="n">
        <v>0</v>
      </c>
      <c r="F180" s="27" t="n">
        <v>0</v>
      </c>
      <c r="G180" s="27" t="n">
        <v>0</v>
      </c>
      <c r="H180" s="27" t="n">
        <v>0</v>
      </c>
      <c r="I180" s="27" t="n">
        <v>1</v>
      </c>
      <c r="J180" s="27" t="n">
        <v>0</v>
      </c>
      <c r="K180" s="27" t="n">
        <v>0</v>
      </c>
      <c r="L180" s="27" t="n">
        <v>0</v>
      </c>
      <c r="M180" s="27" t="n">
        <v>0</v>
      </c>
      <c r="N180" s="28">
        <f>IF(C180="",0,IFERROR(INDEX($E180:$M180,MATCH('Recepción'!$D$5,$E$1:$M$1,0)),0))</f>
        <v/>
      </c>
      <c r="O180" s="28">
        <f>IF(N180=0,0,IF(A180="S",1,IF(OR(B180='Recepción'!$D$9,B180='Recepción'!$F$9,B180='Recepción'!$D$10,AND(B180="Contacto con líquido",'Recepción'!$E$25="Sí"),AND(B180="Golpe / Caída",'Recepción'!$E$24="Sí"),AND(B180="No enciende",'Recepción'!$E$27="No")),1,0)))</f>
        <v/>
      </c>
      <c r="P180" s="28">
        <f>IF(O180=1,COUNTIF($O$2:O180,1),0)</f>
        <v/>
      </c>
    </row>
    <row r="181">
      <c r="A181" s="18" t="inlineStr">
        <is>
          <t>S</t>
        </is>
      </c>
      <c r="B181" s="20" t="inlineStr">
        <is>
          <t>Accesorios entregados</t>
        </is>
      </c>
      <c r="C181" s="20" t="inlineStr">
        <is>
          <t>Accesorio: Cable de poder</t>
        </is>
      </c>
      <c r="D181" s="18" t="inlineStr">
        <is>
          <t>PR</t>
        </is>
      </c>
      <c r="E181" s="27" t="n">
        <v>0</v>
      </c>
      <c r="F181" s="27" t="n">
        <v>0</v>
      </c>
      <c r="G181" s="27" t="n">
        <v>0</v>
      </c>
      <c r="H181" s="27" t="n">
        <v>0</v>
      </c>
      <c r="I181" s="27" t="n">
        <v>0</v>
      </c>
      <c r="J181" s="27" t="n">
        <v>0</v>
      </c>
      <c r="K181" s="27" t="n">
        <v>1</v>
      </c>
      <c r="L181" s="27" t="n">
        <v>0</v>
      </c>
      <c r="M181" s="27" t="n">
        <v>0</v>
      </c>
      <c r="N181" s="28">
        <f>IF(C181="",0,IFERROR(INDEX($E181:$M181,MATCH('Recepción'!$D$5,$E$1:$M$1,0)),0))</f>
        <v/>
      </c>
      <c r="O181" s="28">
        <f>IF(N181=0,0,IF(A181="S",1,IF(OR(B181='Recepción'!$D$9,B181='Recepción'!$F$9,B181='Recepción'!$D$10,AND(B181="Contacto con líquido",'Recepción'!$E$25="Sí"),AND(B181="Golpe / Caída",'Recepción'!$E$24="Sí"),AND(B181="No enciende",'Recepción'!$E$27="No")),1,0)))</f>
        <v/>
      </c>
      <c r="P181" s="28">
        <f>IF(O181=1,COUNTIF($O$2:O181,1),0)</f>
        <v/>
      </c>
    </row>
    <row r="182">
      <c r="A182" s="18" t="inlineStr">
        <is>
          <t>S</t>
        </is>
      </c>
      <c r="B182" s="20" t="inlineStr">
        <is>
          <t>Accesorios entregados</t>
        </is>
      </c>
      <c r="C182" s="20" t="inlineStr">
        <is>
          <t>Accesorio: Teclado</t>
        </is>
      </c>
      <c r="D182" s="18" t="inlineStr">
        <is>
          <t>PR</t>
        </is>
      </c>
      <c r="E182" s="27" t="n">
        <v>0</v>
      </c>
      <c r="F182" s="27" t="n">
        <v>0</v>
      </c>
      <c r="G182" s="27" t="n">
        <v>0</v>
      </c>
      <c r="H182" s="27" t="n">
        <v>0</v>
      </c>
      <c r="I182" s="27" t="n">
        <v>0</v>
      </c>
      <c r="J182" s="27" t="n">
        <v>0</v>
      </c>
      <c r="K182" s="27" t="n">
        <v>1</v>
      </c>
      <c r="L182" s="27" t="n">
        <v>0</v>
      </c>
      <c r="M182" s="27" t="n">
        <v>0</v>
      </c>
      <c r="N182" s="28">
        <f>IF(C182="",0,IFERROR(INDEX($E182:$M182,MATCH('Recepción'!$D$5,$E$1:$M$1,0)),0))</f>
        <v/>
      </c>
      <c r="O182" s="28">
        <f>IF(N182=0,0,IF(A182="S",1,IF(OR(B182='Recepción'!$D$9,B182='Recepción'!$F$9,B182='Recepción'!$D$10,AND(B182="Contacto con líquido",'Recepción'!$E$25="Sí"),AND(B182="Golpe / Caída",'Recepción'!$E$24="Sí"),AND(B182="No enciende",'Recepción'!$E$27="No")),1,0)))</f>
        <v/>
      </c>
      <c r="P182" s="28">
        <f>IF(O182=1,COUNTIF($O$2:O182,1),0)</f>
        <v/>
      </c>
    </row>
    <row r="183">
      <c r="A183" s="18" t="inlineStr">
        <is>
          <t>S</t>
        </is>
      </c>
      <c r="B183" s="20" t="inlineStr">
        <is>
          <t>Accesorios entregados</t>
        </is>
      </c>
      <c r="C183" s="20" t="inlineStr">
        <is>
          <t>Accesorio: Mouse / trackpad</t>
        </is>
      </c>
      <c r="D183" s="18" t="inlineStr">
        <is>
          <t>PR</t>
        </is>
      </c>
      <c r="E183" s="27" t="n">
        <v>0</v>
      </c>
      <c r="F183" s="27" t="n">
        <v>0</v>
      </c>
      <c r="G183" s="27" t="n">
        <v>0</v>
      </c>
      <c r="H183" s="27" t="n">
        <v>0</v>
      </c>
      <c r="I183" s="27" t="n">
        <v>0</v>
      </c>
      <c r="J183" s="27" t="n">
        <v>0</v>
      </c>
      <c r="K183" s="27" t="n">
        <v>1</v>
      </c>
      <c r="L183" s="27" t="n">
        <v>0</v>
      </c>
      <c r="M183" s="27" t="n">
        <v>0</v>
      </c>
      <c r="N183" s="28">
        <f>IF(C183="",0,IFERROR(INDEX($E183:$M183,MATCH('Recepción'!$D$5,$E$1:$M$1,0)),0))</f>
        <v/>
      </c>
      <c r="O183" s="28">
        <f>IF(N183=0,0,IF(A183="S",1,IF(OR(B183='Recepción'!$D$9,B183='Recepción'!$F$9,B183='Recepción'!$D$10,AND(B183="Contacto con líquido",'Recepción'!$E$25="Sí"),AND(B183="Golpe / Caída",'Recepción'!$E$24="Sí"),AND(B183="No enciende",'Recepción'!$E$27="No")),1,0)))</f>
        <v/>
      </c>
      <c r="P183" s="28">
        <f>IF(O183=1,COUNTIF($O$2:O183,1),0)</f>
        <v/>
      </c>
    </row>
    <row r="184">
      <c r="A184" s="18" t="inlineStr">
        <is>
          <t>S</t>
        </is>
      </c>
      <c r="B184" s="20" t="inlineStr">
        <is>
          <t>Accesorios entregados</t>
        </is>
      </c>
      <c r="C184" s="20" t="inlineStr">
        <is>
          <t>Accesorio: Cable de poder</t>
        </is>
      </c>
      <c r="D184" s="18" t="inlineStr">
        <is>
          <t>PR</t>
        </is>
      </c>
      <c r="E184" s="27" t="n">
        <v>0</v>
      </c>
      <c r="F184" s="27" t="n">
        <v>0</v>
      </c>
      <c r="G184" s="27" t="n">
        <v>0</v>
      </c>
      <c r="H184" s="27" t="n">
        <v>0</v>
      </c>
      <c r="I184" s="27" t="n">
        <v>0</v>
      </c>
      <c r="J184" s="27" t="n">
        <v>0</v>
      </c>
      <c r="K184" s="27" t="n">
        <v>0</v>
      </c>
      <c r="L184" s="27" t="n">
        <v>1</v>
      </c>
      <c r="M184" s="27" t="n">
        <v>0</v>
      </c>
      <c r="N184" s="28">
        <f>IF(C184="",0,IFERROR(INDEX($E184:$M184,MATCH('Recepción'!$D$5,$E$1:$M$1,0)),0))</f>
        <v/>
      </c>
      <c r="O184" s="28">
        <f>IF(N184=0,0,IF(A184="S",1,IF(OR(B184='Recepción'!$D$9,B184='Recepción'!$F$9,B184='Recepción'!$D$10,AND(B184="Contacto con líquido",'Recepción'!$E$25="Sí"),AND(B184="Golpe / Caída",'Recepción'!$E$24="Sí"),AND(B184="No enciende",'Recepción'!$E$27="No")),1,0)))</f>
        <v/>
      </c>
      <c r="P184" s="28">
        <f>IF(O184=1,COUNTIF($O$2:O184,1),0)</f>
        <v/>
      </c>
    </row>
    <row r="185">
      <c r="A185" s="18" t="inlineStr">
        <is>
          <t>S</t>
        </is>
      </c>
      <c r="B185" s="20" t="inlineStr">
        <is>
          <t>Accesorios entregados</t>
        </is>
      </c>
      <c r="C185" s="20" t="inlineStr">
        <is>
          <t>Accesorio: Cable HDMI</t>
        </is>
      </c>
      <c r="D185" s="18" t="inlineStr">
        <is>
          <t>PR</t>
        </is>
      </c>
      <c r="E185" s="27" t="n">
        <v>0</v>
      </c>
      <c r="F185" s="27" t="n">
        <v>0</v>
      </c>
      <c r="G185" s="27" t="n">
        <v>0</v>
      </c>
      <c r="H185" s="27" t="n">
        <v>0</v>
      </c>
      <c r="I185" s="27" t="n">
        <v>0</v>
      </c>
      <c r="J185" s="27" t="n">
        <v>0</v>
      </c>
      <c r="K185" s="27" t="n">
        <v>0</v>
      </c>
      <c r="L185" s="27" t="n">
        <v>1</v>
      </c>
      <c r="M185" s="27" t="n">
        <v>0</v>
      </c>
      <c r="N185" s="28">
        <f>IF(C185="",0,IFERROR(INDEX($E185:$M185,MATCH('Recepción'!$D$5,$E$1:$M$1,0)),0))</f>
        <v/>
      </c>
      <c r="O185" s="28">
        <f>IF(N185=0,0,IF(A185="S",1,IF(OR(B185='Recepción'!$D$9,B185='Recepción'!$F$9,B185='Recepción'!$D$10,AND(B185="Contacto con líquido",'Recepción'!$E$25="Sí"),AND(B185="Golpe / Caída",'Recepción'!$E$24="Sí"),AND(B185="No enciende",'Recepción'!$E$27="No")),1,0)))</f>
        <v/>
      </c>
      <c r="P185" s="28">
        <f>IF(O185=1,COUNTIF($O$2:O185,1),0)</f>
        <v/>
      </c>
    </row>
    <row r="186">
      <c r="A186" s="18" t="inlineStr">
        <is>
          <t>S</t>
        </is>
      </c>
      <c r="B186" s="20" t="inlineStr">
        <is>
          <t>Accesorios entregados</t>
        </is>
      </c>
      <c r="C186" s="20" t="inlineStr">
        <is>
          <t>Accesorio: Control(es)</t>
        </is>
      </c>
      <c r="D186" s="18" t="inlineStr">
        <is>
          <t>PR</t>
        </is>
      </c>
      <c r="E186" s="27" t="n">
        <v>0</v>
      </c>
      <c r="F186" s="27" t="n">
        <v>0</v>
      </c>
      <c r="G186" s="27" t="n">
        <v>0</v>
      </c>
      <c r="H186" s="27" t="n">
        <v>0</v>
      </c>
      <c r="I186" s="27" t="n">
        <v>0</v>
      </c>
      <c r="J186" s="27" t="n">
        <v>0</v>
      </c>
      <c r="K186" s="27" t="n">
        <v>0</v>
      </c>
      <c r="L186" s="27" t="n">
        <v>1</v>
      </c>
      <c r="M186" s="27" t="n">
        <v>0</v>
      </c>
      <c r="N186" s="28">
        <f>IF(C186="",0,IFERROR(INDEX($E186:$M186,MATCH('Recepción'!$D$5,$E$1:$M$1,0)),0))</f>
        <v/>
      </c>
      <c r="O186" s="28">
        <f>IF(N186=0,0,IF(A186="S",1,IF(OR(B186='Recepción'!$D$9,B186='Recepción'!$F$9,B186='Recepción'!$D$10,AND(B186="Contacto con líquido",'Recepción'!$E$25="Sí"),AND(B186="Golpe / Caída",'Recepción'!$E$24="Sí"),AND(B186="No enciende",'Recepción'!$E$27="No")),1,0)))</f>
        <v/>
      </c>
      <c r="P186" s="28">
        <f>IF(O186=1,COUNTIF($O$2:O186,1),0)</f>
        <v/>
      </c>
    </row>
    <row r="187">
      <c r="A187" s="18" t="inlineStr">
        <is>
          <t>S</t>
        </is>
      </c>
      <c r="B187" s="20" t="inlineStr">
        <is>
          <t>Accesorios entregados</t>
        </is>
      </c>
      <c r="C187" s="20" t="inlineStr">
        <is>
          <t>Accesorio: Base / dock</t>
        </is>
      </c>
      <c r="D187" s="18" t="inlineStr">
        <is>
          <t>PR</t>
        </is>
      </c>
      <c r="E187" s="27" t="n">
        <v>0</v>
      </c>
      <c r="F187" s="27" t="n">
        <v>0</v>
      </c>
      <c r="G187" s="27" t="n">
        <v>0</v>
      </c>
      <c r="H187" s="27" t="n">
        <v>0</v>
      </c>
      <c r="I187" s="27" t="n">
        <v>0</v>
      </c>
      <c r="J187" s="27" t="n">
        <v>0</v>
      </c>
      <c r="K187" s="27" t="n">
        <v>0</v>
      </c>
      <c r="L187" s="27" t="n">
        <v>1</v>
      </c>
      <c r="M187" s="27" t="n">
        <v>0</v>
      </c>
      <c r="N187" s="28">
        <f>IF(C187="",0,IFERROR(INDEX($E187:$M187,MATCH('Recepción'!$D$5,$E$1:$M$1,0)),0))</f>
        <v/>
      </c>
      <c r="O187" s="28">
        <f>IF(N187=0,0,IF(A187="S",1,IF(OR(B187='Recepción'!$D$9,B187='Recepción'!$F$9,B187='Recepción'!$D$10,AND(B187="Contacto con líquido",'Recepción'!$E$25="Sí"),AND(B187="Golpe / Caída",'Recepción'!$E$24="Sí"),AND(B187="No enciende",'Recepción'!$E$27="No")),1,0)))</f>
        <v/>
      </c>
      <c r="P187" s="28">
        <f>IF(O187=1,COUNTIF($O$2:O187,1),0)</f>
        <v/>
      </c>
    </row>
    <row r="188">
      <c r="A188" s="18" t="inlineStr">
        <is>
          <t>S</t>
        </is>
      </c>
      <c r="B188" s="20" t="inlineStr">
        <is>
          <t>Accesorios entregados</t>
        </is>
      </c>
      <c r="C188" s="20" t="inlineStr">
        <is>
          <t>Accesorio: Discos o juegos</t>
        </is>
      </c>
      <c r="D188" s="18" t="inlineStr">
        <is>
          <t>PR</t>
        </is>
      </c>
      <c r="E188" s="27" t="n">
        <v>0</v>
      </c>
      <c r="F188" s="27" t="n">
        <v>0</v>
      </c>
      <c r="G188" s="27" t="n">
        <v>0</v>
      </c>
      <c r="H188" s="27" t="n">
        <v>0</v>
      </c>
      <c r="I188" s="27" t="n">
        <v>0</v>
      </c>
      <c r="J188" s="27" t="n">
        <v>0</v>
      </c>
      <c r="K188" s="27" t="n">
        <v>0</v>
      </c>
      <c r="L188" s="27" t="n">
        <v>1</v>
      </c>
      <c r="M188" s="27" t="n">
        <v>0</v>
      </c>
      <c r="N188" s="28">
        <f>IF(C188="",0,IFERROR(INDEX($E188:$M188,MATCH('Recepción'!$D$5,$E$1:$M$1,0)),0))</f>
        <v/>
      </c>
      <c r="O188" s="28">
        <f>IF(N188=0,0,IF(A188="S",1,IF(OR(B188='Recepción'!$D$9,B188='Recepción'!$F$9,B188='Recepción'!$D$10,AND(B188="Contacto con líquido",'Recepción'!$E$25="Sí"),AND(B188="Golpe / Caída",'Recepción'!$E$24="Sí"),AND(B188="No enciende",'Recepción'!$E$27="No")),1,0)))</f>
        <v/>
      </c>
      <c r="P188" s="28">
        <f>IF(O188=1,COUNTIF($O$2:O188,1),0)</f>
        <v/>
      </c>
    </row>
    <row r="189">
      <c r="A189" s="18" t="inlineStr">
        <is>
          <t>S</t>
        </is>
      </c>
      <c r="B189" s="20" t="inlineStr">
        <is>
          <t>Accesorios entregados</t>
        </is>
      </c>
      <c r="C189" s="20" t="inlineStr">
        <is>
          <t>Accesorio: Cable USB / carga</t>
        </is>
      </c>
      <c r="D189" s="18" t="inlineStr">
        <is>
          <t>PR</t>
        </is>
      </c>
      <c r="E189" s="27" t="n">
        <v>0</v>
      </c>
      <c r="F189" s="27" t="n">
        <v>0</v>
      </c>
      <c r="G189" s="27" t="n">
        <v>0</v>
      </c>
      <c r="H189" s="27" t="n">
        <v>0</v>
      </c>
      <c r="I189" s="27" t="n">
        <v>0</v>
      </c>
      <c r="J189" s="27" t="n">
        <v>0</v>
      </c>
      <c r="K189" s="27" t="n">
        <v>0</v>
      </c>
      <c r="L189" s="27" t="n">
        <v>1</v>
      </c>
      <c r="M189" s="27" t="n">
        <v>0</v>
      </c>
      <c r="N189" s="28">
        <f>IF(C189="",0,IFERROR(INDEX($E189:$M189,MATCH('Recepción'!$D$5,$E$1:$M$1,0)),0))</f>
        <v/>
      </c>
      <c r="O189" s="28">
        <f>IF(N189=0,0,IF(A189="S",1,IF(OR(B189='Recepción'!$D$9,B189='Recepción'!$F$9,B189='Recepción'!$D$10,AND(B189="Contacto con líquido",'Recepción'!$E$25="Sí"),AND(B189="Golpe / Caída",'Recepción'!$E$24="Sí"),AND(B189="No enciende",'Recepción'!$E$27="No")),1,0)))</f>
        <v/>
      </c>
      <c r="P189" s="28">
        <f>IF(O189=1,COUNTIF($O$2:O189,1),0)</f>
        <v/>
      </c>
    </row>
    <row r="190">
      <c r="A190" s="18" t="inlineStr">
        <is>
          <t>S</t>
        </is>
      </c>
      <c r="B190" s="20" t="inlineStr">
        <is>
          <t>Accesorios entregados</t>
        </is>
      </c>
      <c r="C190" s="20" t="inlineStr">
        <is>
          <t>Accesorio: Cargador</t>
        </is>
      </c>
      <c r="D190" s="18" t="inlineStr">
        <is>
          <t>PR</t>
        </is>
      </c>
      <c r="E190" s="27" t="n">
        <v>0</v>
      </c>
      <c r="F190" s="27" t="n">
        <v>0</v>
      </c>
      <c r="G190" s="27" t="n">
        <v>0</v>
      </c>
      <c r="H190" s="27" t="n">
        <v>0</v>
      </c>
      <c r="I190" s="27" t="n">
        <v>0</v>
      </c>
      <c r="J190" s="27" t="n">
        <v>0</v>
      </c>
      <c r="K190" s="27" t="n">
        <v>0</v>
      </c>
      <c r="L190" s="27" t="n">
        <v>0</v>
      </c>
      <c r="M190" s="27" t="n">
        <v>1</v>
      </c>
      <c r="N190" s="28">
        <f>IF(C190="",0,IFERROR(INDEX($E190:$M190,MATCH('Recepción'!$D$5,$E$1:$M$1,0)),0))</f>
        <v/>
      </c>
      <c r="O190" s="28">
        <f>IF(N190=0,0,IF(A190="S",1,IF(OR(B190='Recepción'!$D$9,B190='Recepción'!$F$9,B190='Recepción'!$D$10,AND(B190="Contacto con líquido",'Recepción'!$E$25="Sí"),AND(B190="Golpe / Caída",'Recepción'!$E$24="Sí"),AND(B190="No enciende",'Recepción'!$E$27="No")),1,0)))</f>
        <v/>
      </c>
      <c r="P190" s="28">
        <f>IF(O190=1,COUNTIF($O$2:O190,1),0)</f>
        <v/>
      </c>
    </row>
    <row r="191">
      <c r="A191" s="18" t="inlineStr">
        <is>
          <t>S</t>
        </is>
      </c>
      <c r="B191" s="20" t="inlineStr">
        <is>
          <t>Accesorios entregados</t>
        </is>
      </c>
      <c r="C191" s="20" t="inlineStr">
        <is>
          <t>Accesorio: Cable</t>
        </is>
      </c>
      <c r="D191" s="18" t="inlineStr">
        <is>
          <t>PR</t>
        </is>
      </c>
      <c r="E191" s="27" t="n">
        <v>0</v>
      </c>
      <c r="F191" s="27" t="n">
        <v>0</v>
      </c>
      <c r="G191" s="27" t="n">
        <v>0</v>
      </c>
      <c r="H191" s="27" t="n">
        <v>0</v>
      </c>
      <c r="I191" s="27" t="n">
        <v>0</v>
      </c>
      <c r="J191" s="27" t="n">
        <v>0</v>
      </c>
      <c r="K191" s="27" t="n">
        <v>0</v>
      </c>
      <c r="L191" s="27" t="n">
        <v>0</v>
      </c>
      <c r="M191" s="27" t="n">
        <v>1</v>
      </c>
      <c r="N191" s="28">
        <f>IF(C191="",0,IFERROR(INDEX($E191:$M191,MATCH('Recepción'!$D$5,$E$1:$M$1,0)),0))</f>
        <v/>
      </c>
      <c r="O191" s="28">
        <f>IF(N191=0,0,IF(A191="S",1,IF(OR(B191='Recepción'!$D$9,B191='Recepción'!$F$9,B191='Recepción'!$D$10,AND(B191="Contacto con líquido",'Recepción'!$E$25="Sí"),AND(B191="Golpe / Caída",'Recepción'!$E$24="Sí"),AND(B191="No enciende",'Recepción'!$E$27="No")),1,0)))</f>
        <v/>
      </c>
      <c r="P191" s="28">
        <f>IF(O191=1,COUNTIF($O$2:O191,1),0)</f>
        <v/>
      </c>
    </row>
    <row r="192">
      <c r="A192" s="18" t="inlineStr">
        <is>
          <t>S</t>
        </is>
      </c>
      <c r="B192" s="20" t="inlineStr">
        <is>
          <t>Accesorios entregados</t>
        </is>
      </c>
      <c r="C192" s="20" t="inlineStr">
        <is>
          <t>Otro accesorio entregado (describa)</t>
        </is>
      </c>
      <c r="D192" s="18" t="inlineStr">
        <is>
          <t>TXT</t>
        </is>
      </c>
      <c r="E192" s="27" t="n">
        <v>1</v>
      </c>
      <c r="F192" s="27" t="n">
        <v>1</v>
      </c>
      <c r="G192" s="27" t="n">
        <v>1</v>
      </c>
      <c r="H192" s="27" t="n">
        <v>1</v>
      </c>
      <c r="I192" s="27" t="n">
        <v>1</v>
      </c>
      <c r="J192" s="27" t="n">
        <v>1</v>
      </c>
      <c r="K192" s="27" t="n">
        <v>1</v>
      </c>
      <c r="L192" s="27" t="n">
        <v>1</v>
      </c>
      <c r="M192" s="27" t="n">
        <v>1</v>
      </c>
      <c r="N192" s="28">
        <f>IF(C192="",0,IFERROR(INDEX($E192:$M192,MATCH('Recepción'!$D$5,$E$1:$M$1,0)),0))</f>
        <v/>
      </c>
      <c r="O192" s="28">
        <f>IF(N192=0,0,IF(A192="S",1,IF(OR(B192='Recepción'!$D$9,B192='Recepción'!$F$9,B192='Recepción'!$D$10,AND(B192="Contacto con líquido",'Recepción'!$E$25="Sí"),AND(B192="Golpe / Caída",'Recepción'!$E$24="Sí"),AND(B192="No enciende",'Recepción'!$E$27="No")),1,0)))</f>
        <v/>
      </c>
      <c r="P192" s="28">
        <f>IF(O192=1,COUNTIF($O$2:O192,1),0)</f>
        <v/>
      </c>
    </row>
    <row r="193">
      <c r="A193" s="18" t="inlineStr">
        <is>
          <t>S</t>
        </is>
      </c>
      <c r="B193" s="20" t="inlineStr">
        <is>
          <t>Fotografías de recepción</t>
        </is>
      </c>
      <c r="C193" s="20" t="inlineStr">
        <is>
          <t>Foto frontal</t>
        </is>
      </c>
      <c r="D193" s="18" t="inlineStr">
        <is>
          <t>FOTO</t>
        </is>
      </c>
      <c r="E193" s="27" t="n">
        <v>1</v>
      </c>
      <c r="F193" s="27" t="n">
        <v>1</v>
      </c>
      <c r="G193" s="27" t="n">
        <v>1</v>
      </c>
      <c r="H193" s="27" t="n">
        <v>1</v>
      </c>
      <c r="I193" s="27" t="n">
        <v>1</v>
      </c>
      <c r="J193" s="27" t="n">
        <v>1</v>
      </c>
      <c r="K193" s="27" t="n">
        <v>1</v>
      </c>
      <c r="L193" s="27" t="n">
        <v>1</v>
      </c>
      <c r="M193" s="27" t="n">
        <v>1</v>
      </c>
      <c r="N193" s="28">
        <f>IF(C193="",0,IFERROR(INDEX($E193:$M193,MATCH('Recepción'!$D$5,$E$1:$M$1,0)),0))</f>
        <v/>
      </c>
      <c r="O193" s="28">
        <f>IF(N193=0,0,IF(A193="S",1,IF(OR(B193='Recepción'!$D$9,B193='Recepción'!$F$9,B193='Recepción'!$D$10,AND(B193="Contacto con líquido",'Recepción'!$E$25="Sí"),AND(B193="Golpe / Caída",'Recepción'!$E$24="Sí"),AND(B193="No enciende",'Recepción'!$E$27="No")),1,0)))</f>
        <v/>
      </c>
      <c r="P193" s="28">
        <f>IF(O193=1,COUNTIF($O$2:O193,1),0)</f>
        <v/>
      </c>
    </row>
    <row r="194">
      <c r="A194" s="18" t="inlineStr">
        <is>
          <t>S</t>
        </is>
      </c>
      <c r="B194" s="20" t="inlineStr">
        <is>
          <t>Fotografías de recepción</t>
        </is>
      </c>
      <c r="C194" s="20" t="inlineStr">
        <is>
          <t>Foto posterior</t>
        </is>
      </c>
      <c r="D194" s="18" t="inlineStr">
        <is>
          <t>FOTO</t>
        </is>
      </c>
      <c r="E194" s="27" t="n">
        <v>1</v>
      </c>
      <c r="F194" s="27" t="n">
        <v>1</v>
      </c>
      <c r="G194" s="27" t="n">
        <v>1</v>
      </c>
      <c r="H194" s="27" t="n">
        <v>1</v>
      </c>
      <c r="I194" s="27" t="n">
        <v>1</v>
      </c>
      <c r="J194" s="27" t="n">
        <v>1</v>
      </c>
      <c r="K194" s="27" t="n">
        <v>1</v>
      </c>
      <c r="L194" s="27" t="n">
        <v>1</v>
      </c>
      <c r="M194" s="27" t="n">
        <v>1</v>
      </c>
      <c r="N194" s="28">
        <f>IF(C194="",0,IFERROR(INDEX($E194:$M194,MATCH('Recepción'!$D$5,$E$1:$M$1,0)),0))</f>
        <v/>
      </c>
      <c r="O194" s="28">
        <f>IF(N194=0,0,IF(A194="S",1,IF(OR(B194='Recepción'!$D$9,B194='Recepción'!$F$9,B194='Recepción'!$D$10,AND(B194="Contacto con líquido",'Recepción'!$E$25="Sí"),AND(B194="Golpe / Caída",'Recepción'!$E$24="Sí"),AND(B194="No enciende",'Recepción'!$E$27="No")),1,0)))</f>
        <v/>
      </c>
      <c r="P194" s="28">
        <f>IF(O194=1,COUNTIF($O$2:O194,1),0)</f>
        <v/>
      </c>
    </row>
    <row r="195">
      <c r="A195" s="18" t="inlineStr">
        <is>
          <t>S</t>
        </is>
      </c>
      <c r="B195" s="20" t="inlineStr">
        <is>
          <t>Fotografías de recepción</t>
        </is>
      </c>
      <c r="C195" s="20" t="inlineStr">
        <is>
          <t>Fotos laterales</t>
        </is>
      </c>
      <c r="D195" s="18" t="inlineStr">
        <is>
          <t>FOTO</t>
        </is>
      </c>
      <c r="E195" s="27" t="n">
        <v>1</v>
      </c>
      <c r="F195" s="27" t="n">
        <v>1</v>
      </c>
      <c r="G195" s="27" t="n">
        <v>1</v>
      </c>
      <c r="H195" s="27" t="n">
        <v>1</v>
      </c>
      <c r="I195" s="27" t="n">
        <v>1</v>
      </c>
      <c r="J195" s="27" t="n">
        <v>1</v>
      </c>
      <c r="K195" s="27" t="n">
        <v>1</v>
      </c>
      <c r="L195" s="27" t="n">
        <v>1</v>
      </c>
      <c r="M195" s="27" t="n">
        <v>1</v>
      </c>
      <c r="N195" s="28">
        <f>IF(C195="",0,IFERROR(INDEX($E195:$M195,MATCH('Recepción'!$D$5,$E$1:$M$1,0)),0))</f>
        <v/>
      </c>
      <c r="O195" s="28">
        <f>IF(N195=0,0,IF(A195="S",1,IF(OR(B195='Recepción'!$D$9,B195='Recepción'!$F$9,B195='Recepción'!$D$10,AND(B195="Contacto con líquido",'Recepción'!$E$25="Sí"),AND(B195="Golpe / Caída",'Recepción'!$E$24="Sí"),AND(B195="No enciende",'Recepción'!$E$27="No")),1,0)))</f>
        <v/>
      </c>
      <c r="P195" s="28">
        <f>IF(O195=1,COUNTIF($O$2:O195,1),0)</f>
        <v/>
      </c>
    </row>
    <row r="196">
      <c r="A196" s="18" t="inlineStr">
        <is>
          <t>S</t>
        </is>
      </c>
      <c r="B196" s="20" t="inlineStr">
        <is>
          <t>Fotografías de recepción</t>
        </is>
      </c>
      <c r="C196" s="20" t="inlineStr">
        <is>
          <t>Foto de pantalla</t>
        </is>
      </c>
      <c r="D196" s="18" t="inlineStr">
        <is>
          <t>FOTO</t>
        </is>
      </c>
      <c r="E196" s="27" t="n">
        <v>1</v>
      </c>
      <c r="F196" s="27" t="n">
        <v>1</v>
      </c>
      <c r="G196" s="27" t="n">
        <v>1</v>
      </c>
      <c r="H196" s="27" t="n">
        <v>1</v>
      </c>
      <c r="I196" s="27" t="n">
        <v>0</v>
      </c>
      <c r="J196" s="27" t="n">
        <v>1</v>
      </c>
      <c r="K196" s="27" t="n">
        <v>1</v>
      </c>
      <c r="L196" s="27" t="n">
        <v>0</v>
      </c>
      <c r="M196" s="27" t="n">
        <v>1</v>
      </c>
      <c r="N196" s="28">
        <f>IF(C196="",0,IFERROR(INDEX($E196:$M196,MATCH('Recepción'!$D$5,$E$1:$M$1,0)),0))</f>
        <v/>
      </c>
      <c r="O196" s="28">
        <f>IF(N196=0,0,IF(A196="S",1,IF(OR(B196='Recepción'!$D$9,B196='Recepción'!$F$9,B196='Recepción'!$D$10,AND(B196="Contacto con líquido",'Recepción'!$E$25="Sí"),AND(B196="Golpe / Caída",'Recepción'!$E$24="Sí"),AND(B196="No enciende",'Recepción'!$E$27="No")),1,0)))</f>
        <v/>
      </c>
      <c r="P196" s="28">
        <f>IF(O196=1,COUNTIF($O$2:O196,1),0)</f>
        <v/>
      </c>
    </row>
    <row r="197">
      <c r="A197" s="18" t="inlineStr">
        <is>
          <t>S</t>
        </is>
      </c>
      <c r="B197" s="20" t="inlineStr">
        <is>
          <t>Fotografías de recepción</t>
        </is>
      </c>
      <c r="C197" s="20" t="inlineStr">
        <is>
          <t>Foto de serial / IMEI</t>
        </is>
      </c>
      <c r="D197" s="18" t="inlineStr">
        <is>
          <t>FOTO</t>
        </is>
      </c>
      <c r="E197" s="27" t="n">
        <v>1</v>
      </c>
      <c r="F197" s="27" t="n">
        <v>1</v>
      </c>
      <c r="G197" s="27" t="n">
        <v>1</v>
      </c>
      <c r="H197" s="27" t="n">
        <v>1</v>
      </c>
      <c r="I197" s="27" t="n">
        <v>1</v>
      </c>
      <c r="J197" s="27" t="n">
        <v>1</v>
      </c>
      <c r="K197" s="27" t="n">
        <v>1</v>
      </c>
      <c r="L197" s="27" t="n">
        <v>1</v>
      </c>
      <c r="M197" s="27" t="n">
        <v>1</v>
      </c>
      <c r="N197" s="28">
        <f>IF(C197="",0,IFERROR(INDEX($E197:$M197,MATCH('Recepción'!$D$5,$E$1:$M$1,0)),0))</f>
        <v/>
      </c>
      <c r="O197" s="28">
        <f>IF(N197=0,0,IF(A197="S",1,IF(OR(B197='Recepción'!$D$9,B197='Recepción'!$F$9,B197='Recepción'!$D$10,AND(B197="Contacto con líquido",'Recepción'!$E$25="Sí"),AND(B197="Golpe / Caída",'Recepción'!$E$24="Sí"),AND(B197="No enciende",'Recepción'!$E$27="No")),1,0)))</f>
        <v/>
      </c>
      <c r="P197" s="28">
        <f>IF(O197=1,COUNTIF($O$2:O197,1),0)</f>
        <v/>
      </c>
    </row>
    <row r="198">
      <c r="A198" s="18" t="inlineStr">
        <is>
          <t>S</t>
        </is>
      </c>
      <c r="B198" s="20" t="inlineStr">
        <is>
          <t>Fotografías de recepción</t>
        </is>
      </c>
      <c r="C198" s="20" t="inlineStr">
        <is>
          <t>Foto de daños existentes</t>
        </is>
      </c>
      <c r="D198" s="18" t="inlineStr">
        <is>
          <t>FOTO</t>
        </is>
      </c>
      <c r="E198" s="27" t="n">
        <v>1</v>
      </c>
      <c r="F198" s="27" t="n">
        <v>1</v>
      </c>
      <c r="G198" s="27" t="n">
        <v>1</v>
      </c>
      <c r="H198" s="27" t="n">
        <v>1</v>
      </c>
      <c r="I198" s="27" t="n">
        <v>1</v>
      </c>
      <c r="J198" s="27" t="n">
        <v>1</v>
      </c>
      <c r="K198" s="27" t="n">
        <v>1</v>
      </c>
      <c r="L198" s="27" t="n">
        <v>1</v>
      </c>
      <c r="M198" s="27" t="n">
        <v>1</v>
      </c>
      <c r="N198" s="28">
        <f>IF(C198="",0,IFERROR(INDEX($E198:$M198,MATCH('Recepción'!$D$5,$E$1:$M$1,0)),0))</f>
        <v/>
      </c>
      <c r="O198" s="28">
        <f>IF(N198=0,0,IF(A198="S",1,IF(OR(B198='Recepción'!$D$9,B198='Recepción'!$F$9,B198='Recepción'!$D$10,AND(B198="Contacto con líquido",'Recepción'!$E$25="Sí"),AND(B198="Golpe / Caída",'Recepción'!$E$24="Sí"),AND(B198="No enciende",'Recepción'!$E$27="No")),1,0)))</f>
        <v/>
      </c>
      <c r="P198" s="28">
        <f>IF(O198=1,COUNTIF($O$2:O198,1),0)</f>
        <v/>
      </c>
    </row>
    <row r="199">
      <c r="A199" s="18" t="inlineStr">
        <is>
          <t>S</t>
        </is>
      </c>
      <c r="B199" s="20" t="inlineStr">
        <is>
          <t>Pruebas funcionales de ingreso</t>
        </is>
      </c>
      <c r="C199" s="20" t="inlineStr">
        <is>
          <t>Prueba: Pantalla táctil</t>
        </is>
      </c>
      <c r="D199" s="18" t="inlineStr">
        <is>
          <t>OKF</t>
        </is>
      </c>
      <c r="E199" s="27" t="n">
        <v>1</v>
      </c>
      <c r="F199" s="27" t="n">
        <v>0</v>
      </c>
      <c r="G199" s="27" t="n">
        <v>0</v>
      </c>
      <c r="H199" s="27" t="n">
        <v>0</v>
      </c>
      <c r="I199" s="27" t="n">
        <v>0</v>
      </c>
      <c r="J199" s="27" t="n">
        <v>0</v>
      </c>
      <c r="K199" s="27" t="n">
        <v>0</v>
      </c>
      <c r="L199" s="27" t="n">
        <v>0</v>
      </c>
      <c r="M199" s="27" t="n">
        <v>0</v>
      </c>
      <c r="N199" s="28">
        <f>IF(C199="",0,IFERROR(INDEX($E199:$M199,MATCH('Recepción'!$D$5,$E$1:$M$1,0)),0))</f>
        <v/>
      </c>
      <c r="O199" s="28">
        <f>IF(N199=0,0,IF(A199="S",1,IF(OR(B199='Recepción'!$D$9,B199='Recepción'!$F$9,B199='Recepción'!$D$10,AND(B199="Contacto con líquido",'Recepción'!$E$25="Sí"),AND(B199="Golpe / Caída",'Recepción'!$E$24="Sí"),AND(B199="No enciende",'Recepción'!$E$27="No")),1,0)))</f>
        <v/>
      </c>
      <c r="P199" s="28">
        <f>IF(O199=1,COUNTIF($O$2:O199,1),0)</f>
        <v/>
      </c>
    </row>
    <row r="200">
      <c r="A200" s="18" t="inlineStr">
        <is>
          <t>S</t>
        </is>
      </c>
      <c r="B200" s="20" t="inlineStr">
        <is>
          <t>Pruebas funcionales de ingreso</t>
        </is>
      </c>
      <c r="C200" s="20" t="inlineStr">
        <is>
          <t>Prueba: Botones (encendido / volumen)</t>
        </is>
      </c>
      <c r="D200" s="18" t="inlineStr">
        <is>
          <t>OKF</t>
        </is>
      </c>
      <c r="E200" s="27" t="n">
        <v>1</v>
      </c>
      <c r="F200" s="27" t="n">
        <v>0</v>
      </c>
      <c r="G200" s="27" t="n">
        <v>0</v>
      </c>
      <c r="H200" s="27" t="n">
        <v>0</v>
      </c>
      <c r="I200" s="27" t="n">
        <v>0</v>
      </c>
      <c r="J200" s="27" t="n">
        <v>0</v>
      </c>
      <c r="K200" s="27" t="n">
        <v>0</v>
      </c>
      <c r="L200" s="27" t="n">
        <v>0</v>
      </c>
      <c r="M200" s="27" t="n">
        <v>0</v>
      </c>
      <c r="N200" s="28">
        <f>IF(C200="",0,IFERROR(INDEX($E200:$M200,MATCH('Recepción'!$D$5,$E$1:$M$1,0)),0))</f>
        <v/>
      </c>
      <c r="O200" s="28">
        <f>IF(N200=0,0,IF(A200="S",1,IF(OR(B200='Recepción'!$D$9,B200='Recepción'!$F$9,B200='Recepción'!$D$10,AND(B200="Contacto con líquido",'Recepción'!$E$25="Sí"),AND(B200="Golpe / Caída",'Recepción'!$E$24="Sí"),AND(B200="No enciende",'Recepción'!$E$27="No")),1,0)))</f>
        <v/>
      </c>
      <c r="P200" s="28">
        <f>IF(O200=1,COUNTIF($O$2:O200,1),0)</f>
        <v/>
      </c>
    </row>
    <row r="201">
      <c r="A201" s="18" t="inlineStr">
        <is>
          <t>S</t>
        </is>
      </c>
      <c r="B201" s="20" t="inlineStr">
        <is>
          <t>Pruebas funcionales de ingreso</t>
        </is>
      </c>
      <c r="C201" s="20" t="inlineStr">
        <is>
          <t>Prueba: Bocina y micrófono</t>
        </is>
      </c>
      <c r="D201" s="18" t="inlineStr">
        <is>
          <t>OKF</t>
        </is>
      </c>
      <c r="E201" s="27" t="n">
        <v>1</v>
      </c>
      <c r="F201" s="27" t="n">
        <v>0</v>
      </c>
      <c r="G201" s="27" t="n">
        <v>0</v>
      </c>
      <c r="H201" s="27" t="n">
        <v>0</v>
      </c>
      <c r="I201" s="27" t="n">
        <v>0</v>
      </c>
      <c r="J201" s="27" t="n">
        <v>0</v>
      </c>
      <c r="K201" s="27" t="n">
        <v>0</v>
      </c>
      <c r="L201" s="27" t="n">
        <v>0</v>
      </c>
      <c r="M201" s="27" t="n">
        <v>0</v>
      </c>
      <c r="N201" s="28">
        <f>IF(C201="",0,IFERROR(INDEX($E201:$M201,MATCH('Recepción'!$D$5,$E$1:$M$1,0)),0))</f>
        <v/>
      </c>
      <c r="O201" s="28">
        <f>IF(N201=0,0,IF(A201="S",1,IF(OR(B201='Recepción'!$D$9,B201='Recepción'!$F$9,B201='Recepción'!$D$10,AND(B201="Contacto con líquido",'Recepción'!$E$25="Sí"),AND(B201="Golpe / Caída",'Recepción'!$E$24="Sí"),AND(B201="No enciende",'Recepción'!$E$27="No")),1,0)))</f>
        <v/>
      </c>
      <c r="P201" s="28">
        <f>IF(O201=1,COUNTIF($O$2:O201,1),0)</f>
        <v/>
      </c>
    </row>
    <row r="202">
      <c r="A202" s="18" t="inlineStr">
        <is>
          <t>S</t>
        </is>
      </c>
      <c r="B202" s="20" t="inlineStr">
        <is>
          <t>Pruebas funcionales de ingreso</t>
        </is>
      </c>
      <c r="C202" s="20" t="inlineStr">
        <is>
          <t>Prueba: Cámaras</t>
        </is>
      </c>
      <c r="D202" s="18" t="inlineStr">
        <is>
          <t>OKF</t>
        </is>
      </c>
      <c r="E202" s="27" t="n">
        <v>1</v>
      </c>
      <c r="F202" s="27" t="n">
        <v>0</v>
      </c>
      <c r="G202" s="27" t="n">
        <v>0</v>
      </c>
      <c r="H202" s="27" t="n">
        <v>0</v>
      </c>
      <c r="I202" s="27" t="n">
        <v>0</v>
      </c>
      <c r="J202" s="27" t="n">
        <v>0</v>
      </c>
      <c r="K202" s="27" t="n">
        <v>0</v>
      </c>
      <c r="L202" s="27" t="n">
        <v>0</v>
      </c>
      <c r="M202" s="27" t="n">
        <v>0</v>
      </c>
      <c r="N202" s="28">
        <f>IF(C202="",0,IFERROR(INDEX($E202:$M202,MATCH('Recepción'!$D$5,$E$1:$M$1,0)),0))</f>
        <v/>
      </c>
      <c r="O202" s="28">
        <f>IF(N202=0,0,IF(A202="S",1,IF(OR(B202='Recepción'!$D$9,B202='Recepción'!$F$9,B202='Recepción'!$D$10,AND(B202="Contacto con líquido",'Recepción'!$E$25="Sí"),AND(B202="Golpe / Caída",'Recepción'!$E$24="Sí"),AND(B202="No enciende",'Recepción'!$E$27="No")),1,0)))</f>
        <v/>
      </c>
      <c r="P202" s="28">
        <f>IF(O202=1,COUNTIF($O$2:O202,1),0)</f>
        <v/>
      </c>
    </row>
    <row r="203">
      <c r="A203" s="18" t="inlineStr">
        <is>
          <t>S</t>
        </is>
      </c>
      <c r="B203" s="20" t="inlineStr">
        <is>
          <t>Pruebas funcionales de ingreso</t>
        </is>
      </c>
      <c r="C203" s="20" t="inlineStr">
        <is>
          <t>Prueba: Wi-Fi / Bluetooth</t>
        </is>
      </c>
      <c r="D203" s="18" t="inlineStr">
        <is>
          <t>OKF</t>
        </is>
      </c>
      <c r="E203" s="27" t="n">
        <v>1</v>
      </c>
      <c r="F203" s="27" t="n">
        <v>0</v>
      </c>
      <c r="G203" s="27" t="n">
        <v>0</v>
      </c>
      <c r="H203" s="27" t="n">
        <v>0</v>
      </c>
      <c r="I203" s="27" t="n">
        <v>0</v>
      </c>
      <c r="J203" s="27" t="n">
        <v>0</v>
      </c>
      <c r="K203" s="27" t="n">
        <v>0</v>
      </c>
      <c r="L203" s="27" t="n">
        <v>0</v>
      </c>
      <c r="M203" s="27" t="n">
        <v>0</v>
      </c>
      <c r="N203" s="28">
        <f>IF(C203="",0,IFERROR(INDEX($E203:$M203,MATCH('Recepción'!$D$5,$E$1:$M$1,0)),0))</f>
        <v/>
      </c>
      <c r="O203" s="28">
        <f>IF(N203=0,0,IF(A203="S",1,IF(OR(B203='Recepción'!$D$9,B203='Recepción'!$F$9,B203='Recepción'!$D$10,AND(B203="Contacto con líquido",'Recepción'!$E$25="Sí"),AND(B203="Golpe / Caída",'Recepción'!$E$24="Sí"),AND(B203="No enciende",'Recepción'!$E$27="No")),1,0)))</f>
        <v/>
      </c>
      <c r="P203" s="28">
        <f>IF(O203=1,COUNTIF($O$2:O203,1),0)</f>
        <v/>
      </c>
    </row>
    <row r="204">
      <c r="A204" s="18" t="inlineStr">
        <is>
          <t>S</t>
        </is>
      </c>
      <c r="B204" s="20" t="inlineStr">
        <is>
          <t>Pruebas funcionales de ingreso</t>
        </is>
      </c>
      <c r="C204" s="20" t="inlineStr">
        <is>
          <t>Prueba: Carga</t>
        </is>
      </c>
      <c r="D204" s="18" t="inlineStr">
        <is>
          <t>OKF</t>
        </is>
      </c>
      <c r="E204" s="27" t="n">
        <v>1</v>
      </c>
      <c r="F204" s="27" t="n">
        <v>0</v>
      </c>
      <c r="G204" s="27" t="n">
        <v>0</v>
      </c>
      <c r="H204" s="27" t="n">
        <v>0</v>
      </c>
      <c r="I204" s="27" t="n">
        <v>0</v>
      </c>
      <c r="J204" s="27" t="n">
        <v>0</v>
      </c>
      <c r="K204" s="27" t="n">
        <v>0</v>
      </c>
      <c r="L204" s="27" t="n">
        <v>0</v>
      </c>
      <c r="M204" s="27" t="n">
        <v>0</v>
      </c>
      <c r="N204" s="28">
        <f>IF(C204="",0,IFERROR(INDEX($E204:$M204,MATCH('Recepción'!$D$5,$E$1:$M$1,0)),0))</f>
        <v/>
      </c>
      <c r="O204" s="28">
        <f>IF(N204=0,0,IF(A204="S",1,IF(OR(B204='Recepción'!$D$9,B204='Recepción'!$F$9,B204='Recepción'!$D$10,AND(B204="Contacto con líquido",'Recepción'!$E$25="Sí"),AND(B204="Golpe / Caída",'Recepción'!$E$24="Sí"),AND(B204="No enciende",'Recepción'!$E$27="No")),1,0)))</f>
        <v/>
      </c>
      <c r="P204" s="28">
        <f>IF(O204=1,COUNTIF($O$2:O204,1),0)</f>
        <v/>
      </c>
    </row>
    <row r="205">
      <c r="A205" s="18" t="inlineStr">
        <is>
          <t>S</t>
        </is>
      </c>
      <c r="B205" s="20" t="inlineStr">
        <is>
          <t>Pruebas funcionales de ingreso</t>
        </is>
      </c>
      <c r="C205" s="20" t="inlineStr">
        <is>
          <t>Prueba: Huella / Face ID</t>
        </is>
      </c>
      <c r="D205" s="18" t="inlineStr">
        <is>
          <t>OKF</t>
        </is>
      </c>
      <c r="E205" s="27" t="n">
        <v>1</v>
      </c>
      <c r="F205" s="27" t="n">
        <v>0</v>
      </c>
      <c r="G205" s="27" t="n">
        <v>0</v>
      </c>
      <c r="H205" s="27" t="n">
        <v>0</v>
      </c>
      <c r="I205" s="27" t="n">
        <v>0</v>
      </c>
      <c r="J205" s="27" t="n">
        <v>0</v>
      </c>
      <c r="K205" s="27" t="n">
        <v>0</v>
      </c>
      <c r="L205" s="27" t="n">
        <v>0</v>
      </c>
      <c r="M205" s="27" t="n">
        <v>0</v>
      </c>
      <c r="N205" s="28">
        <f>IF(C205="",0,IFERROR(INDEX($E205:$M205,MATCH('Recepción'!$D$5,$E$1:$M$1,0)),0))</f>
        <v/>
      </c>
      <c r="O205" s="28">
        <f>IF(N205=0,0,IF(A205="S",1,IF(OR(B205='Recepción'!$D$9,B205='Recepción'!$F$9,B205='Recepción'!$D$10,AND(B205="Contacto con líquido",'Recepción'!$E$25="Sí"),AND(B205="Golpe / Caída",'Recepción'!$E$24="Sí"),AND(B205="No enciende",'Recepción'!$E$27="No")),1,0)))</f>
        <v/>
      </c>
      <c r="P205" s="28">
        <f>IF(O205=1,COUNTIF($O$2:O205,1),0)</f>
        <v/>
      </c>
    </row>
    <row r="206">
      <c r="A206" s="18" t="inlineStr">
        <is>
          <t>S</t>
        </is>
      </c>
      <c r="B206" s="20" t="inlineStr">
        <is>
          <t>Pruebas funcionales de ingreso</t>
        </is>
      </c>
      <c r="C206" s="20" t="inlineStr">
        <is>
          <t>Prueba: SIM / señal</t>
        </is>
      </c>
      <c r="D206" s="18" t="inlineStr">
        <is>
          <t>OKF</t>
        </is>
      </c>
      <c r="E206" s="27" t="n">
        <v>1</v>
      </c>
      <c r="F206" s="27" t="n">
        <v>0</v>
      </c>
      <c r="G206" s="27" t="n">
        <v>0</v>
      </c>
      <c r="H206" s="27" t="n">
        <v>0</v>
      </c>
      <c r="I206" s="27" t="n">
        <v>0</v>
      </c>
      <c r="J206" s="27" t="n">
        <v>0</v>
      </c>
      <c r="K206" s="27" t="n">
        <v>0</v>
      </c>
      <c r="L206" s="27" t="n">
        <v>0</v>
      </c>
      <c r="M206" s="27" t="n">
        <v>0</v>
      </c>
      <c r="N206" s="28">
        <f>IF(C206="",0,IFERROR(INDEX($E206:$M206,MATCH('Recepción'!$D$5,$E$1:$M$1,0)),0))</f>
        <v/>
      </c>
      <c r="O206" s="28">
        <f>IF(N206=0,0,IF(A206="S",1,IF(OR(B206='Recepción'!$D$9,B206='Recepción'!$F$9,B206='Recepción'!$D$10,AND(B206="Contacto con líquido",'Recepción'!$E$25="Sí"),AND(B206="Golpe / Caída",'Recepción'!$E$24="Sí"),AND(B206="No enciende",'Recepción'!$E$27="No")),1,0)))</f>
        <v/>
      </c>
      <c r="P206" s="28">
        <f>IF(O206=1,COUNTIF($O$2:O206,1),0)</f>
        <v/>
      </c>
    </row>
    <row r="207">
      <c r="A207" s="18" t="inlineStr">
        <is>
          <t>S</t>
        </is>
      </c>
      <c r="B207" s="20" t="inlineStr">
        <is>
          <t>Pruebas funcionales de ingreso</t>
        </is>
      </c>
      <c r="C207" s="20" t="inlineStr">
        <is>
          <t>Prueba: Pantalla táctil</t>
        </is>
      </c>
      <c r="D207" s="18" t="inlineStr">
        <is>
          <t>OKF</t>
        </is>
      </c>
      <c r="E207" s="27" t="n">
        <v>0</v>
      </c>
      <c r="F207" s="27" t="n">
        <v>1</v>
      </c>
      <c r="G207" s="27" t="n">
        <v>0</v>
      </c>
      <c r="H207" s="27" t="n">
        <v>0</v>
      </c>
      <c r="I207" s="27" t="n">
        <v>0</v>
      </c>
      <c r="J207" s="27" t="n">
        <v>0</v>
      </c>
      <c r="K207" s="27" t="n">
        <v>0</v>
      </c>
      <c r="L207" s="27" t="n">
        <v>0</v>
      </c>
      <c r="M207" s="27" t="n">
        <v>0</v>
      </c>
      <c r="N207" s="28">
        <f>IF(C207="",0,IFERROR(INDEX($E207:$M207,MATCH('Recepción'!$D$5,$E$1:$M$1,0)),0))</f>
        <v/>
      </c>
      <c r="O207" s="28">
        <f>IF(N207=0,0,IF(A207="S",1,IF(OR(B207='Recepción'!$D$9,B207='Recepción'!$F$9,B207='Recepción'!$D$10,AND(B207="Contacto con líquido",'Recepción'!$E$25="Sí"),AND(B207="Golpe / Caída",'Recepción'!$E$24="Sí"),AND(B207="No enciende",'Recepción'!$E$27="No")),1,0)))</f>
        <v/>
      </c>
      <c r="P207" s="28">
        <f>IF(O207=1,COUNTIF($O$2:O207,1),0)</f>
        <v/>
      </c>
    </row>
    <row r="208">
      <c r="A208" s="18" t="inlineStr">
        <is>
          <t>S</t>
        </is>
      </c>
      <c r="B208" s="20" t="inlineStr">
        <is>
          <t>Pruebas funcionales de ingreso</t>
        </is>
      </c>
      <c r="C208" s="20" t="inlineStr">
        <is>
          <t>Prueba: Botones (encendido / volumen)</t>
        </is>
      </c>
      <c r="D208" s="18" t="inlineStr">
        <is>
          <t>OKF</t>
        </is>
      </c>
      <c r="E208" s="27" t="n">
        <v>0</v>
      </c>
      <c r="F208" s="27" t="n">
        <v>1</v>
      </c>
      <c r="G208" s="27" t="n">
        <v>0</v>
      </c>
      <c r="H208" s="27" t="n">
        <v>0</v>
      </c>
      <c r="I208" s="27" t="n">
        <v>0</v>
      </c>
      <c r="J208" s="27" t="n">
        <v>0</v>
      </c>
      <c r="K208" s="27" t="n">
        <v>0</v>
      </c>
      <c r="L208" s="27" t="n">
        <v>0</v>
      </c>
      <c r="M208" s="27" t="n">
        <v>0</v>
      </c>
      <c r="N208" s="28">
        <f>IF(C208="",0,IFERROR(INDEX($E208:$M208,MATCH('Recepción'!$D$5,$E$1:$M$1,0)),0))</f>
        <v/>
      </c>
      <c r="O208" s="28">
        <f>IF(N208=0,0,IF(A208="S",1,IF(OR(B208='Recepción'!$D$9,B208='Recepción'!$F$9,B208='Recepción'!$D$10,AND(B208="Contacto con líquido",'Recepción'!$E$25="Sí"),AND(B208="Golpe / Caída",'Recepción'!$E$24="Sí"),AND(B208="No enciende",'Recepción'!$E$27="No")),1,0)))</f>
        <v/>
      </c>
      <c r="P208" s="28">
        <f>IF(O208=1,COUNTIF($O$2:O208,1),0)</f>
        <v/>
      </c>
    </row>
    <row r="209">
      <c r="A209" s="18" t="inlineStr">
        <is>
          <t>S</t>
        </is>
      </c>
      <c r="B209" s="20" t="inlineStr">
        <is>
          <t>Pruebas funcionales de ingreso</t>
        </is>
      </c>
      <c r="C209" s="20" t="inlineStr">
        <is>
          <t>Prueba: Bocina y micrófono</t>
        </is>
      </c>
      <c r="D209" s="18" t="inlineStr">
        <is>
          <t>OKF</t>
        </is>
      </c>
      <c r="E209" s="27" t="n">
        <v>0</v>
      </c>
      <c r="F209" s="27" t="n">
        <v>1</v>
      </c>
      <c r="G209" s="27" t="n">
        <v>0</v>
      </c>
      <c r="H209" s="27" t="n">
        <v>0</v>
      </c>
      <c r="I209" s="27" t="n">
        <v>0</v>
      </c>
      <c r="J209" s="27" t="n">
        <v>0</v>
      </c>
      <c r="K209" s="27" t="n">
        <v>0</v>
      </c>
      <c r="L209" s="27" t="n">
        <v>0</v>
      </c>
      <c r="M209" s="27" t="n">
        <v>0</v>
      </c>
      <c r="N209" s="28">
        <f>IF(C209="",0,IFERROR(INDEX($E209:$M209,MATCH('Recepción'!$D$5,$E$1:$M$1,0)),0))</f>
        <v/>
      </c>
      <c r="O209" s="28">
        <f>IF(N209=0,0,IF(A209="S",1,IF(OR(B209='Recepción'!$D$9,B209='Recepción'!$F$9,B209='Recepción'!$D$10,AND(B209="Contacto con líquido",'Recepción'!$E$25="Sí"),AND(B209="Golpe / Caída",'Recepción'!$E$24="Sí"),AND(B209="No enciende",'Recepción'!$E$27="No")),1,0)))</f>
        <v/>
      </c>
      <c r="P209" s="28">
        <f>IF(O209=1,COUNTIF($O$2:O209,1),0)</f>
        <v/>
      </c>
    </row>
    <row r="210">
      <c r="A210" s="18" t="inlineStr">
        <is>
          <t>S</t>
        </is>
      </c>
      <c r="B210" s="20" t="inlineStr">
        <is>
          <t>Pruebas funcionales de ingreso</t>
        </is>
      </c>
      <c r="C210" s="20" t="inlineStr">
        <is>
          <t>Prueba: Cámaras</t>
        </is>
      </c>
      <c r="D210" s="18" t="inlineStr">
        <is>
          <t>OKF</t>
        </is>
      </c>
      <c r="E210" s="27" t="n">
        <v>0</v>
      </c>
      <c r="F210" s="27" t="n">
        <v>1</v>
      </c>
      <c r="G210" s="27" t="n">
        <v>0</v>
      </c>
      <c r="H210" s="27" t="n">
        <v>0</v>
      </c>
      <c r="I210" s="27" t="n">
        <v>0</v>
      </c>
      <c r="J210" s="27" t="n">
        <v>0</v>
      </c>
      <c r="K210" s="27" t="n">
        <v>0</v>
      </c>
      <c r="L210" s="27" t="n">
        <v>0</v>
      </c>
      <c r="M210" s="27" t="n">
        <v>0</v>
      </c>
      <c r="N210" s="28">
        <f>IF(C210="",0,IFERROR(INDEX($E210:$M210,MATCH('Recepción'!$D$5,$E$1:$M$1,0)),0))</f>
        <v/>
      </c>
      <c r="O210" s="28">
        <f>IF(N210=0,0,IF(A210="S",1,IF(OR(B210='Recepción'!$D$9,B210='Recepción'!$F$9,B210='Recepción'!$D$10,AND(B210="Contacto con líquido",'Recepción'!$E$25="Sí"),AND(B210="Golpe / Caída",'Recepción'!$E$24="Sí"),AND(B210="No enciende",'Recepción'!$E$27="No")),1,0)))</f>
        <v/>
      </c>
      <c r="P210" s="28">
        <f>IF(O210=1,COUNTIF($O$2:O210,1),0)</f>
        <v/>
      </c>
    </row>
    <row r="211">
      <c r="A211" s="18" t="inlineStr">
        <is>
          <t>S</t>
        </is>
      </c>
      <c r="B211" s="20" t="inlineStr">
        <is>
          <t>Pruebas funcionales de ingreso</t>
        </is>
      </c>
      <c r="C211" s="20" t="inlineStr">
        <is>
          <t>Prueba: Wi-Fi / Bluetooth</t>
        </is>
      </c>
      <c r="D211" s="18" t="inlineStr">
        <is>
          <t>OKF</t>
        </is>
      </c>
      <c r="E211" s="27" t="n">
        <v>0</v>
      </c>
      <c r="F211" s="27" t="n">
        <v>1</v>
      </c>
      <c r="G211" s="27" t="n">
        <v>0</v>
      </c>
      <c r="H211" s="27" t="n">
        <v>0</v>
      </c>
      <c r="I211" s="27" t="n">
        <v>0</v>
      </c>
      <c r="J211" s="27" t="n">
        <v>0</v>
      </c>
      <c r="K211" s="27" t="n">
        <v>0</v>
      </c>
      <c r="L211" s="27" t="n">
        <v>0</v>
      </c>
      <c r="M211" s="27" t="n">
        <v>0</v>
      </c>
      <c r="N211" s="28">
        <f>IF(C211="",0,IFERROR(INDEX($E211:$M211,MATCH('Recepción'!$D$5,$E$1:$M$1,0)),0))</f>
        <v/>
      </c>
      <c r="O211" s="28">
        <f>IF(N211=0,0,IF(A211="S",1,IF(OR(B211='Recepción'!$D$9,B211='Recepción'!$F$9,B211='Recepción'!$D$10,AND(B211="Contacto con líquido",'Recepción'!$E$25="Sí"),AND(B211="Golpe / Caída",'Recepción'!$E$24="Sí"),AND(B211="No enciende",'Recepción'!$E$27="No")),1,0)))</f>
        <v/>
      </c>
      <c r="P211" s="28">
        <f>IF(O211=1,COUNTIF($O$2:O211,1),0)</f>
        <v/>
      </c>
    </row>
    <row r="212">
      <c r="A212" s="18" t="inlineStr">
        <is>
          <t>S</t>
        </is>
      </c>
      <c r="B212" s="20" t="inlineStr">
        <is>
          <t>Pruebas funcionales de ingreso</t>
        </is>
      </c>
      <c r="C212" s="20" t="inlineStr">
        <is>
          <t>Prueba: Carga</t>
        </is>
      </c>
      <c r="D212" s="18" t="inlineStr">
        <is>
          <t>OKF</t>
        </is>
      </c>
      <c r="E212" s="27" t="n">
        <v>0</v>
      </c>
      <c r="F212" s="27" t="n">
        <v>1</v>
      </c>
      <c r="G212" s="27" t="n">
        <v>0</v>
      </c>
      <c r="H212" s="27" t="n">
        <v>0</v>
      </c>
      <c r="I212" s="27" t="n">
        <v>0</v>
      </c>
      <c r="J212" s="27" t="n">
        <v>0</v>
      </c>
      <c r="K212" s="27" t="n">
        <v>0</v>
      </c>
      <c r="L212" s="27" t="n">
        <v>0</v>
      </c>
      <c r="M212" s="27" t="n">
        <v>0</v>
      </c>
      <c r="N212" s="28">
        <f>IF(C212="",0,IFERROR(INDEX($E212:$M212,MATCH('Recepción'!$D$5,$E$1:$M$1,0)),0))</f>
        <v/>
      </c>
      <c r="O212" s="28">
        <f>IF(N212=0,0,IF(A212="S",1,IF(OR(B212='Recepción'!$D$9,B212='Recepción'!$F$9,B212='Recepción'!$D$10,AND(B212="Contacto con líquido",'Recepción'!$E$25="Sí"),AND(B212="Golpe / Caída",'Recepción'!$E$24="Sí"),AND(B212="No enciende",'Recepción'!$E$27="No")),1,0)))</f>
        <v/>
      </c>
      <c r="P212" s="28">
        <f>IF(O212=1,COUNTIF($O$2:O212,1),0)</f>
        <v/>
      </c>
    </row>
    <row r="213">
      <c r="A213" s="18" t="inlineStr">
        <is>
          <t>S</t>
        </is>
      </c>
      <c r="B213" s="20" t="inlineStr">
        <is>
          <t>Pruebas funcionales de ingreso</t>
        </is>
      </c>
      <c r="C213" s="20" t="inlineStr">
        <is>
          <t>Prueba: Huella / Face ID</t>
        </is>
      </c>
      <c r="D213" s="18" t="inlineStr">
        <is>
          <t>OKF</t>
        </is>
      </c>
      <c r="E213" s="27" t="n">
        <v>0</v>
      </c>
      <c r="F213" s="27" t="n">
        <v>1</v>
      </c>
      <c r="G213" s="27" t="n">
        <v>0</v>
      </c>
      <c r="H213" s="27" t="n">
        <v>0</v>
      </c>
      <c r="I213" s="27" t="n">
        <v>0</v>
      </c>
      <c r="J213" s="27" t="n">
        <v>0</v>
      </c>
      <c r="K213" s="27" t="n">
        <v>0</v>
      </c>
      <c r="L213" s="27" t="n">
        <v>0</v>
      </c>
      <c r="M213" s="27" t="n">
        <v>0</v>
      </c>
      <c r="N213" s="28">
        <f>IF(C213="",0,IFERROR(INDEX($E213:$M213,MATCH('Recepción'!$D$5,$E$1:$M$1,0)),0))</f>
        <v/>
      </c>
      <c r="O213" s="28">
        <f>IF(N213=0,0,IF(A213="S",1,IF(OR(B213='Recepción'!$D$9,B213='Recepción'!$F$9,B213='Recepción'!$D$10,AND(B213="Contacto con líquido",'Recepción'!$E$25="Sí"),AND(B213="Golpe / Caída",'Recepción'!$E$24="Sí"),AND(B213="No enciende",'Recepción'!$E$27="No")),1,0)))</f>
        <v/>
      </c>
      <c r="P213" s="28">
        <f>IF(O213=1,COUNTIF($O$2:O213,1),0)</f>
        <v/>
      </c>
    </row>
    <row r="214">
      <c r="A214" s="18" t="inlineStr">
        <is>
          <t>S</t>
        </is>
      </c>
      <c r="B214" s="20" t="inlineStr">
        <is>
          <t>Pruebas funcionales de ingreso</t>
        </is>
      </c>
      <c r="C214" s="20" t="inlineStr">
        <is>
          <t>Prueba: Pantalla táctil</t>
        </is>
      </c>
      <c r="D214" s="18" t="inlineStr">
        <is>
          <t>OKF</t>
        </is>
      </c>
      <c r="E214" s="27" t="n">
        <v>0</v>
      </c>
      <c r="F214" s="27" t="n">
        <v>0</v>
      </c>
      <c r="G214" s="27" t="n">
        <v>1</v>
      </c>
      <c r="H214" s="27" t="n">
        <v>0</v>
      </c>
      <c r="I214" s="27" t="n">
        <v>0</v>
      </c>
      <c r="J214" s="27" t="n">
        <v>0</v>
      </c>
      <c r="K214" s="27" t="n">
        <v>0</v>
      </c>
      <c r="L214" s="27" t="n">
        <v>0</v>
      </c>
      <c r="M214" s="27" t="n">
        <v>0</v>
      </c>
      <c r="N214" s="28">
        <f>IF(C214="",0,IFERROR(INDEX($E214:$M214,MATCH('Recepción'!$D$5,$E$1:$M$1,0)),0))</f>
        <v/>
      </c>
      <c r="O214" s="28">
        <f>IF(N214=0,0,IF(A214="S",1,IF(OR(B214='Recepción'!$D$9,B214='Recepción'!$F$9,B214='Recepción'!$D$10,AND(B214="Contacto con líquido",'Recepción'!$E$25="Sí"),AND(B214="Golpe / Caída",'Recepción'!$E$24="Sí"),AND(B214="No enciende",'Recepción'!$E$27="No")),1,0)))</f>
        <v/>
      </c>
      <c r="P214" s="28">
        <f>IF(O214=1,COUNTIF($O$2:O214,1),0)</f>
        <v/>
      </c>
    </row>
    <row r="215">
      <c r="A215" s="18" t="inlineStr">
        <is>
          <t>S</t>
        </is>
      </c>
      <c r="B215" s="20" t="inlineStr">
        <is>
          <t>Pruebas funcionales de ingreso</t>
        </is>
      </c>
      <c r="C215" s="20" t="inlineStr">
        <is>
          <t>Prueba: Botones / corona</t>
        </is>
      </c>
      <c r="D215" s="18" t="inlineStr">
        <is>
          <t>OKF</t>
        </is>
      </c>
      <c r="E215" s="27" t="n">
        <v>0</v>
      </c>
      <c r="F215" s="27" t="n">
        <v>0</v>
      </c>
      <c r="G215" s="27" t="n">
        <v>1</v>
      </c>
      <c r="H215" s="27" t="n">
        <v>0</v>
      </c>
      <c r="I215" s="27" t="n">
        <v>0</v>
      </c>
      <c r="J215" s="27" t="n">
        <v>0</v>
      </c>
      <c r="K215" s="27" t="n">
        <v>0</v>
      </c>
      <c r="L215" s="27" t="n">
        <v>0</v>
      </c>
      <c r="M215" s="27" t="n">
        <v>0</v>
      </c>
      <c r="N215" s="28">
        <f>IF(C215="",0,IFERROR(INDEX($E215:$M215,MATCH('Recepción'!$D$5,$E$1:$M$1,0)),0))</f>
        <v/>
      </c>
      <c r="O215" s="28">
        <f>IF(N215=0,0,IF(A215="S",1,IF(OR(B215='Recepción'!$D$9,B215='Recepción'!$F$9,B215='Recepción'!$D$10,AND(B215="Contacto con líquido",'Recepción'!$E$25="Sí"),AND(B215="Golpe / Caída",'Recepción'!$E$24="Sí"),AND(B215="No enciende",'Recepción'!$E$27="No")),1,0)))</f>
        <v/>
      </c>
      <c r="P215" s="28">
        <f>IF(O215=1,COUNTIF($O$2:O215,1),0)</f>
        <v/>
      </c>
    </row>
    <row r="216">
      <c r="A216" s="18" t="inlineStr">
        <is>
          <t>S</t>
        </is>
      </c>
      <c r="B216" s="20" t="inlineStr">
        <is>
          <t>Pruebas funcionales de ingreso</t>
        </is>
      </c>
      <c r="C216" s="20" t="inlineStr">
        <is>
          <t>Prueba: Sensor cardíaco</t>
        </is>
      </c>
      <c r="D216" s="18" t="inlineStr">
        <is>
          <t>OKF</t>
        </is>
      </c>
      <c r="E216" s="27" t="n">
        <v>0</v>
      </c>
      <c r="F216" s="27" t="n">
        <v>0</v>
      </c>
      <c r="G216" s="27" t="n">
        <v>1</v>
      </c>
      <c r="H216" s="27" t="n">
        <v>0</v>
      </c>
      <c r="I216" s="27" t="n">
        <v>0</v>
      </c>
      <c r="J216" s="27" t="n">
        <v>0</v>
      </c>
      <c r="K216" s="27" t="n">
        <v>0</v>
      </c>
      <c r="L216" s="27" t="n">
        <v>0</v>
      </c>
      <c r="M216" s="27" t="n">
        <v>0</v>
      </c>
      <c r="N216" s="28">
        <f>IF(C216="",0,IFERROR(INDEX($E216:$M216,MATCH('Recepción'!$D$5,$E$1:$M$1,0)),0))</f>
        <v/>
      </c>
      <c r="O216" s="28">
        <f>IF(N216=0,0,IF(A216="S",1,IF(OR(B216='Recepción'!$D$9,B216='Recepción'!$F$9,B216='Recepción'!$D$10,AND(B216="Contacto con líquido",'Recepción'!$E$25="Sí"),AND(B216="Golpe / Caída",'Recepción'!$E$24="Sí"),AND(B216="No enciende",'Recepción'!$E$27="No")),1,0)))</f>
        <v/>
      </c>
      <c r="P216" s="28">
        <f>IF(O216=1,COUNTIF($O$2:O216,1),0)</f>
        <v/>
      </c>
    </row>
    <row r="217">
      <c r="A217" s="18" t="inlineStr">
        <is>
          <t>S</t>
        </is>
      </c>
      <c r="B217" s="20" t="inlineStr">
        <is>
          <t>Pruebas funcionales de ingreso</t>
        </is>
      </c>
      <c r="C217" s="20" t="inlineStr">
        <is>
          <t>Prueba: Carga</t>
        </is>
      </c>
      <c r="D217" s="18" t="inlineStr">
        <is>
          <t>OKF</t>
        </is>
      </c>
      <c r="E217" s="27" t="n">
        <v>0</v>
      </c>
      <c r="F217" s="27" t="n">
        <v>0</v>
      </c>
      <c r="G217" s="27" t="n">
        <v>1</v>
      </c>
      <c r="H217" s="27" t="n">
        <v>0</v>
      </c>
      <c r="I217" s="27" t="n">
        <v>0</v>
      </c>
      <c r="J217" s="27" t="n">
        <v>0</v>
      </c>
      <c r="K217" s="27" t="n">
        <v>0</v>
      </c>
      <c r="L217" s="27" t="n">
        <v>0</v>
      </c>
      <c r="M217" s="27" t="n">
        <v>0</v>
      </c>
      <c r="N217" s="28">
        <f>IF(C217="",0,IFERROR(INDEX($E217:$M217,MATCH('Recepción'!$D$5,$E$1:$M$1,0)),0))</f>
        <v/>
      </c>
      <c r="O217" s="28">
        <f>IF(N217=0,0,IF(A217="S",1,IF(OR(B217='Recepción'!$D$9,B217='Recepción'!$F$9,B217='Recepción'!$D$10,AND(B217="Contacto con líquido",'Recepción'!$E$25="Sí"),AND(B217="Golpe / Caída",'Recepción'!$E$24="Sí"),AND(B217="No enciende",'Recepción'!$E$27="No")),1,0)))</f>
        <v/>
      </c>
      <c r="P217" s="28">
        <f>IF(O217=1,COUNTIF($O$2:O217,1),0)</f>
        <v/>
      </c>
    </row>
    <row r="218">
      <c r="A218" s="18" t="inlineStr">
        <is>
          <t>S</t>
        </is>
      </c>
      <c r="B218" s="20" t="inlineStr">
        <is>
          <t>Pruebas funcionales de ingreso</t>
        </is>
      </c>
      <c r="C218" s="20" t="inlineStr">
        <is>
          <t>Prueba: Vinculación con teléfono</t>
        </is>
      </c>
      <c r="D218" s="18" t="inlineStr">
        <is>
          <t>OKF</t>
        </is>
      </c>
      <c r="E218" s="27" t="n">
        <v>0</v>
      </c>
      <c r="F218" s="27" t="n">
        <v>0</v>
      </c>
      <c r="G218" s="27" t="n">
        <v>1</v>
      </c>
      <c r="H218" s="27" t="n">
        <v>0</v>
      </c>
      <c r="I218" s="27" t="n">
        <v>0</v>
      </c>
      <c r="J218" s="27" t="n">
        <v>0</v>
      </c>
      <c r="K218" s="27" t="n">
        <v>0</v>
      </c>
      <c r="L218" s="27" t="n">
        <v>0</v>
      </c>
      <c r="M218" s="27" t="n">
        <v>0</v>
      </c>
      <c r="N218" s="28">
        <f>IF(C218="",0,IFERROR(INDEX($E218:$M218,MATCH('Recepción'!$D$5,$E$1:$M$1,0)),0))</f>
        <v/>
      </c>
      <c r="O218" s="28">
        <f>IF(N218=0,0,IF(A218="S",1,IF(OR(B218='Recepción'!$D$9,B218='Recepción'!$F$9,B218='Recepción'!$D$10,AND(B218="Contacto con líquido",'Recepción'!$E$25="Sí"),AND(B218="Golpe / Caída",'Recepción'!$E$24="Sí"),AND(B218="No enciende",'Recepción'!$E$27="No")),1,0)))</f>
        <v/>
      </c>
      <c r="P218" s="28">
        <f>IF(O218=1,COUNTIF($O$2:O218,1),0)</f>
        <v/>
      </c>
    </row>
    <row r="219">
      <c r="A219" s="18" t="inlineStr">
        <is>
          <t>S</t>
        </is>
      </c>
      <c r="B219" s="20" t="inlineStr">
        <is>
          <t>Pruebas funcionales de ingreso</t>
        </is>
      </c>
      <c r="C219" s="20" t="inlineStr">
        <is>
          <t>Prueba: Batería</t>
        </is>
      </c>
      <c r="D219" s="18" t="inlineStr">
        <is>
          <t>OKF</t>
        </is>
      </c>
      <c r="E219" s="27" t="n">
        <v>0</v>
      </c>
      <c r="F219" s="27" t="n">
        <v>0</v>
      </c>
      <c r="G219" s="27" t="n">
        <v>0</v>
      </c>
      <c r="H219" s="27" t="n">
        <v>1</v>
      </c>
      <c r="I219" s="27" t="n">
        <v>0</v>
      </c>
      <c r="J219" s="27" t="n">
        <v>0</v>
      </c>
      <c r="K219" s="27" t="n">
        <v>0</v>
      </c>
      <c r="L219" s="27" t="n">
        <v>0</v>
      </c>
      <c r="M219" s="27" t="n">
        <v>0</v>
      </c>
      <c r="N219" s="28">
        <f>IF(C219="",0,IFERROR(INDEX($E219:$M219,MATCH('Recepción'!$D$5,$E$1:$M$1,0)),0))</f>
        <v/>
      </c>
      <c r="O219" s="28">
        <f>IF(N219=0,0,IF(A219="S",1,IF(OR(B219='Recepción'!$D$9,B219='Recepción'!$F$9,B219='Recepción'!$D$10,AND(B219="Contacto con líquido",'Recepción'!$E$25="Sí"),AND(B219="Golpe / Caída",'Recepción'!$E$24="Sí"),AND(B219="No enciende",'Recepción'!$E$27="No")),1,0)))</f>
        <v/>
      </c>
      <c r="P219" s="28">
        <f>IF(O219=1,COUNTIF($O$2:O219,1),0)</f>
        <v/>
      </c>
    </row>
    <row r="220">
      <c r="A220" s="18" t="inlineStr">
        <is>
          <t>S</t>
        </is>
      </c>
      <c r="B220" s="20" t="inlineStr">
        <is>
          <t>Pruebas funcionales de ingreso</t>
        </is>
      </c>
      <c r="C220" s="20" t="inlineStr">
        <is>
          <t>Prueba: Cargador</t>
        </is>
      </c>
      <c r="D220" s="18" t="inlineStr">
        <is>
          <t>OKF</t>
        </is>
      </c>
      <c r="E220" s="27" t="n">
        <v>0</v>
      </c>
      <c r="F220" s="27" t="n">
        <v>0</v>
      </c>
      <c r="G220" s="27" t="n">
        <v>0</v>
      </c>
      <c r="H220" s="27" t="n">
        <v>1</v>
      </c>
      <c r="I220" s="27" t="n">
        <v>0</v>
      </c>
      <c r="J220" s="27" t="n">
        <v>0</v>
      </c>
      <c r="K220" s="27" t="n">
        <v>0</v>
      </c>
      <c r="L220" s="27" t="n">
        <v>0</v>
      </c>
      <c r="M220" s="27" t="n">
        <v>0</v>
      </c>
      <c r="N220" s="28">
        <f>IF(C220="",0,IFERROR(INDEX($E220:$M220,MATCH('Recepción'!$D$5,$E$1:$M$1,0)),0))</f>
        <v/>
      </c>
      <c r="O220" s="28">
        <f>IF(N220=0,0,IF(A220="S",1,IF(OR(B220='Recepción'!$D$9,B220='Recepción'!$F$9,B220='Recepción'!$D$10,AND(B220="Contacto con líquido",'Recepción'!$E$25="Sí"),AND(B220="Golpe / Caída",'Recepción'!$E$24="Sí"),AND(B220="No enciende",'Recepción'!$E$27="No")),1,0)))</f>
        <v/>
      </c>
      <c r="P220" s="28">
        <f>IF(O220=1,COUNTIF($O$2:O220,1),0)</f>
        <v/>
      </c>
    </row>
    <row r="221">
      <c r="A221" s="18" t="inlineStr">
        <is>
          <t>S</t>
        </is>
      </c>
      <c r="B221" s="20" t="inlineStr">
        <is>
          <t>Pruebas funcionales de ingreso</t>
        </is>
      </c>
      <c r="C221" s="20" t="inlineStr">
        <is>
          <t>Prueba: Teclado</t>
        </is>
      </c>
      <c r="D221" s="18" t="inlineStr">
        <is>
          <t>OKF</t>
        </is>
      </c>
      <c r="E221" s="27" t="n">
        <v>0</v>
      </c>
      <c r="F221" s="27" t="n">
        <v>0</v>
      </c>
      <c r="G221" s="27" t="n">
        <v>0</v>
      </c>
      <c r="H221" s="27" t="n">
        <v>1</v>
      </c>
      <c r="I221" s="27" t="n">
        <v>0</v>
      </c>
      <c r="J221" s="27" t="n">
        <v>0</v>
      </c>
      <c r="K221" s="27" t="n">
        <v>0</v>
      </c>
      <c r="L221" s="27" t="n">
        <v>0</v>
      </c>
      <c r="M221" s="27" t="n">
        <v>0</v>
      </c>
      <c r="N221" s="28">
        <f>IF(C221="",0,IFERROR(INDEX($E221:$M221,MATCH('Recepción'!$D$5,$E$1:$M$1,0)),0))</f>
        <v/>
      </c>
      <c r="O221" s="28">
        <f>IF(N221=0,0,IF(A221="S",1,IF(OR(B221='Recepción'!$D$9,B221='Recepción'!$F$9,B221='Recepción'!$D$10,AND(B221="Contacto con líquido",'Recepción'!$E$25="Sí"),AND(B221="Golpe / Caída",'Recepción'!$E$24="Sí"),AND(B221="No enciende",'Recepción'!$E$27="No")),1,0)))</f>
        <v/>
      </c>
      <c r="P221" s="28">
        <f>IF(O221=1,COUNTIF($O$2:O221,1),0)</f>
        <v/>
      </c>
    </row>
    <row r="222">
      <c r="A222" s="18" t="inlineStr">
        <is>
          <t>S</t>
        </is>
      </c>
      <c r="B222" s="20" t="inlineStr">
        <is>
          <t>Pruebas funcionales de ingreso</t>
        </is>
      </c>
      <c r="C222" s="20" t="inlineStr">
        <is>
          <t>Prueba: Touchpad</t>
        </is>
      </c>
      <c r="D222" s="18" t="inlineStr">
        <is>
          <t>OKF</t>
        </is>
      </c>
      <c r="E222" s="27" t="n">
        <v>0</v>
      </c>
      <c r="F222" s="27" t="n">
        <v>0</v>
      </c>
      <c r="G222" s="27" t="n">
        <v>0</v>
      </c>
      <c r="H222" s="27" t="n">
        <v>1</v>
      </c>
      <c r="I222" s="27" t="n">
        <v>0</v>
      </c>
      <c r="J222" s="27" t="n">
        <v>0</v>
      </c>
      <c r="K222" s="27" t="n">
        <v>0</v>
      </c>
      <c r="L222" s="27" t="n">
        <v>0</v>
      </c>
      <c r="M222" s="27" t="n">
        <v>0</v>
      </c>
      <c r="N222" s="28">
        <f>IF(C222="",0,IFERROR(INDEX($E222:$M222,MATCH('Recepción'!$D$5,$E$1:$M$1,0)),0))</f>
        <v/>
      </c>
      <c r="O222" s="28">
        <f>IF(N222=0,0,IF(A222="S",1,IF(OR(B222='Recepción'!$D$9,B222='Recepción'!$F$9,B222='Recepción'!$D$10,AND(B222="Contacto con líquido",'Recepción'!$E$25="Sí"),AND(B222="Golpe / Caída",'Recepción'!$E$24="Sí"),AND(B222="No enciende",'Recepción'!$E$27="No")),1,0)))</f>
        <v/>
      </c>
      <c r="P222" s="28">
        <f>IF(O222=1,COUNTIF($O$2:O222,1),0)</f>
        <v/>
      </c>
    </row>
    <row r="223">
      <c r="A223" s="18" t="inlineStr">
        <is>
          <t>S</t>
        </is>
      </c>
      <c r="B223" s="20" t="inlineStr">
        <is>
          <t>Pruebas funcionales de ingreso</t>
        </is>
      </c>
      <c r="C223" s="20" t="inlineStr">
        <is>
          <t>Prueba: Wi-Fi</t>
        </is>
      </c>
      <c r="D223" s="18" t="inlineStr">
        <is>
          <t>OKF</t>
        </is>
      </c>
      <c r="E223" s="27" t="n">
        <v>0</v>
      </c>
      <c r="F223" s="27" t="n">
        <v>0</v>
      </c>
      <c r="G223" s="27" t="n">
        <v>0</v>
      </c>
      <c r="H223" s="27" t="n">
        <v>1</v>
      </c>
      <c r="I223" s="27" t="n">
        <v>0</v>
      </c>
      <c r="J223" s="27" t="n">
        <v>0</v>
      </c>
      <c r="K223" s="27" t="n">
        <v>0</v>
      </c>
      <c r="L223" s="27" t="n">
        <v>0</v>
      </c>
      <c r="M223" s="27" t="n">
        <v>0</v>
      </c>
      <c r="N223" s="28">
        <f>IF(C223="",0,IFERROR(INDEX($E223:$M223,MATCH('Recepción'!$D$5,$E$1:$M$1,0)),0))</f>
        <v/>
      </c>
      <c r="O223" s="28">
        <f>IF(N223=0,0,IF(A223="S",1,IF(OR(B223='Recepción'!$D$9,B223='Recepción'!$F$9,B223='Recepción'!$D$10,AND(B223="Contacto con líquido",'Recepción'!$E$25="Sí"),AND(B223="Golpe / Caída",'Recepción'!$E$24="Sí"),AND(B223="No enciende",'Recepción'!$E$27="No")),1,0)))</f>
        <v/>
      </c>
      <c r="P223" s="28">
        <f>IF(O223=1,COUNTIF($O$2:O223,1),0)</f>
        <v/>
      </c>
    </row>
    <row r="224">
      <c r="A224" s="18" t="inlineStr">
        <is>
          <t>S</t>
        </is>
      </c>
      <c r="B224" s="20" t="inlineStr">
        <is>
          <t>Pruebas funcionales de ingreso</t>
        </is>
      </c>
      <c r="C224" s="20" t="inlineStr">
        <is>
          <t>Prueba: Puertos USB</t>
        </is>
      </c>
      <c r="D224" s="18" t="inlineStr">
        <is>
          <t>OKF</t>
        </is>
      </c>
      <c r="E224" s="27" t="n">
        <v>0</v>
      </c>
      <c r="F224" s="27" t="n">
        <v>0</v>
      </c>
      <c r="G224" s="27" t="n">
        <v>0</v>
      </c>
      <c r="H224" s="27" t="n">
        <v>1</v>
      </c>
      <c r="I224" s="27" t="n">
        <v>0</v>
      </c>
      <c r="J224" s="27" t="n">
        <v>0</v>
      </c>
      <c r="K224" s="27" t="n">
        <v>0</v>
      </c>
      <c r="L224" s="27" t="n">
        <v>0</v>
      </c>
      <c r="M224" s="27" t="n">
        <v>0</v>
      </c>
      <c r="N224" s="28">
        <f>IF(C224="",0,IFERROR(INDEX($E224:$M224,MATCH('Recepción'!$D$5,$E$1:$M$1,0)),0))</f>
        <v/>
      </c>
      <c r="O224" s="28">
        <f>IF(N224=0,0,IF(A224="S",1,IF(OR(B224='Recepción'!$D$9,B224='Recepción'!$F$9,B224='Recepción'!$D$10,AND(B224="Contacto con líquido",'Recepción'!$E$25="Sí"),AND(B224="Golpe / Caída",'Recepción'!$E$24="Sí"),AND(B224="No enciende",'Recepción'!$E$27="No")),1,0)))</f>
        <v/>
      </c>
      <c r="P224" s="28">
        <f>IF(O224=1,COUNTIF($O$2:O224,1),0)</f>
        <v/>
      </c>
    </row>
    <row r="225">
      <c r="A225" s="18" t="inlineStr">
        <is>
          <t>S</t>
        </is>
      </c>
      <c r="B225" s="20" t="inlineStr">
        <is>
          <t>Pruebas funcionales de ingreso</t>
        </is>
      </c>
      <c r="C225" s="20" t="inlineStr">
        <is>
          <t>Prueba: Cámara</t>
        </is>
      </c>
      <c r="D225" s="18" t="inlineStr">
        <is>
          <t>OKF</t>
        </is>
      </c>
      <c r="E225" s="27" t="n">
        <v>0</v>
      </c>
      <c r="F225" s="27" t="n">
        <v>0</v>
      </c>
      <c r="G225" s="27" t="n">
        <v>0</v>
      </c>
      <c r="H225" s="27" t="n">
        <v>1</v>
      </c>
      <c r="I225" s="27" t="n">
        <v>0</v>
      </c>
      <c r="J225" s="27" t="n">
        <v>0</v>
      </c>
      <c r="K225" s="27" t="n">
        <v>0</v>
      </c>
      <c r="L225" s="27" t="n">
        <v>0</v>
      </c>
      <c r="M225" s="27" t="n">
        <v>0</v>
      </c>
      <c r="N225" s="28">
        <f>IF(C225="",0,IFERROR(INDEX($E225:$M225,MATCH('Recepción'!$D$5,$E$1:$M$1,0)),0))</f>
        <v/>
      </c>
      <c r="O225" s="28">
        <f>IF(N225=0,0,IF(A225="S",1,IF(OR(B225='Recepción'!$D$9,B225='Recepción'!$F$9,B225='Recepción'!$D$10,AND(B225="Contacto con líquido",'Recepción'!$E$25="Sí"),AND(B225="Golpe / Caída",'Recepción'!$E$24="Sí"),AND(B225="No enciende",'Recepción'!$E$27="No")),1,0)))</f>
        <v/>
      </c>
      <c r="P225" s="28">
        <f>IF(O225=1,COUNTIF($O$2:O225,1),0)</f>
        <v/>
      </c>
    </row>
    <row r="226">
      <c r="A226" s="18" t="inlineStr">
        <is>
          <t>S</t>
        </is>
      </c>
      <c r="B226" s="20" t="inlineStr">
        <is>
          <t>Pruebas funcionales de ingreso</t>
        </is>
      </c>
      <c r="C226" s="20" t="inlineStr">
        <is>
          <t>Prueba: Micrófono</t>
        </is>
      </c>
      <c r="D226" s="18" t="inlineStr">
        <is>
          <t>OKF</t>
        </is>
      </c>
      <c r="E226" s="27" t="n">
        <v>0</v>
      </c>
      <c r="F226" s="27" t="n">
        <v>0</v>
      </c>
      <c r="G226" s="27" t="n">
        <v>0</v>
      </c>
      <c r="H226" s="27" t="n">
        <v>1</v>
      </c>
      <c r="I226" s="27" t="n">
        <v>0</v>
      </c>
      <c r="J226" s="27" t="n">
        <v>0</v>
      </c>
      <c r="K226" s="27" t="n">
        <v>0</v>
      </c>
      <c r="L226" s="27" t="n">
        <v>0</v>
      </c>
      <c r="M226" s="27" t="n">
        <v>0</v>
      </c>
      <c r="N226" s="28">
        <f>IF(C226="",0,IFERROR(INDEX($E226:$M226,MATCH('Recepción'!$D$5,$E$1:$M$1,0)),0))</f>
        <v/>
      </c>
      <c r="O226" s="28">
        <f>IF(N226=0,0,IF(A226="S",1,IF(OR(B226='Recepción'!$D$9,B226='Recepción'!$F$9,B226='Recepción'!$D$10,AND(B226="Contacto con líquido",'Recepción'!$E$25="Sí"),AND(B226="Golpe / Caída",'Recepción'!$E$24="Sí"),AND(B226="No enciende",'Recepción'!$E$27="No")),1,0)))</f>
        <v/>
      </c>
      <c r="P226" s="28">
        <f>IF(O226=1,COUNTIF($O$2:O226,1),0)</f>
        <v/>
      </c>
    </row>
    <row r="227">
      <c r="A227" s="18" t="inlineStr">
        <is>
          <t>S</t>
        </is>
      </c>
      <c r="B227" s="20" t="inlineStr">
        <is>
          <t>Pruebas funcionales de ingreso</t>
        </is>
      </c>
      <c r="C227" s="20" t="inlineStr">
        <is>
          <t>Prueba: Audio</t>
        </is>
      </c>
      <c r="D227" s="18" t="inlineStr">
        <is>
          <t>OKF</t>
        </is>
      </c>
      <c r="E227" s="27" t="n">
        <v>0</v>
      </c>
      <c r="F227" s="27" t="n">
        <v>0</v>
      </c>
      <c r="G227" s="27" t="n">
        <v>0</v>
      </c>
      <c r="H227" s="27" t="n">
        <v>1</v>
      </c>
      <c r="I227" s="27" t="n">
        <v>0</v>
      </c>
      <c r="J227" s="27" t="n">
        <v>0</v>
      </c>
      <c r="K227" s="27" t="n">
        <v>0</v>
      </c>
      <c r="L227" s="27" t="n">
        <v>0</v>
      </c>
      <c r="M227" s="27" t="n">
        <v>0</v>
      </c>
      <c r="N227" s="28">
        <f>IF(C227="",0,IFERROR(INDEX($E227:$M227,MATCH('Recepción'!$D$5,$E$1:$M$1,0)),0))</f>
        <v/>
      </c>
      <c r="O227" s="28">
        <f>IF(N227=0,0,IF(A227="S",1,IF(OR(B227='Recepción'!$D$9,B227='Recepción'!$F$9,B227='Recepción'!$D$10,AND(B227="Contacto con líquido",'Recepción'!$E$25="Sí"),AND(B227="Golpe / Caída",'Recepción'!$E$24="Sí"),AND(B227="No enciende",'Recepción'!$E$27="No")),1,0)))</f>
        <v/>
      </c>
      <c r="P227" s="28">
        <f>IF(O227=1,COUNTIF($O$2:O227,1),0)</f>
        <v/>
      </c>
    </row>
    <row r="228">
      <c r="A228" s="18" t="inlineStr">
        <is>
          <t>S</t>
        </is>
      </c>
      <c r="B228" s="20" t="inlineStr">
        <is>
          <t>Pruebas funcionales de ingreso</t>
        </is>
      </c>
      <c r="C228" s="20" t="inlineStr">
        <is>
          <t>Prueba: Batería</t>
        </is>
      </c>
      <c r="D228" s="18" t="inlineStr">
        <is>
          <t>OKF</t>
        </is>
      </c>
      <c r="E228" s="27" t="n">
        <v>0</v>
      </c>
      <c r="F228" s="27" t="n">
        <v>0</v>
      </c>
      <c r="G228" s="27" t="n">
        <v>0</v>
      </c>
      <c r="H228" s="27" t="n">
        <v>0</v>
      </c>
      <c r="I228" s="27" t="n">
        <v>0</v>
      </c>
      <c r="J228" s="27" t="n">
        <v>1</v>
      </c>
      <c r="K228" s="27" t="n">
        <v>0</v>
      </c>
      <c r="L228" s="27" t="n">
        <v>0</v>
      </c>
      <c r="M228" s="27" t="n">
        <v>0</v>
      </c>
      <c r="N228" s="28">
        <f>IF(C228="",0,IFERROR(INDEX($E228:$M228,MATCH('Recepción'!$D$5,$E$1:$M$1,0)),0))</f>
        <v/>
      </c>
      <c r="O228" s="28">
        <f>IF(N228=0,0,IF(A228="S",1,IF(OR(B228='Recepción'!$D$9,B228='Recepción'!$F$9,B228='Recepción'!$D$10,AND(B228="Contacto con líquido",'Recepción'!$E$25="Sí"),AND(B228="Golpe / Caída",'Recepción'!$E$24="Sí"),AND(B228="No enciende",'Recepción'!$E$27="No")),1,0)))</f>
        <v/>
      </c>
      <c r="P228" s="28">
        <f>IF(O228=1,COUNTIF($O$2:O228,1),0)</f>
        <v/>
      </c>
    </row>
    <row r="229">
      <c r="A229" s="18" t="inlineStr">
        <is>
          <t>S</t>
        </is>
      </c>
      <c r="B229" s="20" t="inlineStr">
        <is>
          <t>Pruebas funcionales de ingreso</t>
        </is>
      </c>
      <c r="C229" s="20" t="inlineStr">
        <is>
          <t>Prueba: Cargador</t>
        </is>
      </c>
      <c r="D229" s="18" t="inlineStr">
        <is>
          <t>OKF</t>
        </is>
      </c>
      <c r="E229" s="27" t="n">
        <v>0</v>
      </c>
      <c r="F229" s="27" t="n">
        <v>0</v>
      </c>
      <c r="G229" s="27" t="n">
        <v>0</v>
      </c>
      <c r="H229" s="27" t="n">
        <v>0</v>
      </c>
      <c r="I229" s="27" t="n">
        <v>0</v>
      </c>
      <c r="J229" s="27" t="n">
        <v>1</v>
      </c>
      <c r="K229" s="27" t="n">
        <v>0</v>
      </c>
      <c r="L229" s="27" t="n">
        <v>0</v>
      </c>
      <c r="M229" s="27" t="n">
        <v>0</v>
      </c>
      <c r="N229" s="28">
        <f>IF(C229="",0,IFERROR(INDEX($E229:$M229,MATCH('Recepción'!$D$5,$E$1:$M$1,0)),0))</f>
        <v/>
      </c>
      <c r="O229" s="28">
        <f>IF(N229=0,0,IF(A229="S",1,IF(OR(B229='Recepción'!$D$9,B229='Recepción'!$F$9,B229='Recepción'!$D$10,AND(B229="Contacto con líquido",'Recepción'!$E$25="Sí"),AND(B229="Golpe / Caída",'Recepción'!$E$24="Sí"),AND(B229="No enciende",'Recepción'!$E$27="No")),1,0)))</f>
        <v/>
      </c>
      <c r="P229" s="28">
        <f>IF(O229=1,COUNTIF($O$2:O229,1),0)</f>
        <v/>
      </c>
    </row>
    <row r="230">
      <c r="A230" s="18" t="inlineStr">
        <is>
          <t>S</t>
        </is>
      </c>
      <c r="B230" s="20" t="inlineStr">
        <is>
          <t>Pruebas funcionales de ingreso</t>
        </is>
      </c>
      <c r="C230" s="20" t="inlineStr">
        <is>
          <t>Prueba: Teclado</t>
        </is>
      </c>
      <c r="D230" s="18" t="inlineStr">
        <is>
          <t>OKF</t>
        </is>
      </c>
      <c r="E230" s="27" t="n">
        <v>0</v>
      </c>
      <c r="F230" s="27" t="n">
        <v>0</v>
      </c>
      <c r="G230" s="27" t="n">
        <v>0</v>
      </c>
      <c r="H230" s="27" t="n">
        <v>0</v>
      </c>
      <c r="I230" s="27" t="n">
        <v>0</v>
      </c>
      <c r="J230" s="27" t="n">
        <v>1</v>
      </c>
      <c r="K230" s="27" t="n">
        <v>0</v>
      </c>
      <c r="L230" s="27" t="n">
        <v>0</v>
      </c>
      <c r="M230" s="27" t="n">
        <v>0</v>
      </c>
      <c r="N230" s="28">
        <f>IF(C230="",0,IFERROR(INDEX($E230:$M230,MATCH('Recepción'!$D$5,$E$1:$M$1,0)),0))</f>
        <v/>
      </c>
      <c r="O230" s="28">
        <f>IF(N230=0,0,IF(A230="S",1,IF(OR(B230='Recepción'!$D$9,B230='Recepción'!$F$9,B230='Recepción'!$D$10,AND(B230="Contacto con líquido",'Recepción'!$E$25="Sí"),AND(B230="Golpe / Caída",'Recepción'!$E$24="Sí"),AND(B230="No enciende",'Recepción'!$E$27="No")),1,0)))</f>
        <v/>
      </c>
      <c r="P230" s="28">
        <f>IF(O230=1,COUNTIF($O$2:O230,1),0)</f>
        <v/>
      </c>
    </row>
    <row r="231">
      <c r="A231" s="18" t="inlineStr">
        <is>
          <t>S</t>
        </is>
      </c>
      <c r="B231" s="20" t="inlineStr">
        <is>
          <t>Pruebas funcionales de ingreso</t>
        </is>
      </c>
      <c r="C231" s="20" t="inlineStr">
        <is>
          <t>Prueba: Trackpad</t>
        </is>
      </c>
      <c r="D231" s="18" t="inlineStr">
        <is>
          <t>OKF</t>
        </is>
      </c>
      <c r="E231" s="27" t="n">
        <v>0</v>
      </c>
      <c r="F231" s="27" t="n">
        <v>0</v>
      </c>
      <c r="G231" s="27" t="n">
        <v>0</v>
      </c>
      <c r="H231" s="27" t="n">
        <v>0</v>
      </c>
      <c r="I231" s="27" t="n">
        <v>0</v>
      </c>
      <c r="J231" s="27" t="n">
        <v>1</v>
      </c>
      <c r="K231" s="27" t="n">
        <v>0</v>
      </c>
      <c r="L231" s="27" t="n">
        <v>0</v>
      </c>
      <c r="M231" s="27" t="n">
        <v>0</v>
      </c>
      <c r="N231" s="28">
        <f>IF(C231="",0,IFERROR(INDEX($E231:$M231,MATCH('Recepción'!$D$5,$E$1:$M$1,0)),0))</f>
        <v/>
      </c>
      <c r="O231" s="28">
        <f>IF(N231=0,0,IF(A231="S",1,IF(OR(B231='Recepción'!$D$9,B231='Recepción'!$F$9,B231='Recepción'!$D$10,AND(B231="Contacto con líquido",'Recepción'!$E$25="Sí"),AND(B231="Golpe / Caída",'Recepción'!$E$24="Sí"),AND(B231="No enciende",'Recepción'!$E$27="No")),1,0)))</f>
        <v/>
      </c>
      <c r="P231" s="28">
        <f>IF(O231=1,COUNTIF($O$2:O231,1),0)</f>
        <v/>
      </c>
    </row>
    <row r="232">
      <c r="A232" s="18" t="inlineStr">
        <is>
          <t>S</t>
        </is>
      </c>
      <c r="B232" s="20" t="inlineStr">
        <is>
          <t>Pruebas funcionales de ingreso</t>
        </is>
      </c>
      <c r="C232" s="20" t="inlineStr">
        <is>
          <t>Prueba: Wi-Fi</t>
        </is>
      </c>
      <c r="D232" s="18" t="inlineStr">
        <is>
          <t>OKF</t>
        </is>
      </c>
      <c r="E232" s="27" t="n">
        <v>0</v>
      </c>
      <c r="F232" s="27" t="n">
        <v>0</v>
      </c>
      <c r="G232" s="27" t="n">
        <v>0</v>
      </c>
      <c r="H232" s="27" t="n">
        <v>0</v>
      </c>
      <c r="I232" s="27" t="n">
        <v>0</v>
      </c>
      <c r="J232" s="27" t="n">
        <v>1</v>
      </c>
      <c r="K232" s="27" t="n">
        <v>0</v>
      </c>
      <c r="L232" s="27" t="n">
        <v>0</v>
      </c>
      <c r="M232" s="27" t="n">
        <v>0</v>
      </c>
      <c r="N232" s="28">
        <f>IF(C232="",0,IFERROR(INDEX($E232:$M232,MATCH('Recepción'!$D$5,$E$1:$M$1,0)),0))</f>
        <v/>
      </c>
      <c r="O232" s="28">
        <f>IF(N232=0,0,IF(A232="S",1,IF(OR(B232='Recepción'!$D$9,B232='Recepción'!$F$9,B232='Recepción'!$D$10,AND(B232="Contacto con líquido",'Recepción'!$E$25="Sí"),AND(B232="Golpe / Caída",'Recepción'!$E$24="Sí"),AND(B232="No enciende",'Recepción'!$E$27="No")),1,0)))</f>
        <v/>
      </c>
      <c r="P232" s="28">
        <f>IF(O232=1,COUNTIF($O$2:O232,1),0)</f>
        <v/>
      </c>
    </row>
    <row r="233">
      <c r="A233" s="18" t="inlineStr">
        <is>
          <t>S</t>
        </is>
      </c>
      <c r="B233" s="20" t="inlineStr">
        <is>
          <t>Pruebas funcionales de ingreso</t>
        </is>
      </c>
      <c r="C233" s="20" t="inlineStr">
        <is>
          <t>Prueba: Puertos USB / USB-C</t>
        </is>
      </c>
      <c r="D233" s="18" t="inlineStr">
        <is>
          <t>OKF</t>
        </is>
      </c>
      <c r="E233" s="27" t="n">
        <v>0</v>
      </c>
      <c r="F233" s="27" t="n">
        <v>0</v>
      </c>
      <c r="G233" s="27" t="n">
        <v>0</v>
      </c>
      <c r="H233" s="27" t="n">
        <v>0</v>
      </c>
      <c r="I233" s="27" t="n">
        <v>0</v>
      </c>
      <c r="J233" s="27" t="n">
        <v>1</v>
      </c>
      <c r="K233" s="27" t="n">
        <v>0</v>
      </c>
      <c r="L233" s="27" t="n">
        <v>0</v>
      </c>
      <c r="M233" s="27" t="n">
        <v>0</v>
      </c>
      <c r="N233" s="28">
        <f>IF(C233="",0,IFERROR(INDEX($E233:$M233,MATCH('Recepción'!$D$5,$E$1:$M$1,0)),0))</f>
        <v/>
      </c>
      <c r="O233" s="28">
        <f>IF(N233=0,0,IF(A233="S",1,IF(OR(B233='Recepción'!$D$9,B233='Recepción'!$F$9,B233='Recepción'!$D$10,AND(B233="Contacto con líquido",'Recepción'!$E$25="Sí"),AND(B233="Golpe / Caída",'Recepción'!$E$24="Sí"),AND(B233="No enciende",'Recepción'!$E$27="No")),1,0)))</f>
        <v/>
      </c>
      <c r="P233" s="28">
        <f>IF(O233=1,COUNTIF($O$2:O233,1),0)</f>
        <v/>
      </c>
    </row>
    <row r="234">
      <c r="A234" s="18" t="inlineStr">
        <is>
          <t>S</t>
        </is>
      </c>
      <c r="B234" s="20" t="inlineStr">
        <is>
          <t>Pruebas funcionales de ingreso</t>
        </is>
      </c>
      <c r="C234" s="20" t="inlineStr">
        <is>
          <t>Prueba: Cámara</t>
        </is>
      </c>
      <c r="D234" s="18" t="inlineStr">
        <is>
          <t>OKF</t>
        </is>
      </c>
      <c r="E234" s="27" t="n">
        <v>0</v>
      </c>
      <c r="F234" s="27" t="n">
        <v>0</v>
      </c>
      <c r="G234" s="27" t="n">
        <v>0</v>
      </c>
      <c r="H234" s="27" t="n">
        <v>0</v>
      </c>
      <c r="I234" s="27" t="n">
        <v>0</v>
      </c>
      <c r="J234" s="27" t="n">
        <v>1</v>
      </c>
      <c r="K234" s="27" t="n">
        <v>0</v>
      </c>
      <c r="L234" s="27" t="n">
        <v>0</v>
      </c>
      <c r="M234" s="27" t="n">
        <v>0</v>
      </c>
      <c r="N234" s="28">
        <f>IF(C234="",0,IFERROR(INDEX($E234:$M234,MATCH('Recepción'!$D$5,$E$1:$M$1,0)),0))</f>
        <v/>
      </c>
      <c r="O234" s="28">
        <f>IF(N234=0,0,IF(A234="S",1,IF(OR(B234='Recepción'!$D$9,B234='Recepción'!$F$9,B234='Recepción'!$D$10,AND(B234="Contacto con líquido",'Recepción'!$E$25="Sí"),AND(B234="Golpe / Caída",'Recepción'!$E$24="Sí"),AND(B234="No enciende",'Recepción'!$E$27="No")),1,0)))</f>
        <v/>
      </c>
      <c r="P234" s="28">
        <f>IF(O234=1,COUNTIF($O$2:O234,1),0)</f>
        <v/>
      </c>
    </row>
    <row r="235">
      <c r="A235" s="18" t="inlineStr">
        <is>
          <t>S</t>
        </is>
      </c>
      <c r="B235" s="20" t="inlineStr">
        <is>
          <t>Pruebas funcionales de ingreso</t>
        </is>
      </c>
      <c r="C235" s="20" t="inlineStr">
        <is>
          <t>Prueba: Micrófono</t>
        </is>
      </c>
      <c r="D235" s="18" t="inlineStr">
        <is>
          <t>OKF</t>
        </is>
      </c>
      <c r="E235" s="27" t="n">
        <v>0</v>
      </c>
      <c r="F235" s="27" t="n">
        <v>0</v>
      </c>
      <c r="G235" s="27" t="n">
        <v>0</v>
      </c>
      <c r="H235" s="27" t="n">
        <v>0</v>
      </c>
      <c r="I235" s="27" t="n">
        <v>0</v>
      </c>
      <c r="J235" s="27" t="n">
        <v>1</v>
      </c>
      <c r="K235" s="27" t="n">
        <v>0</v>
      </c>
      <c r="L235" s="27" t="n">
        <v>0</v>
      </c>
      <c r="M235" s="27" t="n">
        <v>0</v>
      </c>
      <c r="N235" s="28">
        <f>IF(C235="",0,IFERROR(INDEX($E235:$M235,MATCH('Recepción'!$D$5,$E$1:$M$1,0)),0))</f>
        <v/>
      </c>
      <c r="O235" s="28">
        <f>IF(N235=0,0,IF(A235="S",1,IF(OR(B235='Recepción'!$D$9,B235='Recepción'!$F$9,B235='Recepción'!$D$10,AND(B235="Contacto con líquido",'Recepción'!$E$25="Sí"),AND(B235="Golpe / Caída",'Recepción'!$E$24="Sí"),AND(B235="No enciende",'Recepción'!$E$27="No")),1,0)))</f>
        <v/>
      </c>
      <c r="P235" s="28">
        <f>IF(O235=1,COUNTIF($O$2:O235,1),0)</f>
        <v/>
      </c>
    </row>
    <row r="236">
      <c r="A236" s="18" t="inlineStr">
        <is>
          <t>S</t>
        </is>
      </c>
      <c r="B236" s="20" t="inlineStr">
        <is>
          <t>Pruebas funcionales de ingreso</t>
        </is>
      </c>
      <c r="C236" s="20" t="inlineStr">
        <is>
          <t>Prueba: Audio</t>
        </is>
      </c>
      <c r="D236" s="18" t="inlineStr">
        <is>
          <t>OKF</t>
        </is>
      </c>
      <c r="E236" s="27" t="n">
        <v>0</v>
      </c>
      <c r="F236" s="27" t="n">
        <v>0</v>
      </c>
      <c r="G236" s="27" t="n">
        <v>0</v>
      </c>
      <c r="H236" s="27" t="n">
        <v>0</v>
      </c>
      <c r="I236" s="27" t="n">
        <v>0</v>
      </c>
      <c r="J236" s="27" t="n">
        <v>1</v>
      </c>
      <c r="K236" s="27" t="n">
        <v>0</v>
      </c>
      <c r="L236" s="27" t="n">
        <v>0</v>
      </c>
      <c r="M236" s="27" t="n">
        <v>0</v>
      </c>
      <c r="N236" s="28">
        <f>IF(C236="",0,IFERROR(INDEX($E236:$M236,MATCH('Recepción'!$D$5,$E$1:$M$1,0)),0))</f>
        <v/>
      </c>
      <c r="O236" s="28">
        <f>IF(N236=0,0,IF(A236="S",1,IF(OR(B236='Recepción'!$D$9,B236='Recepción'!$F$9,B236='Recepción'!$D$10,AND(B236="Contacto con líquido",'Recepción'!$E$25="Sí"),AND(B236="Golpe / Caída",'Recepción'!$E$24="Sí"),AND(B236="No enciende",'Recepción'!$E$27="No")),1,0)))</f>
        <v/>
      </c>
      <c r="P236" s="28">
        <f>IF(O236=1,COUNTIF($O$2:O236,1),0)</f>
        <v/>
      </c>
    </row>
    <row r="237">
      <c r="A237" s="18" t="inlineStr">
        <is>
          <t>S</t>
        </is>
      </c>
      <c r="B237" s="20" t="inlineStr">
        <is>
          <t>Pruebas funcionales de ingreso</t>
        </is>
      </c>
      <c r="C237" s="20" t="inlineStr">
        <is>
          <t>Prueba: Teclado</t>
        </is>
      </c>
      <c r="D237" s="18" t="inlineStr">
        <is>
          <t>OKF</t>
        </is>
      </c>
      <c r="E237" s="27" t="n">
        <v>0</v>
      </c>
      <c r="F237" s="27" t="n">
        <v>0</v>
      </c>
      <c r="G237" s="27" t="n">
        <v>0</v>
      </c>
      <c r="H237" s="27" t="n">
        <v>0</v>
      </c>
      <c r="I237" s="27" t="n">
        <v>1</v>
      </c>
      <c r="J237" s="27" t="n">
        <v>0</v>
      </c>
      <c r="K237" s="27" t="n">
        <v>0</v>
      </c>
      <c r="L237" s="27" t="n">
        <v>0</v>
      </c>
      <c r="M237" s="27" t="n">
        <v>0</v>
      </c>
      <c r="N237" s="28">
        <f>IF(C237="",0,IFERROR(INDEX($E237:$M237,MATCH('Recepción'!$D$5,$E$1:$M$1,0)),0))</f>
        <v/>
      </c>
      <c r="O237" s="28">
        <f>IF(N237=0,0,IF(A237="S",1,IF(OR(B237='Recepción'!$D$9,B237='Recepción'!$F$9,B237='Recepción'!$D$10,AND(B237="Contacto con líquido",'Recepción'!$E$25="Sí"),AND(B237="Golpe / Caída",'Recepción'!$E$24="Sí"),AND(B237="No enciende",'Recepción'!$E$27="No")),1,0)))</f>
        <v/>
      </c>
      <c r="P237" s="28">
        <f>IF(O237=1,COUNTIF($O$2:O237,1),0)</f>
        <v/>
      </c>
    </row>
    <row r="238">
      <c r="A238" s="18" t="inlineStr">
        <is>
          <t>S</t>
        </is>
      </c>
      <c r="B238" s="20" t="inlineStr">
        <is>
          <t>Pruebas funcionales de ingreso</t>
        </is>
      </c>
      <c r="C238" s="20" t="inlineStr">
        <is>
          <t>Prueba: Wi-Fi</t>
        </is>
      </c>
      <c r="D238" s="18" t="inlineStr">
        <is>
          <t>OKF</t>
        </is>
      </c>
      <c r="E238" s="27" t="n">
        <v>0</v>
      </c>
      <c r="F238" s="27" t="n">
        <v>0</v>
      </c>
      <c r="G238" s="27" t="n">
        <v>0</v>
      </c>
      <c r="H238" s="27" t="n">
        <v>0</v>
      </c>
      <c r="I238" s="27" t="n">
        <v>1</v>
      </c>
      <c r="J238" s="27" t="n">
        <v>0</v>
      </c>
      <c r="K238" s="27" t="n">
        <v>0</v>
      </c>
      <c r="L238" s="27" t="n">
        <v>0</v>
      </c>
      <c r="M238" s="27" t="n">
        <v>0</v>
      </c>
      <c r="N238" s="28">
        <f>IF(C238="",0,IFERROR(INDEX($E238:$M238,MATCH('Recepción'!$D$5,$E$1:$M$1,0)),0))</f>
        <v/>
      </c>
      <c r="O238" s="28">
        <f>IF(N238=0,0,IF(A238="S",1,IF(OR(B238='Recepción'!$D$9,B238='Recepción'!$F$9,B238='Recepción'!$D$10,AND(B238="Contacto con líquido",'Recepción'!$E$25="Sí"),AND(B238="Golpe / Caída",'Recepción'!$E$24="Sí"),AND(B238="No enciende",'Recepción'!$E$27="No")),1,0)))</f>
        <v/>
      </c>
      <c r="P238" s="28">
        <f>IF(O238=1,COUNTIF($O$2:O238,1),0)</f>
        <v/>
      </c>
    </row>
    <row r="239">
      <c r="A239" s="18" t="inlineStr">
        <is>
          <t>S</t>
        </is>
      </c>
      <c r="B239" s="20" t="inlineStr">
        <is>
          <t>Pruebas funcionales de ingreso</t>
        </is>
      </c>
      <c r="C239" s="20" t="inlineStr">
        <is>
          <t>Prueba: Puertos USB</t>
        </is>
      </c>
      <c r="D239" s="18" t="inlineStr">
        <is>
          <t>OKF</t>
        </is>
      </c>
      <c r="E239" s="27" t="n">
        <v>0</v>
      </c>
      <c r="F239" s="27" t="n">
        <v>0</v>
      </c>
      <c r="G239" s="27" t="n">
        <v>0</v>
      </c>
      <c r="H239" s="27" t="n">
        <v>0</v>
      </c>
      <c r="I239" s="27" t="n">
        <v>1</v>
      </c>
      <c r="J239" s="27" t="n">
        <v>0</v>
      </c>
      <c r="K239" s="27" t="n">
        <v>0</v>
      </c>
      <c r="L239" s="27" t="n">
        <v>0</v>
      </c>
      <c r="M239" s="27" t="n">
        <v>0</v>
      </c>
      <c r="N239" s="28">
        <f>IF(C239="",0,IFERROR(INDEX($E239:$M239,MATCH('Recepción'!$D$5,$E$1:$M$1,0)),0))</f>
        <v/>
      </c>
      <c r="O239" s="28">
        <f>IF(N239=0,0,IF(A239="S",1,IF(OR(B239='Recepción'!$D$9,B239='Recepción'!$F$9,B239='Recepción'!$D$10,AND(B239="Contacto con líquido",'Recepción'!$E$25="Sí"),AND(B239="Golpe / Caída",'Recepción'!$E$24="Sí"),AND(B239="No enciende",'Recepción'!$E$27="No")),1,0)))</f>
        <v/>
      </c>
      <c r="P239" s="28">
        <f>IF(O239=1,COUNTIF($O$2:O239,1),0)</f>
        <v/>
      </c>
    </row>
    <row r="240">
      <c r="A240" s="18" t="inlineStr">
        <is>
          <t>S</t>
        </is>
      </c>
      <c r="B240" s="20" t="inlineStr">
        <is>
          <t>Pruebas funcionales de ingreso</t>
        </is>
      </c>
      <c r="C240" s="20" t="inlineStr">
        <is>
          <t>Prueba: Audio</t>
        </is>
      </c>
      <c r="D240" s="18" t="inlineStr">
        <is>
          <t>OKF</t>
        </is>
      </c>
      <c r="E240" s="27" t="n">
        <v>0</v>
      </c>
      <c r="F240" s="27" t="n">
        <v>0</v>
      </c>
      <c r="G240" s="27" t="n">
        <v>0</v>
      </c>
      <c r="H240" s="27" t="n">
        <v>0</v>
      </c>
      <c r="I240" s="27" t="n">
        <v>1</v>
      </c>
      <c r="J240" s="27" t="n">
        <v>0</v>
      </c>
      <c r="K240" s="27" t="n">
        <v>0</v>
      </c>
      <c r="L240" s="27" t="n">
        <v>0</v>
      </c>
      <c r="M240" s="27" t="n">
        <v>0</v>
      </c>
      <c r="N240" s="28">
        <f>IF(C240="",0,IFERROR(INDEX($E240:$M240,MATCH('Recepción'!$D$5,$E$1:$M$1,0)),0))</f>
        <v/>
      </c>
      <c r="O240" s="28">
        <f>IF(N240=0,0,IF(A240="S",1,IF(OR(B240='Recepción'!$D$9,B240='Recepción'!$F$9,B240='Recepción'!$D$10,AND(B240="Contacto con líquido",'Recepción'!$E$25="Sí"),AND(B240="Golpe / Caída",'Recepción'!$E$24="Sí"),AND(B240="No enciende",'Recepción'!$E$27="No")),1,0)))</f>
        <v/>
      </c>
      <c r="P240" s="28">
        <f>IF(O240=1,COUNTIF($O$2:O240,1),0)</f>
        <v/>
      </c>
    </row>
    <row r="241">
      <c r="A241" s="18" t="inlineStr">
        <is>
          <t>S</t>
        </is>
      </c>
      <c r="B241" s="20" t="inlineStr">
        <is>
          <t>Pruebas funcionales de ingreso</t>
        </is>
      </c>
      <c r="C241" s="20" t="inlineStr">
        <is>
          <t>Prueba: Salida de video</t>
        </is>
      </c>
      <c r="D241" s="18" t="inlineStr">
        <is>
          <t>OKF</t>
        </is>
      </c>
      <c r="E241" s="27" t="n">
        <v>0</v>
      </c>
      <c r="F241" s="27" t="n">
        <v>0</v>
      </c>
      <c r="G241" s="27" t="n">
        <v>0</v>
      </c>
      <c r="H241" s="27" t="n">
        <v>0</v>
      </c>
      <c r="I241" s="27" t="n">
        <v>1</v>
      </c>
      <c r="J241" s="27" t="n">
        <v>0</v>
      </c>
      <c r="K241" s="27" t="n">
        <v>0</v>
      </c>
      <c r="L241" s="27" t="n">
        <v>0</v>
      </c>
      <c r="M241" s="27" t="n">
        <v>0</v>
      </c>
      <c r="N241" s="28">
        <f>IF(C241="",0,IFERROR(INDEX($E241:$M241,MATCH('Recepción'!$D$5,$E$1:$M$1,0)),0))</f>
        <v/>
      </c>
      <c r="O241" s="28">
        <f>IF(N241=0,0,IF(A241="S",1,IF(OR(B241='Recepción'!$D$9,B241='Recepción'!$F$9,B241='Recepción'!$D$10,AND(B241="Contacto con líquido",'Recepción'!$E$25="Sí"),AND(B241="Golpe / Caída",'Recepción'!$E$24="Sí"),AND(B241="No enciende",'Recepción'!$E$27="No")),1,0)))</f>
        <v/>
      </c>
      <c r="P241" s="28">
        <f>IF(O241=1,COUNTIF($O$2:O241,1),0)</f>
        <v/>
      </c>
    </row>
    <row r="242">
      <c r="A242" s="18" t="inlineStr">
        <is>
          <t>S</t>
        </is>
      </c>
      <c r="B242" s="20" t="inlineStr">
        <is>
          <t>Pruebas funcionales de ingreso</t>
        </is>
      </c>
      <c r="C242" s="20" t="inlineStr">
        <is>
          <t>Prueba: Teclado y mouse</t>
        </is>
      </c>
      <c r="D242" s="18" t="inlineStr">
        <is>
          <t>OKF</t>
        </is>
      </c>
      <c r="E242" s="27" t="n">
        <v>0</v>
      </c>
      <c r="F242" s="27" t="n">
        <v>0</v>
      </c>
      <c r="G242" s="27" t="n">
        <v>0</v>
      </c>
      <c r="H242" s="27" t="n">
        <v>0</v>
      </c>
      <c r="I242" s="27" t="n">
        <v>0</v>
      </c>
      <c r="J242" s="27" t="n">
        <v>0</v>
      </c>
      <c r="K242" s="27" t="n">
        <v>1</v>
      </c>
      <c r="L242" s="27" t="n">
        <v>0</v>
      </c>
      <c r="M242" s="27" t="n">
        <v>0</v>
      </c>
      <c r="N242" s="28">
        <f>IF(C242="",0,IFERROR(INDEX($E242:$M242,MATCH('Recepción'!$D$5,$E$1:$M$1,0)),0))</f>
        <v/>
      </c>
      <c r="O242" s="28">
        <f>IF(N242=0,0,IF(A242="S",1,IF(OR(B242='Recepción'!$D$9,B242='Recepción'!$F$9,B242='Recepción'!$D$10,AND(B242="Contacto con líquido",'Recepción'!$E$25="Sí"),AND(B242="Golpe / Caída",'Recepción'!$E$24="Sí"),AND(B242="No enciende",'Recepción'!$E$27="No")),1,0)))</f>
        <v/>
      </c>
      <c r="P242" s="28">
        <f>IF(O242=1,COUNTIF($O$2:O242,1),0)</f>
        <v/>
      </c>
    </row>
    <row r="243">
      <c r="A243" s="18" t="inlineStr">
        <is>
          <t>S</t>
        </is>
      </c>
      <c r="B243" s="20" t="inlineStr">
        <is>
          <t>Pruebas funcionales de ingreso</t>
        </is>
      </c>
      <c r="C243" s="20" t="inlineStr">
        <is>
          <t>Prueba: Wi-Fi</t>
        </is>
      </c>
      <c r="D243" s="18" t="inlineStr">
        <is>
          <t>OKF</t>
        </is>
      </c>
      <c r="E243" s="27" t="n">
        <v>0</v>
      </c>
      <c r="F243" s="27" t="n">
        <v>0</v>
      </c>
      <c r="G243" s="27" t="n">
        <v>0</v>
      </c>
      <c r="H243" s="27" t="n">
        <v>0</v>
      </c>
      <c r="I243" s="27" t="n">
        <v>0</v>
      </c>
      <c r="J243" s="27" t="n">
        <v>0</v>
      </c>
      <c r="K243" s="27" t="n">
        <v>1</v>
      </c>
      <c r="L243" s="27" t="n">
        <v>0</v>
      </c>
      <c r="M243" s="27" t="n">
        <v>0</v>
      </c>
      <c r="N243" s="28">
        <f>IF(C243="",0,IFERROR(INDEX($E243:$M243,MATCH('Recepción'!$D$5,$E$1:$M$1,0)),0))</f>
        <v/>
      </c>
      <c r="O243" s="28">
        <f>IF(N243=0,0,IF(A243="S",1,IF(OR(B243='Recepción'!$D$9,B243='Recepción'!$F$9,B243='Recepción'!$D$10,AND(B243="Contacto con líquido",'Recepción'!$E$25="Sí"),AND(B243="Golpe / Caída",'Recepción'!$E$24="Sí"),AND(B243="No enciende",'Recepción'!$E$27="No")),1,0)))</f>
        <v/>
      </c>
      <c r="P243" s="28">
        <f>IF(O243=1,COUNTIF($O$2:O243,1),0)</f>
        <v/>
      </c>
    </row>
    <row r="244">
      <c r="A244" s="18" t="inlineStr">
        <is>
          <t>S</t>
        </is>
      </c>
      <c r="B244" s="20" t="inlineStr">
        <is>
          <t>Pruebas funcionales de ingreso</t>
        </is>
      </c>
      <c r="C244" s="20" t="inlineStr">
        <is>
          <t>Prueba: Puertos USB</t>
        </is>
      </c>
      <c r="D244" s="18" t="inlineStr">
        <is>
          <t>OKF</t>
        </is>
      </c>
      <c r="E244" s="27" t="n">
        <v>0</v>
      </c>
      <c r="F244" s="27" t="n">
        <v>0</v>
      </c>
      <c r="G244" s="27" t="n">
        <v>0</v>
      </c>
      <c r="H244" s="27" t="n">
        <v>0</v>
      </c>
      <c r="I244" s="27" t="n">
        <v>0</v>
      </c>
      <c r="J244" s="27" t="n">
        <v>0</v>
      </c>
      <c r="K244" s="27" t="n">
        <v>1</v>
      </c>
      <c r="L244" s="27" t="n">
        <v>0</v>
      </c>
      <c r="M244" s="27" t="n">
        <v>0</v>
      </c>
      <c r="N244" s="28">
        <f>IF(C244="",0,IFERROR(INDEX($E244:$M244,MATCH('Recepción'!$D$5,$E$1:$M$1,0)),0))</f>
        <v/>
      </c>
      <c r="O244" s="28">
        <f>IF(N244=0,0,IF(A244="S",1,IF(OR(B244='Recepción'!$D$9,B244='Recepción'!$F$9,B244='Recepción'!$D$10,AND(B244="Contacto con líquido",'Recepción'!$E$25="Sí"),AND(B244="Golpe / Caída",'Recepción'!$E$24="Sí"),AND(B244="No enciende",'Recepción'!$E$27="No")),1,0)))</f>
        <v/>
      </c>
      <c r="P244" s="28">
        <f>IF(O244=1,COUNTIF($O$2:O244,1),0)</f>
        <v/>
      </c>
    </row>
    <row r="245">
      <c r="A245" s="18" t="inlineStr">
        <is>
          <t>S</t>
        </is>
      </c>
      <c r="B245" s="20" t="inlineStr">
        <is>
          <t>Pruebas funcionales de ingreso</t>
        </is>
      </c>
      <c r="C245" s="20" t="inlineStr">
        <is>
          <t>Prueba: Cámara</t>
        </is>
      </c>
      <c r="D245" s="18" t="inlineStr">
        <is>
          <t>OKF</t>
        </is>
      </c>
      <c r="E245" s="27" t="n">
        <v>0</v>
      </c>
      <c r="F245" s="27" t="n">
        <v>0</v>
      </c>
      <c r="G245" s="27" t="n">
        <v>0</v>
      </c>
      <c r="H245" s="27" t="n">
        <v>0</v>
      </c>
      <c r="I245" s="27" t="n">
        <v>0</v>
      </c>
      <c r="J245" s="27" t="n">
        <v>0</v>
      </c>
      <c r="K245" s="27" t="n">
        <v>1</v>
      </c>
      <c r="L245" s="27" t="n">
        <v>0</v>
      </c>
      <c r="M245" s="27" t="n">
        <v>0</v>
      </c>
      <c r="N245" s="28">
        <f>IF(C245="",0,IFERROR(INDEX($E245:$M245,MATCH('Recepción'!$D$5,$E$1:$M$1,0)),0))</f>
        <v/>
      </c>
      <c r="O245" s="28">
        <f>IF(N245=0,0,IF(A245="S",1,IF(OR(B245='Recepción'!$D$9,B245='Recepción'!$F$9,B245='Recepción'!$D$10,AND(B245="Contacto con líquido",'Recepción'!$E$25="Sí"),AND(B245="Golpe / Caída",'Recepción'!$E$24="Sí"),AND(B245="No enciende",'Recepción'!$E$27="No")),1,0)))</f>
        <v/>
      </c>
      <c r="P245" s="28">
        <f>IF(O245=1,COUNTIF($O$2:O245,1),0)</f>
        <v/>
      </c>
    </row>
    <row r="246">
      <c r="A246" s="18" t="inlineStr">
        <is>
          <t>S</t>
        </is>
      </c>
      <c r="B246" s="20" t="inlineStr">
        <is>
          <t>Pruebas funcionales de ingreso</t>
        </is>
      </c>
      <c r="C246" s="20" t="inlineStr">
        <is>
          <t>Prueba: Micrófono</t>
        </is>
      </c>
      <c r="D246" s="18" t="inlineStr">
        <is>
          <t>OKF</t>
        </is>
      </c>
      <c r="E246" s="27" t="n">
        <v>0</v>
      </c>
      <c r="F246" s="27" t="n">
        <v>0</v>
      </c>
      <c r="G246" s="27" t="n">
        <v>0</v>
      </c>
      <c r="H246" s="27" t="n">
        <v>0</v>
      </c>
      <c r="I246" s="27" t="n">
        <v>0</v>
      </c>
      <c r="J246" s="27" t="n">
        <v>0</v>
      </c>
      <c r="K246" s="27" t="n">
        <v>1</v>
      </c>
      <c r="L246" s="27" t="n">
        <v>0</v>
      </c>
      <c r="M246" s="27" t="n">
        <v>0</v>
      </c>
      <c r="N246" s="28">
        <f>IF(C246="",0,IFERROR(INDEX($E246:$M246,MATCH('Recepción'!$D$5,$E$1:$M$1,0)),0))</f>
        <v/>
      </c>
      <c r="O246" s="28">
        <f>IF(N246=0,0,IF(A246="S",1,IF(OR(B246='Recepción'!$D$9,B246='Recepción'!$F$9,B246='Recepción'!$D$10,AND(B246="Contacto con líquido",'Recepción'!$E$25="Sí"),AND(B246="Golpe / Caída",'Recepción'!$E$24="Sí"),AND(B246="No enciende",'Recepción'!$E$27="No")),1,0)))</f>
        <v/>
      </c>
      <c r="P246" s="28">
        <f>IF(O246=1,COUNTIF($O$2:O246,1),0)</f>
        <v/>
      </c>
    </row>
    <row r="247">
      <c r="A247" s="18" t="inlineStr">
        <is>
          <t>S</t>
        </is>
      </c>
      <c r="B247" s="20" t="inlineStr">
        <is>
          <t>Pruebas funcionales de ingreso</t>
        </is>
      </c>
      <c r="C247" s="20" t="inlineStr">
        <is>
          <t>Prueba: Audio</t>
        </is>
      </c>
      <c r="D247" s="18" t="inlineStr">
        <is>
          <t>OKF</t>
        </is>
      </c>
      <c r="E247" s="27" t="n">
        <v>0</v>
      </c>
      <c r="F247" s="27" t="n">
        <v>0</v>
      </c>
      <c r="G247" s="27" t="n">
        <v>0</v>
      </c>
      <c r="H247" s="27" t="n">
        <v>0</v>
      </c>
      <c r="I247" s="27" t="n">
        <v>0</v>
      </c>
      <c r="J247" s="27" t="n">
        <v>0</v>
      </c>
      <c r="K247" s="27" t="n">
        <v>1</v>
      </c>
      <c r="L247" s="27" t="n">
        <v>0</v>
      </c>
      <c r="M247" s="27" t="n">
        <v>0</v>
      </c>
      <c r="N247" s="28">
        <f>IF(C247="",0,IFERROR(INDEX($E247:$M247,MATCH('Recepción'!$D$5,$E$1:$M$1,0)),0))</f>
        <v/>
      </c>
      <c r="O247" s="28">
        <f>IF(N247=0,0,IF(A247="S",1,IF(OR(B247='Recepción'!$D$9,B247='Recepción'!$F$9,B247='Recepción'!$D$10,AND(B247="Contacto con líquido",'Recepción'!$E$25="Sí"),AND(B247="Golpe / Caída",'Recepción'!$E$24="Sí"),AND(B247="No enciende",'Recepción'!$E$27="No")),1,0)))</f>
        <v/>
      </c>
      <c r="P247" s="28">
        <f>IF(O247=1,COUNTIF($O$2:O247,1),0)</f>
        <v/>
      </c>
    </row>
    <row r="248">
      <c r="A248" s="18" t="inlineStr">
        <is>
          <t>S</t>
        </is>
      </c>
      <c r="B248" s="20" t="inlineStr">
        <is>
          <t>Pruebas funcionales de ingreso</t>
        </is>
      </c>
      <c r="C248" s="20" t="inlineStr">
        <is>
          <t>Prueba: Lector de disco</t>
        </is>
      </c>
      <c r="D248" s="18" t="inlineStr">
        <is>
          <t>OKF</t>
        </is>
      </c>
      <c r="E248" s="27" t="n">
        <v>0</v>
      </c>
      <c r="F248" s="27" t="n">
        <v>0</v>
      </c>
      <c r="G248" s="27" t="n">
        <v>0</v>
      </c>
      <c r="H248" s="27" t="n">
        <v>0</v>
      </c>
      <c r="I248" s="27" t="n">
        <v>0</v>
      </c>
      <c r="J248" s="27" t="n">
        <v>0</v>
      </c>
      <c r="K248" s="27" t="n">
        <v>0</v>
      </c>
      <c r="L248" s="27" t="n">
        <v>1</v>
      </c>
      <c r="M248" s="27" t="n">
        <v>0</v>
      </c>
      <c r="N248" s="28">
        <f>IF(C248="",0,IFERROR(INDEX($E248:$M248,MATCH('Recepción'!$D$5,$E$1:$M$1,0)),0))</f>
        <v/>
      </c>
      <c r="O248" s="28">
        <f>IF(N248=0,0,IF(A248="S",1,IF(OR(B248='Recepción'!$D$9,B248='Recepción'!$F$9,B248='Recepción'!$D$10,AND(B248="Contacto con líquido",'Recepción'!$E$25="Sí"),AND(B248="Golpe / Caída",'Recepción'!$E$24="Sí"),AND(B248="No enciende",'Recepción'!$E$27="No")),1,0)))</f>
        <v/>
      </c>
      <c r="P248" s="28">
        <f>IF(O248=1,COUNTIF($O$2:O248,1),0)</f>
        <v/>
      </c>
    </row>
    <row r="249">
      <c r="A249" s="18" t="inlineStr">
        <is>
          <t>S</t>
        </is>
      </c>
      <c r="B249" s="20" t="inlineStr">
        <is>
          <t>Pruebas funcionales de ingreso</t>
        </is>
      </c>
      <c r="C249" s="20" t="inlineStr">
        <is>
          <t>Prueba: Salida HDMI / video</t>
        </is>
      </c>
      <c r="D249" s="18" t="inlineStr">
        <is>
          <t>OKF</t>
        </is>
      </c>
      <c r="E249" s="27" t="n">
        <v>0</v>
      </c>
      <c r="F249" s="27" t="n">
        <v>0</v>
      </c>
      <c r="G249" s="27" t="n">
        <v>0</v>
      </c>
      <c r="H249" s="27" t="n">
        <v>0</v>
      </c>
      <c r="I249" s="27" t="n">
        <v>0</v>
      </c>
      <c r="J249" s="27" t="n">
        <v>0</v>
      </c>
      <c r="K249" s="27" t="n">
        <v>0</v>
      </c>
      <c r="L249" s="27" t="n">
        <v>1</v>
      </c>
      <c r="M249" s="27" t="n">
        <v>0</v>
      </c>
      <c r="N249" s="28">
        <f>IF(C249="",0,IFERROR(INDEX($E249:$M249,MATCH('Recepción'!$D$5,$E$1:$M$1,0)),0))</f>
        <v/>
      </c>
      <c r="O249" s="28">
        <f>IF(N249=0,0,IF(A249="S",1,IF(OR(B249='Recepción'!$D$9,B249='Recepción'!$F$9,B249='Recepción'!$D$10,AND(B249="Contacto con líquido",'Recepción'!$E$25="Sí"),AND(B249="Golpe / Caída",'Recepción'!$E$24="Sí"),AND(B249="No enciende",'Recepción'!$E$27="No")),1,0)))</f>
        <v/>
      </c>
      <c r="P249" s="28">
        <f>IF(O249=1,COUNTIF($O$2:O249,1),0)</f>
        <v/>
      </c>
    </row>
    <row r="250">
      <c r="A250" s="18" t="inlineStr">
        <is>
          <t>S</t>
        </is>
      </c>
      <c r="B250" s="20" t="inlineStr">
        <is>
          <t>Pruebas funcionales de ingreso</t>
        </is>
      </c>
      <c r="C250" s="20" t="inlineStr">
        <is>
          <t>Prueba: Puertos USB</t>
        </is>
      </c>
      <c r="D250" s="18" t="inlineStr">
        <is>
          <t>OKF</t>
        </is>
      </c>
      <c r="E250" s="27" t="n">
        <v>0</v>
      </c>
      <c r="F250" s="27" t="n">
        <v>0</v>
      </c>
      <c r="G250" s="27" t="n">
        <v>0</v>
      </c>
      <c r="H250" s="27" t="n">
        <v>0</v>
      </c>
      <c r="I250" s="27" t="n">
        <v>0</v>
      </c>
      <c r="J250" s="27" t="n">
        <v>0</v>
      </c>
      <c r="K250" s="27" t="n">
        <v>0</v>
      </c>
      <c r="L250" s="27" t="n">
        <v>1</v>
      </c>
      <c r="M250" s="27" t="n">
        <v>0</v>
      </c>
      <c r="N250" s="28">
        <f>IF(C250="",0,IFERROR(INDEX($E250:$M250,MATCH('Recepción'!$D$5,$E$1:$M$1,0)),0))</f>
        <v/>
      </c>
      <c r="O250" s="28">
        <f>IF(N250=0,0,IF(A250="S",1,IF(OR(B250='Recepción'!$D$9,B250='Recepción'!$F$9,B250='Recepción'!$D$10,AND(B250="Contacto con líquido",'Recepción'!$E$25="Sí"),AND(B250="Golpe / Caída",'Recepción'!$E$24="Sí"),AND(B250="No enciende",'Recepción'!$E$27="No")),1,0)))</f>
        <v/>
      </c>
      <c r="P250" s="28">
        <f>IF(O250=1,COUNTIF($O$2:O250,1),0)</f>
        <v/>
      </c>
    </row>
    <row r="251">
      <c r="A251" s="18" t="inlineStr">
        <is>
          <t>S</t>
        </is>
      </c>
      <c r="B251" s="20" t="inlineStr">
        <is>
          <t>Pruebas funcionales de ingreso</t>
        </is>
      </c>
      <c r="C251" s="20" t="inlineStr">
        <is>
          <t>Prueba: Wi-Fi</t>
        </is>
      </c>
      <c r="D251" s="18" t="inlineStr">
        <is>
          <t>OKF</t>
        </is>
      </c>
      <c r="E251" s="27" t="n">
        <v>0</v>
      </c>
      <c r="F251" s="27" t="n">
        <v>0</v>
      </c>
      <c r="G251" s="27" t="n">
        <v>0</v>
      </c>
      <c r="H251" s="27" t="n">
        <v>0</v>
      </c>
      <c r="I251" s="27" t="n">
        <v>0</v>
      </c>
      <c r="J251" s="27" t="n">
        <v>0</v>
      </c>
      <c r="K251" s="27" t="n">
        <v>0</v>
      </c>
      <c r="L251" s="27" t="n">
        <v>1</v>
      </c>
      <c r="M251" s="27" t="n">
        <v>0</v>
      </c>
      <c r="N251" s="28">
        <f>IF(C251="",0,IFERROR(INDEX($E251:$M251,MATCH('Recepción'!$D$5,$E$1:$M$1,0)),0))</f>
        <v/>
      </c>
      <c r="O251" s="28">
        <f>IF(N251=0,0,IF(A251="S",1,IF(OR(B251='Recepción'!$D$9,B251='Recepción'!$F$9,B251='Recepción'!$D$10,AND(B251="Contacto con líquido",'Recepción'!$E$25="Sí"),AND(B251="Golpe / Caída",'Recepción'!$E$24="Sí"),AND(B251="No enciende",'Recepción'!$E$27="No")),1,0)))</f>
        <v/>
      </c>
      <c r="P251" s="28">
        <f>IF(O251=1,COUNTIF($O$2:O251,1),0)</f>
        <v/>
      </c>
    </row>
    <row r="252">
      <c r="A252" s="18" t="inlineStr">
        <is>
          <t>S</t>
        </is>
      </c>
      <c r="B252" s="20" t="inlineStr">
        <is>
          <t>Pruebas funcionales de ingreso</t>
        </is>
      </c>
      <c r="C252" s="20" t="inlineStr">
        <is>
          <t>Prueba: Control(es)</t>
        </is>
      </c>
      <c r="D252" s="18" t="inlineStr">
        <is>
          <t>OKF</t>
        </is>
      </c>
      <c r="E252" s="27" t="n">
        <v>0</v>
      </c>
      <c r="F252" s="27" t="n">
        <v>0</v>
      </c>
      <c r="G252" s="27" t="n">
        <v>0</v>
      </c>
      <c r="H252" s="27" t="n">
        <v>0</v>
      </c>
      <c r="I252" s="27" t="n">
        <v>0</v>
      </c>
      <c r="J252" s="27" t="n">
        <v>0</v>
      </c>
      <c r="K252" s="27" t="n">
        <v>0</v>
      </c>
      <c r="L252" s="27" t="n">
        <v>1</v>
      </c>
      <c r="M252" s="27" t="n">
        <v>0</v>
      </c>
      <c r="N252" s="28">
        <f>IF(C252="",0,IFERROR(INDEX($E252:$M252,MATCH('Recepción'!$D$5,$E$1:$M$1,0)),0))</f>
        <v/>
      </c>
      <c r="O252" s="28">
        <f>IF(N252=0,0,IF(A252="S",1,IF(OR(B252='Recepción'!$D$9,B252='Recepción'!$F$9,B252='Recepción'!$D$10,AND(B252="Contacto con líquido",'Recepción'!$E$25="Sí"),AND(B252="Golpe / Caída",'Recepción'!$E$24="Sí"),AND(B252="No enciende",'Recepción'!$E$27="No")),1,0)))</f>
        <v/>
      </c>
      <c r="P252" s="28">
        <f>IF(O252=1,COUNTIF($O$2:O252,1),0)</f>
        <v/>
      </c>
    </row>
    <row r="253">
      <c r="A253" s="18" t="inlineStr">
        <is>
          <t>S</t>
        </is>
      </c>
      <c r="B253" s="20" t="inlineStr">
        <is>
          <t>Pruebas funcionales de ingreso</t>
        </is>
      </c>
      <c r="C253" s="20" t="inlineStr">
        <is>
          <t>Prueba: Ventilador / ruido</t>
        </is>
      </c>
      <c r="D253" s="18" t="inlineStr">
        <is>
          <t>OKF</t>
        </is>
      </c>
      <c r="E253" s="27" t="n">
        <v>0</v>
      </c>
      <c r="F253" s="27" t="n">
        <v>0</v>
      </c>
      <c r="G253" s="27" t="n">
        <v>0</v>
      </c>
      <c r="H253" s="27" t="n">
        <v>0</v>
      </c>
      <c r="I253" s="27" t="n">
        <v>0</v>
      </c>
      <c r="J253" s="27" t="n">
        <v>0</v>
      </c>
      <c r="K253" s="27" t="n">
        <v>0</v>
      </c>
      <c r="L253" s="27" t="n">
        <v>1</v>
      </c>
      <c r="M253" s="27" t="n">
        <v>0</v>
      </c>
      <c r="N253" s="28">
        <f>IF(C253="",0,IFERROR(INDEX($E253:$M253,MATCH('Recepción'!$D$5,$E$1:$M$1,0)),0))</f>
        <v/>
      </c>
      <c r="O253" s="28">
        <f>IF(N253=0,0,IF(A253="S",1,IF(OR(B253='Recepción'!$D$9,B253='Recepción'!$F$9,B253='Recepción'!$D$10,AND(B253="Contacto con líquido",'Recepción'!$E$25="Sí"),AND(B253="Golpe / Caída",'Recepción'!$E$24="Sí"),AND(B253="No enciende",'Recepción'!$E$27="No")),1,0)))</f>
        <v/>
      </c>
      <c r="P253" s="28">
        <f>IF(O253=1,COUNTIF($O$2:O253,1),0)</f>
        <v/>
      </c>
    </row>
    <row r="254">
      <c r="A254" s="18" t="inlineStr">
        <is>
          <t>S</t>
        </is>
      </c>
      <c r="B254" s="20" t="inlineStr">
        <is>
          <t>Pruebas funcionales de ingreso</t>
        </is>
      </c>
      <c r="C254" s="20" t="inlineStr">
        <is>
          <t>Prueba: Audio</t>
        </is>
      </c>
      <c r="D254" s="18" t="inlineStr">
        <is>
          <t>OKF</t>
        </is>
      </c>
      <c r="E254" s="27" t="n">
        <v>0</v>
      </c>
      <c r="F254" s="27" t="n">
        <v>0</v>
      </c>
      <c r="G254" s="27" t="n">
        <v>0</v>
      </c>
      <c r="H254" s="27" t="n">
        <v>0</v>
      </c>
      <c r="I254" s="27" t="n">
        <v>0</v>
      </c>
      <c r="J254" s="27" t="n">
        <v>0</v>
      </c>
      <c r="K254" s="27" t="n">
        <v>0</v>
      </c>
      <c r="L254" s="27" t="n">
        <v>1</v>
      </c>
      <c r="M254" s="27" t="n">
        <v>0</v>
      </c>
      <c r="N254" s="28">
        <f>IF(C254="",0,IFERROR(INDEX($E254:$M254,MATCH('Recepción'!$D$5,$E$1:$M$1,0)),0))</f>
        <v/>
      </c>
      <c r="O254" s="28">
        <f>IF(N254=0,0,IF(A254="S",1,IF(OR(B254='Recepción'!$D$9,B254='Recepción'!$F$9,B254='Recepción'!$D$10,AND(B254="Contacto con líquido",'Recepción'!$E$25="Sí"),AND(B254="Golpe / Caída",'Recepción'!$E$24="Sí"),AND(B254="No enciende",'Recepción'!$E$27="No")),1,0)))</f>
        <v/>
      </c>
      <c r="P254" s="28">
        <f>IF(O254=1,COUNTIF($O$2:O254,1),0)</f>
        <v/>
      </c>
    </row>
    <row r="255">
      <c r="A255" s="18" t="inlineStr">
        <is>
          <t>S</t>
        </is>
      </c>
      <c r="B255" s="20" t="inlineStr">
        <is>
          <t>Pruebas funcionales de ingreso</t>
        </is>
      </c>
      <c r="C255" s="20" t="inlineStr">
        <is>
          <t>Prueba: Carga</t>
        </is>
      </c>
      <c r="D255" s="18" t="inlineStr">
        <is>
          <t>OKF</t>
        </is>
      </c>
      <c r="E255" s="27" t="n">
        <v>0</v>
      </c>
      <c r="F255" s="27" t="n">
        <v>0</v>
      </c>
      <c r="G255" s="27" t="n">
        <v>0</v>
      </c>
      <c r="H255" s="27" t="n">
        <v>0</v>
      </c>
      <c r="I255" s="27" t="n">
        <v>0</v>
      </c>
      <c r="J255" s="27" t="n">
        <v>0</v>
      </c>
      <c r="K255" s="27" t="n">
        <v>0</v>
      </c>
      <c r="L255" s="27" t="n">
        <v>0</v>
      </c>
      <c r="M255" s="27" t="n">
        <v>1</v>
      </c>
      <c r="N255" s="28">
        <f>IF(C255="",0,IFERROR(INDEX($E255:$M255,MATCH('Recepción'!$D$5,$E$1:$M$1,0)),0))</f>
        <v/>
      </c>
      <c r="O255" s="28">
        <f>IF(N255=0,0,IF(A255="S",1,IF(OR(B255='Recepción'!$D$9,B255='Recepción'!$F$9,B255='Recepción'!$D$10,AND(B255="Contacto con líquido",'Recepción'!$E$25="Sí"),AND(B255="Golpe / Caída",'Recepción'!$E$24="Sí"),AND(B255="No enciende",'Recepción'!$E$27="No")),1,0)))</f>
        <v/>
      </c>
      <c r="P255" s="28">
        <f>IF(O255=1,COUNTIF($O$2:O255,1),0)</f>
        <v/>
      </c>
    </row>
    <row r="256">
      <c r="A256" s="18" t="inlineStr">
        <is>
          <t>S</t>
        </is>
      </c>
      <c r="B256" s="20" t="inlineStr">
        <is>
          <t>Pruebas funcionales de ingreso</t>
        </is>
      </c>
      <c r="C256" s="20" t="inlineStr">
        <is>
          <t>Prueba: Funciones principales</t>
        </is>
      </c>
      <c r="D256" s="18" t="inlineStr">
        <is>
          <t>OKF</t>
        </is>
      </c>
      <c r="E256" s="27" t="n">
        <v>0</v>
      </c>
      <c r="F256" s="27" t="n">
        <v>0</v>
      </c>
      <c r="G256" s="27" t="n">
        <v>0</v>
      </c>
      <c r="H256" s="27" t="n">
        <v>0</v>
      </c>
      <c r="I256" s="27" t="n">
        <v>0</v>
      </c>
      <c r="J256" s="27" t="n">
        <v>0</v>
      </c>
      <c r="K256" s="27" t="n">
        <v>0</v>
      </c>
      <c r="L256" s="27" t="n">
        <v>0</v>
      </c>
      <c r="M256" s="27" t="n">
        <v>1</v>
      </c>
      <c r="N256" s="28">
        <f>IF(C256="",0,IFERROR(INDEX($E256:$M256,MATCH('Recepción'!$D$5,$E$1:$M$1,0)),0))</f>
        <v/>
      </c>
      <c r="O256" s="28">
        <f>IF(N256=0,0,IF(A256="S",1,IF(OR(B256='Recepción'!$D$9,B256='Recepción'!$F$9,B256='Recepción'!$D$10,AND(B256="Contacto con líquido",'Recepción'!$E$25="Sí"),AND(B256="Golpe / Caída",'Recepción'!$E$24="Sí"),AND(B256="No enciende",'Recepción'!$E$27="No")),1,0)))</f>
        <v/>
      </c>
      <c r="P256" s="28">
        <f>IF(O256=1,COUNTIF($O$2:O256,1),0)</f>
        <v/>
      </c>
    </row>
    <row r="257">
      <c r="A257" s="18" t="inlineStr">
        <is>
          <t>S</t>
        </is>
      </c>
      <c r="B257" s="20" t="inlineStr"/>
      <c r="C257" s="20" t="inlineStr">
        <is>
          <t>D. AUTORIZACIONES DEL CLIENTE</t>
        </is>
      </c>
      <c r="D257" s="18" t="inlineStr">
        <is>
          <t>HEAD</t>
        </is>
      </c>
      <c r="E257" s="27" t="n">
        <v>1</v>
      </c>
      <c r="F257" s="27" t="n">
        <v>1</v>
      </c>
      <c r="G257" s="27" t="n">
        <v>1</v>
      </c>
      <c r="H257" s="27" t="n">
        <v>1</v>
      </c>
      <c r="I257" s="27" t="n">
        <v>1</v>
      </c>
      <c r="J257" s="27" t="n">
        <v>1</v>
      </c>
      <c r="K257" s="27" t="n">
        <v>1</v>
      </c>
      <c r="L257" s="27" t="n">
        <v>1</v>
      </c>
      <c r="M257" s="27" t="n">
        <v>1</v>
      </c>
      <c r="N257" s="28">
        <f>IF(C257="",0,IFERROR(INDEX($E257:$M257,MATCH('Recepción'!$D$5,$E$1:$M$1,0)),0))</f>
        <v/>
      </c>
      <c r="O257" s="28">
        <f>IF(N257=0,0,IF(A257="S",1,IF(OR(B257='Recepción'!$D$9,B257='Recepción'!$F$9,B257='Recepción'!$D$10,AND(B257="Contacto con líquido",'Recepción'!$E$25="Sí"),AND(B257="Golpe / Caída",'Recepción'!$E$24="Sí"),AND(B257="No enciende",'Recepción'!$E$27="No")),1,0)))</f>
        <v/>
      </c>
      <c r="P257" s="28">
        <f>IF(O257=1,COUNTIF($O$2:O257,1),0)</f>
        <v/>
      </c>
    </row>
    <row r="258">
      <c r="A258" s="18" t="inlineStr">
        <is>
          <t>S</t>
        </is>
      </c>
      <c r="B258" s="20" t="inlineStr">
        <is>
          <t>Autorizaciones</t>
        </is>
      </c>
      <c r="C258" s="20" t="inlineStr">
        <is>
          <t>Autorizo el diagnóstico técnico del equipo.</t>
        </is>
      </c>
      <c r="D258" s="18" t="inlineStr">
        <is>
          <t>AUT</t>
        </is>
      </c>
      <c r="E258" s="27" t="n">
        <v>1</v>
      </c>
      <c r="F258" s="27" t="n">
        <v>1</v>
      </c>
      <c r="G258" s="27" t="n">
        <v>1</v>
      </c>
      <c r="H258" s="27" t="n">
        <v>1</v>
      </c>
      <c r="I258" s="27" t="n">
        <v>1</v>
      </c>
      <c r="J258" s="27" t="n">
        <v>1</v>
      </c>
      <c r="K258" s="27" t="n">
        <v>1</v>
      </c>
      <c r="L258" s="27" t="n">
        <v>1</v>
      </c>
      <c r="M258" s="27" t="n">
        <v>1</v>
      </c>
      <c r="N258" s="28">
        <f>IF(C258="",0,IFERROR(INDEX($E258:$M258,MATCH('Recepción'!$D$5,$E$1:$M$1,0)),0))</f>
        <v/>
      </c>
      <c r="O258" s="28">
        <f>IF(N258=0,0,IF(A258="S",1,IF(OR(B258='Recepción'!$D$9,B258='Recepción'!$F$9,B258='Recepción'!$D$10,AND(B258="Contacto con líquido",'Recepción'!$E$25="Sí"),AND(B258="Golpe / Caída",'Recepción'!$E$24="Sí"),AND(B258="No enciende",'Recepción'!$E$27="No")),1,0)))</f>
        <v/>
      </c>
      <c r="P258" s="28">
        <f>IF(O258=1,COUNTIF($O$2:O258,1),0)</f>
        <v/>
      </c>
    </row>
    <row r="259">
      <c r="A259" s="18" t="inlineStr">
        <is>
          <t>S</t>
        </is>
      </c>
      <c r="B259" s="20" t="inlineStr">
        <is>
          <t>Autorizaciones</t>
        </is>
      </c>
      <c r="C259" s="20" t="inlineStr">
        <is>
          <t>Declaro haber informado golpes, contacto con líquidos, reparaciones anteriores y fallas conocidas.</t>
        </is>
      </c>
      <c r="D259" s="18" t="inlineStr">
        <is>
          <t>AUT</t>
        </is>
      </c>
      <c r="E259" s="27" t="n">
        <v>1</v>
      </c>
      <c r="F259" s="27" t="n">
        <v>1</v>
      </c>
      <c r="G259" s="27" t="n">
        <v>1</v>
      </c>
      <c r="H259" s="27" t="n">
        <v>1</v>
      </c>
      <c r="I259" s="27" t="n">
        <v>1</v>
      </c>
      <c r="J259" s="27" t="n">
        <v>1</v>
      </c>
      <c r="K259" s="27" t="n">
        <v>1</v>
      </c>
      <c r="L259" s="27" t="n">
        <v>1</v>
      </c>
      <c r="M259" s="27" t="n">
        <v>1</v>
      </c>
      <c r="N259" s="28">
        <f>IF(C259="",0,IFERROR(INDEX($E259:$M259,MATCH('Recepción'!$D$5,$E$1:$M$1,0)),0))</f>
        <v/>
      </c>
      <c r="O259" s="28">
        <f>IF(N259=0,0,IF(A259="S",1,IF(OR(B259='Recepción'!$D$9,B259='Recepción'!$F$9,B259='Recepción'!$D$10,AND(B259="Contacto con líquido",'Recepción'!$E$25="Sí"),AND(B259="Golpe / Caída",'Recepción'!$E$24="Sí"),AND(B259="No enciende",'Recepción'!$E$27="No")),1,0)))</f>
        <v/>
      </c>
      <c r="P259" s="28">
        <f>IF(O259=1,COUNTIF($O$2:O259,1),0)</f>
        <v/>
      </c>
    </row>
    <row r="260">
      <c r="A260" s="18" t="inlineStr">
        <is>
          <t>S</t>
        </is>
      </c>
      <c r="B260" s="20" t="inlineStr">
        <is>
          <t>Autorizaciones</t>
        </is>
      </c>
      <c r="C260" s="20" t="inlineStr">
        <is>
          <t>Entiendo que RCP no es responsable por información sin respaldo previo cuando el procedimiento requiera intervenir almacenamiento, sistema operativo o componentes relacionados.</t>
        </is>
      </c>
      <c r="D260" s="18" t="inlineStr">
        <is>
          <t>AUT</t>
        </is>
      </c>
      <c r="E260" s="27" t="n">
        <v>1</v>
      </c>
      <c r="F260" s="27" t="n">
        <v>1</v>
      </c>
      <c r="G260" s="27" t="n">
        <v>1</v>
      </c>
      <c r="H260" s="27" t="n">
        <v>1</v>
      </c>
      <c r="I260" s="27" t="n">
        <v>1</v>
      </c>
      <c r="J260" s="27" t="n">
        <v>1</v>
      </c>
      <c r="K260" s="27" t="n">
        <v>1</v>
      </c>
      <c r="L260" s="27" t="n">
        <v>1</v>
      </c>
      <c r="M260" s="27" t="n">
        <v>1</v>
      </c>
      <c r="N260" s="28">
        <f>IF(C260="",0,IFERROR(INDEX($E260:$M260,MATCH('Recepción'!$D$5,$E$1:$M$1,0)),0))</f>
        <v/>
      </c>
      <c r="O260" s="28">
        <f>IF(N260=0,0,IF(A260="S",1,IF(OR(B260='Recepción'!$D$9,B260='Recepción'!$F$9,B260='Recepción'!$D$10,AND(B260="Contacto con líquido",'Recepción'!$E$25="Sí"),AND(B260="Golpe / Caída",'Recepción'!$E$24="Sí"),AND(B260="No enciende",'Recepción'!$E$27="No")),1,0)))</f>
        <v/>
      </c>
      <c r="P260" s="28">
        <f>IF(O260=1,COUNTIF($O$2:O260,1),0)</f>
        <v/>
      </c>
    </row>
    <row r="261">
      <c r="A261" s="18" t="inlineStr">
        <is>
          <t>S</t>
        </is>
      </c>
      <c r="B261" s="20" t="inlineStr">
        <is>
          <t>Autorizaciones</t>
        </is>
      </c>
      <c r="C261" s="20" t="inlineStr">
        <is>
          <t>Autorizo las pruebas funcionales necesarias para comprobar la reparación.</t>
        </is>
      </c>
      <c r="D261" s="18" t="inlineStr">
        <is>
          <t>AUT</t>
        </is>
      </c>
      <c r="E261" s="27" t="n">
        <v>1</v>
      </c>
      <c r="F261" s="27" t="n">
        <v>1</v>
      </c>
      <c r="G261" s="27" t="n">
        <v>1</v>
      </c>
      <c r="H261" s="27" t="n">
        <v>1</v>
      </c>
      <c r="I261" s="27" t="n">
        <v>1</v>
      </c>
      <c r="J261" s="27" t="n">
        <v>1</v>
      </c>
      <c r="K261" s="27" t="n">
        <v>1</v>
      </c>
      <c r="L261" s="27" t="n">
        <v>1</v>
      </c>
      <c r="M261" s="27" t="n">
        <v>1</v>
      </c>
      <c r="N261" s="28">
        <f>IF(C261="",0,IFERROR(INDEX($E261:$M261,MATCH('Recepción'!$D$5,$E$1:$M$1,0)),0))</f>
        <v/>
      </c>
      <c r="O261" s="28">
        <f>IF(N261=0,0,IF(A261="S",1,IF(OR(B261='Recepción'!$D$9,B261='Recepción'!$F$9,B261='Recepción'!$D$10,AND(B261="Contacto con líquido",'Recepción'!$E$25="Sí"),AND(B261="Golpe / Caída",'Recepción'!$E$24="Sí"),AND(B261="No enciende",'Recepción'!$E$27="No")),1,0)))</f>
        <v/>
      </c>
      <c r="P261" s="28">
        <f>IF(O261=1,COUNTIF($O$2:O261,1),0)</f>
        <v/>
      </c>
    </row>
    <row r="262">
      <c r="A262" s="18" t="inlineStr">
        <is>
          <t>S</t>
        </is>
      </c>
      <c r="B262" s="20" t="inlineStr">
        <is>
          <t>Autorizaciones</t>
        </is>
      </c>
      <c r="C262" s="20" t="inlineStr">
        <is>
          <t>Contraseña / PIN requerido para pruebas</t>
        </is>
      </c>
      <c r="D262" s="18" t="inlineStr">
        <is>
          <t>PIN</t>
        </is>
      </c>
      <c r="E262" s="27" t="n">
        <v>1</v>
      </c>
      <c r="F262" s="27" t="n">
        <v>1</v>
      </c>
      <c r="G262" s="27" t="n">
        <v>1</v>
      </c>
      <c r="H262" s="27" t="n">
        <v>1</v>
      </c>
      <c r="I262" s="27" t="n">
        <v>1</v>
      </c>
      <c r="J262" s="27" t="n">
        <v>1</v>
      </c>
      <c r="K262" s="27" t="n">
        <v>1</v>
      </c>
      <c r="L262" s="27" t="n">
        <v>1</v>
      </c>
      <c r="M262" s="27" t="n">
        <v>1</v>
      </c>
      <c r="N262" s="28">
        <f>IF(C262="",0,IFERROR(INDEX($E262:$M262,MATCH('Recepción'!$D$5,$E$1:$M$1,0)),0))</f>
        <v/>
      </c>
      <c r="O262" s="28">
        <f>IF(N262=0,0,IF(A262="S",1,IF(OR(B262='Recepción'!$D$9,B262='Recepción'!$F$9,B262='Recepción'!$D$10,AND(B262="Contacto con líquido",'Recepción'!$E$25="Sí"),AND(B262="Golpe / Caída",'Recepción'!$E$24="Sí"),AND(B262="No enciende",'Recepción'!$E$27="No")),1,0)))</f>
        <v/>
      </c>
      <c r="P262" s="28">
        <f>IF(O262=1,COUNTIF($O$2:O262,1),0)</f>
        <v/>
      </c>
    </row>
    <row r="263">
      <c r="A263" s="18" t="inlineStr">
        <is>
          <t>S</t>
        </is>
      </c>
      <c r="B263" s="20" t="inlineStr">
        <is>
          <t>Autorizaciones</t>
        </is>
      </c>
      <c r="C263" s="20" t="inlineStr">
        <is>
          <t>Nombre y firma del cliente (escriba nombre en Detalle)</t>
        </is>
      </c>
      <c r="D263" s="18" t="inlineStr">
        <is>
          <t>TXT</t>
        </is>
      </c>
      <c r="E263" s="27" t="n">
        <v>1</v>
      </c>
      <c r="F263" s="27" t="n">
        <v>1</v>
      </c>
      <c r="G263" s="27" t="n">
        <v>1</v>
      </c>
      <c r="H263" s="27" t="n">
        <v>1</v>
      </c>
      <c r="I263" s="27" t="n">
        <v>1</v>
      </c>
      <c r="J263" s="27" t="n">
        <v>1</v>
      </c>
      <c r="K263" s="27" t="n">
        <v>1</v>
      </c>
      <c r="L263" s="27" t="n">
        <v>1</v>
      </c>
      <c r="M263" s="27" t="n">
        <v>1</v>
      </c>
      <c r="N263" s="28">
        <f>IF(C263="",0,IFERROR(INDEX($E263:$M263,MATCH('Recepción'!$D$5,$E$1:$M$1,0)),0))</f>
        <v/>
      </c>
      <c r="O263" s="28">
        <f>IF(N263=0,0,IF(A263="S",1,IF(OR(B263='Recepción'!$D$9,B263='Recepción'!$F$9,B263='Recepción'!$D$10,AND(B263="Contacto con líquido",'Recepción'!$E$25="Sí"),AND(B263="Golpe / Caída",'Recepción'!$E$24="Sí"),AND(B263="No enciende",'Recepción'!$E$27="No")),1,0)))</f>
        <v/>
      </c>
      <c r="P263" s="28">
        <f>IF(O263=1,COUNTIF($O$2:O263,1),0)</f>
        <v/>
      </c>
    </row>
    <row r="264">
      <c r="A264" s="18" t="inlineStr">
        <is>
          <t>S</t>
        </is>
      </c>
      <c r="B264" s="20" t="inlineStr">
        <is>
          <t>Autorizaciones</t>
        </is>
      </c>
      <c r="C264" s="20" t="inlineStr">
        <is>
          <t>Nombre y firma de quien recibe por RCP (escriba nombre en Detalle)</t>
        </is>
      </c>
      <c r="D264" s="18" t="inlineStr">
        <is>
          <t>TXT</t>
        </is>
      </c>
      <c r="E264" s="27" t="n">
        <v>1</v>
      </c>
      <c r="F264" s="27" t="n">
        <v>1</v>
      </c>
      <c r="G264" s="27" t="n">
        <v>1</v>
      </c>
      <c r="H264" s="27" t="n">
        <v>1</v>
      </c>
      <c r="I264" s="27" t="n">
        <v>1</v>
      </c>
      <c r="J264" s="27" t="n">
        <v>1</v>
      </c>
      <c r="K264" s="27" t="n">
        <v>1</v>
      </c>
      <c r="L264" s="27" t="n">
        <v>1</v>
      </c>
      <c r="M264" s="27" t="n">
        <v>1</v>
      </c>
      <c r="N264" s="28">
        <f>IF(C264="",0,IFERROR(INDEX($E264:$M264,MATCH('Recepción'!$D$5,$E$1:$M$1,0)),0))</f>
        <v/>
      </c>
      <c r="O264" s="28">
        <f>IF(N264=0,0,IF(A264="S",1,IF(OR(B264='Recepción'!$D$9,B264='Recepción'!$F$9,B264='Recepción'!$D$10,AND(B264="Contacto con líquido",'Recepción'!$E$25="Sí"),AND(B264="Golpe / Caída",'Recepción'!$E$24="Sí"),AND(B264="No enciende",'Recepción'!$E$27="No")),1,0)))</f>
        <v/>
      </c>
      <c r="P264" s="28">
        <f>IF(O264=1,COUNTIF($O$2:O264,1),0)</f>
        <v/>
      </c>
    </row>
    <row r="265">
      <c r="N265" s="28">
        <f>IF(C265="",0,IFERROR(INDEX($E265:$M265,MATCH('Recepción'!$D$5,$E$1:$M$1,0)),0))</f>
        <v/>
      </c>
      <c r="O265" s="28">
        <f>IF(N265=0,0,IF(A265="S",1,IF(OR(B265='Recepción'!$D$9,B265='Recepción'!$F$9,B265='Recepción'!$D$10,AND(B265="Contacto con líquido",'Recepción'!$E$25="Sí"),AND(B265="Golpe / Caída",'Recepción'!$E$24="Sí"),AND(B265="No enciende",'Recepción'!$E$27="No")),1,0)))</f>
        <v/>
      </c>
      <c r="P265" s="28">
        <f>IF(O265=1,COUNTIF($O$2:O265,1),0)</f>
        <v/>
      </c>
    </row>
    <row r="266">
      <c r="N266" s="28">
        <f>IF(C266="",0,IFERROR(INDEX($E266:$M266,MATCH('Recepción'!$D$5,$E$1:$M$1,0)),0))</f>
        <v/>
      </c>
      <c r="O266" s="28">
        <f>IF(N266=0,0,IF(A266="S",1,IF(OR(B266='Recepción'!$D$9,B266='Recepción'!$F$9,B266='Recepción'!$D$10,AND(B266="Contacto con líquido",'Recepción'!$E$25="Sí"),AND(B266="Golpe / Caída",'Recepción'!$E$24="Sí"),AND(B266="No enciende",'Recepción'!$E$27="No")),1,0)))</f>
        <v/>
      </c>
      <c r="P266" s="28">
        <f>IF(O266=1,COUNTIF($O$2:O266,1),0)</f>
        <v/>
      </c>
    </row>
    <row r="267">
      <c r="N267" s="28">
        <f>IF(C267="",0,IFERROR(INDEX($E267:$M267,MATCH('Recepción'!$D$5,$E$1:$M$1,0)),0))</f>
        <v/>
      </c>
      <c r="O267" s="28">
        <f>IF(N267=0,0,IF(A267="S",1,IF(OR(B267='Recepción'!$D$9,B267='Recepción'!$F$9,B267='Recepción'!$D$10,AND(B267="Contacto con líquido",'Recepción'!$E$25="Sí"),AND(B267="Golpe / Caída",'Recepción'!$E$24="Sí"),AND(B267="No enciende",'Recepción'!$E$27="No")),1,0)))</f>
        <v/>
      </c>
      <c r="P267" s="28">
        <f>IF(O267=1,COUNTIF($O$2:O267,1),0)</f>
        <v/>
      </c>
    </row>
    <row r="268">
      <c r="N268" s="28">
        <f>IF(C268="",0,IFERROR(INDEX($E268:$M268,MATCH('Recepción'!$D$5,$E$1:$M$1,0)),0))</f>
        <v/>
      </c>
      <c r="O268" s="28">
        <f>IF(N268=0,0,IF(A268="S",1,IF(OR(B268='Recepción'!$D$9,B268='Recepción'!$F$9,B268='Recepción'!$D$10,AND(B268="Contacto con líquido",'Recepción'!$E$25="Sí"),AND(B268="Golpe / Caída",'Recepción'!$E$24="Sí"),AND(B268="No enciende",'Recepción'!$E$27="No")),1,0)))</f>
        <v/>
      </c>
      <c r="P268" s="28">
        <f>IF(O268=1,COUNTIF($O$2:O268,1),0)</f>
        <v/>
      </c>
    </row>
    <row r="269">
      <c r="N269" s="28">
        <f>IF(C269="",0,IFERROR(INDEX($E269:$M269,MATCH('Recepción'!$D$5,$E$1:$M$1,0)),0))</f>
        <v/>
      </c>
      <c r="O269" s="28">
        <f>IF(N269=0,0,IF(A269="S",1,IF(OR(B269='Recepción'!$D$9,B269='Recepción'!$F$9,B269='Recepción'!$D$10,AND(B269="Contacto con líquido",'Recepción'!$E$25="Sí"),AND(B269="Golpe / Caída",'Recepción'!$E$24="Sí"),AND(B269="No enciende",'Recepción'!$E$27="No")),1,0)))</f>
        <v/>
      </c>
      <c r="P269" s="28">
        <f>IF(O269=1,COUNTIF($O$2:O269,1),0)</f>
        <v/>
      </c>
    </row>
    <row r="270">
      <c r="N270" s="28">
        <f>IF(C270="",0,IFERROR(INDEX($E270:$M270,MATCH('Recepción'!$D$5,$E$1:$M$1,0)),0))</f>
        <v/>
      </c>
      <c r="O270" s="28">
        <f>IF(N270=0,0,IF(A270="S",1,IF(OR(B270='Recepción'!$D$9,B270='Recepción'!$F$9,B270='Recepción'!$D$10,AND(B270="Contacto con líquido",'Recepción'!$E$25="Sí"),AND(B270="Golpe / Caída",'Recepción'!$E$24="Sí"),AND(B270="No enciende",'Recepción'!$E$27="No")),1,0)))</f>
        <v/>
      </c>
      <c r="P270" s="28">
        <f>IF(O270=1,COUNTIF($O$2:O270,1),0)</f>
        <v/>
      </c>
    </row>
    <row r="271">
      <c r="N271" s="28">
        <f>IF(C271="",0,IFERROR(INDEX($E271:$M271,MATCH('Recepción'!$D$5,$E$1:$M$1,0)),0))</f>
        <v/>
      </c>
      <c r="O271" s="28">
        <f>IF(N271=0,0,IF(A271="S",1,IF(OR(B271='Recepción'!$D$9,B271='Recepción'!$F$9,B271='Recepción'!$D$10,AND(B271="Contacto con líquido",'Recepción'!$E$25="Sí"),AND(B271="Golpe / Caída",'Recepción'!$E$24="Sí"),AND(B271="No enciende",'Recepción'!$E$27="No")),1,0)))</f>
        <v/>
      </c>
      <c r="P271" s="28">
        <f>IF(O271=1,COUNTIF($O$2:O271,1),0)</f>
        <v/>
      </c>
    </row>
    <row r="272">
      <c r="N272" s="28">
        <f>IF(C272="",0,IFERROR(INDEX($E272:$M272,MATCH('Recepción'!$D$5,$E$1:$M$1,0)),0))</f>
        <v/>
      </c>
      <c r="O272" s="28">
        <f>IF(N272=0,0,IF(A272="S",1,IF(OR(B272='Recepción'!$D$9,B272='Recepción'!$F$9,B272='Recepción'!$D$10,AND(B272="Contacto con líquido",'Recepción'!$E$25="Sí"),AND(B272="Golpe / Caída",'Recepción'!$E$24="Sí"),AND(B272="No enciende",'Recepción'!$E$27="No")),1,0)))</f>
        <v/>
      </c>
      <c r="P272" s="28">
        <f>IF(O272=1,COUNTIF($O$2:O272,1),0)</f>
        <v/>
      </c>
    </row>
    <row r="273">
      <c r="N273" s="28">
        <f>IF(C273="",0,IFERROR(INDEX($E273:$M273,MATCH('Recepción'!$D$5,$E$1:$M$1,0)),0))</f>
        <v/>
      </c>
      <c r="O273" s="28">
        <f>IF(N273=0,0,IF(A273="S",1,IF(OR(B273='Recepción'!$D$9,B273='Recepción'!$F$9,B273='Recepción'!$D$10,AND(B273="Contacto con líquido",'Recepción'!$E$25="Sí"),AND(B273="Golpe / Caída",'Recepción'!$E$24="Sí"),AND(B273="No enciende",'Recepción'!$E$27="No")),1,0)))</f>
        <v/>
      </c>
      <c r="P273" s="28">
        <f>IF(O273=1,COUNTIF($O$2:O273,1),0)</f>
        <v/>
      </c>
    </row>
    <row r="274">
      <c r="N274" s="28">
        <f>IF(C274="",0,IFERROR(INDEX($E274:$M274,MATCH('Recepción'!$D$5,$E$1:$M$1,0)),0))</f>
        <v/>
      </c>
      <c r="O274" s="28">
        <f>IF(N274=0,0,IF(A274="S",1,IF(OR(B274='Recepción'!$D$9,B274='Recepción'!$F$9,B274='Recepción'!$D$10,AND(B274="Contacto con líquido",'Recepción'!$E$25="Sí"),AND(B274="Golpe / Caída",'Recepción'!$E$24="Sí"),AND(B274="No enciende",'Recepción'!$E$27="No")),1,0)))</f>
        <v/>
      </c>
      <c r="P274" s="28">
        <f>IF(O274=1,COUNTIF($O$2:O274,1),0)</f>
        <v/>
      </c>
    </row>
    <row r="275">
      <c r="N275" s="28">
        <f>IF(C275="",0,IFERROR(INDEX($E275:$M275,MATCH('Recepción'!$D$5,$E$1:$M$1,0)),0))</f>
        <v/>
      </c>
      <c r="O275" s="28">
        <f>IF(N275=0,0,IF(A275="S",1,IF(OR(B275='Recepción'!$D$9,B275='Recepción'!$F$9,B275='Recepción'!$D$10,AND(B275="Contacto con líquido",'Recepción'!$E$25="Sí"),AND(B275="Golpe / Caída",'Recepción'!$E$24="Sí"),AND(B275="No enciende",'Recepción'!$E$27="No")),1,0)))</f>
        <v/>
      </c>
      <c r="P275" s="28">
        <f>IF(O275=1,COUNTIF($O$2:O275,1),0)</f>
        <v/>
      </c>
    </row>
    <row r="276">
      <c r="N276" s="28">
        <f>IF(C276="",0,IFERROR(INDEX($E276:$M276,MATCH('Recepción'!$D$5,$E$1:$M$1,0)),0))</f>
        <v/>
      </c>
      <c r="O276" s="28">
        <f>IF(N276=0,0,IF(A276="S",1,IF(OR(B276='Recepción'!$D$9,B276='Recepción'!$F$9,B276='Recepción'!$D$10,AND(B276="Contacto con líquido",'Recepción'!$E$25="Sí"),AND(B276="Golpe / Caída",'Recepción'!$E$24="Sí"),AND(B276="No enciende",'Recepción'!$E$27="No")),1,0)))</f>
        <v/>
      </c>
      <c r="P276" s="28">
        <f>IF(O276=1,COUNTIF($O$2:O276,1),0)</f>
        <v/>
      </c>
    </row>
    <row r="277">
      <c r="N277" s="28">
        <f>IF(C277="",0,IFERROR(INDEX($E277:$M277,MATCH('Recepción'!$D$5,$E$1:$M$1,0)),0))</f>
        <v/>
      </c>
      <c r="O277" s="28">
        <f>IF(N277=0,0,IF(A277="S",1,IF(OR(B277='Recepción'!$D$9,B277='Recepción'!$F$9,B277='Recepción'!$D$10,AND(B277="Contacto con líquido",'Recepción'!$E$25="Sí"),AND(B277="Golpe / Caída",'Recepción'!$E$24="Sí"),AND(B277="No enciende",'Recepción'!$E$27="No")),1,0)))</f>
        <v/>
      </c>
      <c r="P277" s="28">
        <f>IF(O277=1,COUNTIF($O$2:O277,1),0)</f>
        <v/>
      </c>
    </row>
    <row r="278">
      <c r="N278" s="28">
        <f>IF(C278="",0,IFERROR(INDEX($E278:$M278,MATCH('Recepción'!$D$5,$E$1:$M$1,0)),0))</f>
        <v/>
      </c>
      <c r="O278" s="28">
        <f>IF(N278=0,0,IF(A278="S",1,IF(OR(B278='Recepción'!$D$9,B278='Recepción'!$F$9,B278='Recepción'!$D$10,AND(B278="Contacto con líquido",'Recepción'!$E$25="Sí"),AND(B278="Golpe / Caída",'Recepción'!$E$24="Sí"),AND(B278="No enciende",'Recepción'!$E$27="No")),1,0)))</f>
        <v/>
      </c>
      <c r="P278" s="28">
        <f>IF(O278=1,COUNTIF($O$2:O278,1),0)</f>
        <v/>
      </c>
    </row>
    <row r="279">
      <c r="N279" s="28">
        <f>IF(C279="",0,IFERROR(INDEX($E279:$M279,MATCH('Recepción'!$D$5,$E$1:$M$1,0)),0))</f>
        <v/>
      </c>
      <c r="O279" s="28">
        <f>IF(N279=0,0,IF(A279="S",1,IF(OR(B279='Recepción'!$D$9,B279='Recepción'!$F$9,B279='Recepción'!$D$10,AND(B279="Contacto con líquido",'Recepción'!$E$25="Sí"),AND(B279="Golpe / Caída",'Recepción'!$E$24="Sí"),AND(B279="No enciende",'Recepción'!$E$27="No")),1,0)))</f>
        <v/>
      </c>
      <c r="P279" s="28">
        <f>IF(O279=1,COUNTIF($O$2:O279,1),0)</f>
        <v/>
      </c>
    </row>
    <row r="280">
      <c r="N280" s="28">
        <f>IF(C280="",0,IFERROR(INDEX($E280:$M280,MATCH('Recepción'!$D$5,$E$1:$M$1,0)),0))</f>
        <v/>
      </c>
      <c r="O280" s="28">
        <f>IF(N280=0,0,IF(A280="S",1,IF(OR(B280='Recepción'!$D$9,B280='Recepción'!$F$9,B280='Recepción'!$D$10,AND(B280="Contacto con líquido",'Recepción'!$E$25="Sí"),AND(B280="Golpe / Caída",'Recepción'!$E$24="Sí"),AND(B280="No enciende",'Recepción'!$E$27="No")),1,0)))</f>
        <v/>
      </c>
      <c r="P280" s="28">
        <f>IF(O280=1,COUNTIF($O$2:O280,1),0)</f>
        <v/>
      </c>
    </row>
    <row r="281">
      <c r="N281" s="28">
        <f>IF(C281="",0,IFERROR(INDEX($E281:$M281,MATCH('Recepción'!$D$5,$E$1:$M$1,0)),0))</f>
        <v/>
      </c>
      <c r="O281" s="28">
        <f>IF(N281=0,0,IF(A281="S",1,IF(OR(B281='Recepción'!$D$9,B281='Recepción'!$F$9,B281='Recepción'!$D$10,AND(B281="Contacto con líquido",'Recepción'!$E$25="Sí"),AND(B281="Golpe / Caída",'Recepción'!$E$24="Sí"),AND(B281="No enciende",'Recepción'!$E$27="No")),1,0)))</f>
        <v/>
      </c>
      <c r="P281" s="28">
        <f>IF(O281=1,COUNTIF($O$2:O281,1),0)</f>
        <v/>
      </c>
    </row>
    <row r="282">
      <c r="N282" s="28">
        <f>IF(C282="",0,IFERROR(INDEX($E282:$M282,MATCH('Recepción'!$D$5,$E$1:$M$1,0)),0))</f>
        <v/>
      </c>
      <c r="O282" s="28">
        <f>IF(N282=0,0,IF(A282="S",1,IF(OR(B282='Recepción'!$D$9,B282='Recepción'!$F$9,B282='Recepción'!$D$10,AND(B282="Contacto con líquido",'Recepción'!$E$25="Sí"),AND(B282="Golpe / Caída",'Recepción'!$E$24="Sí"),AND(B282="No enciende",'Recepción'!$E$27="No")),1,0)))</f>
        <v/>
      </c>
      <c r="P282" s="28">
        <f>IF(O282=1,COUNTIF($O$2:O282,1),0)</f>
        <v/>
      </c>
    </row>
    <row r="283">
      <c r="N283" s="28">
        <f>IF(C283="",0,IFERROR(INDEX($E283:$M283,MATCH('Recepción'!$D$5,$E$1:$M$1,0)),0))</f>
        <v/>
      </c>
      <c r="O283" s="28">
        <f>IF(N283=0,0,IF(A283="S",1,IF(OR(B283='Recepción'!$D$9,B283='Recepción'!$F$9,B283='Recepción'!$D$10,AND(B283="Contacto con líquido",'Recepción'!$E$25="Sí"),AND(B283="Golpe / Caída",'Recepción'!$E$24="Sí"),AND(B283="No enciende",'Recepción'!$E$27="No")),1,0)))</f>
        <v/>
      </c>
      <c r="P283" s="28">
        <f>IF(O283=1,COUNTIF($O$2:O283,1),0)</f>
        <v/>
      </c>
    </row>
    <row r="284">
      <c r="N284" s="28">
        <f>IF(C284="",0,IFERROR(INDEX($E284:$M284,MATCH('Recepción'!$D$5,$E$1:$M$1,0)),0))</f>
        <v/>
      </c>
      <c r="O284" s="28">
        <f>IF(N284=0,0,IF(A284="S",1,IF(OR(B284='Recepción'!$D$9,B284='Recepción'!$F$9,B284='Recepción'!$D$10,AND(B284="Contacto con líquido",'Recepción'!$E$25="Sí"),AND(B284="Golpe / Caída",'Recepción'!$E$24="Sí"),AND(B284="No enciende",'Recepción'!$E$27="No")),1,0)))</f>
        <v/>
      </c>
      <c r="P284" s="28">
        <f>IF(O284=1,COUNTIF($O$2:O284,1),0)</f>
        <v/>
      </c>
    </row>
    <row r="285">
      <c r="N285" s="28">
        <f>IF(C285="",0,IFERROR(INDEX($E285:$M285,MATCH('Recepción'!$D$5,$E$1:$M$1,0)),0))</f>
        <v/>
      </c>
      <c r="O285" s="28">
        <f>IF(N285=0,0,IF(A285="S",1,IF(OR(B285='Recepción'!$D$9,B285='Recepción'!$F$9,B285='Recepción'!$D$10,AND(B285="Contacto con líquido",'Recepción'!$E$25="Sí"),AND(B285="Golpe / Caída",'Recepción'!$E$24="Sí"),AND(B285="No enciende",'Recepción'!$E$27="No")),1,0)))</f>
        <v/>
      </c>
      <c r="P285" s="28">
        <f>IF(O285=1,COUNTIF($O$2:O285,1),0)</f>
        <v/>
      </c>
    </row>
    <row r="286">
      <c r="N286" s="28">
        <f>IF(C286="",0,IFERROR(INDEX($E286:$M286,MATCH('Recepción'!$D$5,$E$1:$M$1,0)),0))</f>
        <v/>
      </c>
      <c r="O286" s="28">
        <f>IF(N286=0,0,IF(A286="S",1,IF(OR(B286='Recepción'!$D$9,B286='Recepción'!$F$9,B286='Recepción'!$D$10,AND(B286="Contacto con líquido",'Recepción'!$E$25="Sí"),AND(B286="Golpe / Caída",'Recepción'!$E$24="Sí"),AND(B286="No enciende",'Recepción'!$E$27="No")),1,0)))</f>
        <v/>
      </c>
      <c r="P286" s="28">
        <f>IF(O286=1,COUNTIF($O$2:O286,1),0)</f>
        <v/>
      </c>
    </row>
    <row r="287">
      <c r="N287" s="28">
        <f>IF(C287="",0,IFERROR(INDEX($E287:$M287,MATCH('Recepción'!$D$5,$E$1:$M$1,0)),0))</f>
        <v/>
      </c>
      <c r="O287" s="28">
        <f>IF(N287=0,0,IF(A287="S",1,IF(OR(B287='Recepción'!$D$9,B287='Recepción'!$F$9,B287='Recepción'!$D$10,AND(B287="Contacto con líquido",'Recepción'!$E$25="Sí"),AND(B287="Golpe / Caída",'Recepción'!$E$24="Sí"),AND(B287="No enciende",'Recepción'!$E$27="No")),1,0)))</f>
        <v/>
      </c>
      <c r="P287" s="28">
        <f>IF(O287=1,COUNTIF($O$2:O287,1),0)</f>
        <v/>
      </c>
    </row>
    <row r="288">
      <c r="N288" s="28">
        <f>IF(C288="",0,IFERROR(INDEX($E288:$M288,MATCH('Recepción'!$D$5,$E$1:$M$1,0)),0))</f>
        <v/>
      </c>
      <c r="O288" s="28">
        <f>IF(N288=0,0,IF(A288="S",1,IF(OR(B288='Recepción'!$D$9,B288='Recepción'!$F$9,B288='Recepción'!$D$10,AND(B288="Contacto con líquido",'Recepción'!$E$25="Sí"),AND(B288="Golpe / Caída",'Recepción'!$E$24="Sí"),AND(B288="No enciende",'Recepción'!$E$27="No")),1,0)))</f>
        <v/>
      </c>
      <c r="P288" s="28">
        <f>IF(O288=1,COUNTIF($O$2:O288,1),0)</f>
        <v/>
      </c>
    </row>
    <row r="289">
      <c r="N289" s="28">
        <f>IF(C289="",0,IFERROR(INDEX($E289:$M289,MATCH('Recepción'!$D$5,$E$1:$M$1,0)),0))</f>
        <v/>
      </c>
      <c r="O289" s="28">
        <f>IF(N289=0,0,IF(A289="S",1,IF(OR(B289='Recepción'!$D$9,B289='Recepción'!$F$9,B289='Recepción'!$D$10,AND(B289="Contacto con líquido",'Recepción'!$E$25="Sí"),AND(B289="Golpe / Caída",'Recepción'!$E$24="Sí"),AND(B289="No enciende",'Recepción'!$E$27="No")),1,0)))</f>
        <v/>
      </c>
      <c r="P289" s="28">
        <f>IF(O289=1,COUNTIF($O$2:O289,1),0)</f>
        <v/>
      </c>
    </row>
    <row r="290">
      <c r="N290" s="28">
        <f>IF(C290="",0,IFERROR(INDEX($E290:$M290,MATCH('Recepción'!$D$5,$E$1:$M$1,0)),0))</f>
        <v/>
      </c>
      <c r="O290" s="28">
        <f>IF(N290=0,0,IF(A290="S",1,IF(OR(B290='Recepción'!$D$9,B290='Recepción'!$F$9,B290='Recepción'!$D$10,AND(B290="Contacto con líquido",'Recepción'!$E$25="Sí"),AND(B290="Golpe / Caída",'Recepción'!$E$24="Sí"),AND(B290="No enciende",'Recepción'!$E$27="No")),1,0)))</f>
        <v/>
      </c>
      <c r="P290" s="28">
        <f>IF(O290=1,COUNTIF($O$2:O290,1),0)</f>
        <v/>
      </c>
    </row>
    <row r="291">
      <c r="N291" s="28">
        <f>IF(C291="",0,IFERROR(INDEX($E291:$M291,MATCH('Recepción'!$D$5,$E$1:$M$1,0)),0))</f>
        <v/>
      </c>
      <c r="O291" s="28">
        <f>IF(N291=0,0,IF(A291="S",1,IF(OR(B291='Recepción'!$D$9,B291='Recepción'!$F$9,B291='Recepción'!$D$10,AND(B291="Contacto con líquido",'Recepción'!$E$25="Sí"),AND(B291="Golpe / Caída",'Recepción'!$E$24="Sí"),AND(B291="No enciende",'Recepción'!$E$27="No")),1,0)))</f>
        <v/>
      </c>
      <c r="P291" s="28">
        <f>IF(O291=1,COUNTIF($O$2:O291,1),0)</f>
        <v/>
      </c>
    </row>
    <row r="292">
      <c r="N292" s="28">
        <f>IF(C292="",0,IFERROR(INDEX($E292:$M292,MATCH('Recepción'!$D$5,$E$1:$M$1,0)),0))</f>
        <v/>
      </c>
      <c r="O292" s="28">
        <f>IF(N292=0,0,IF(A292="S",1,IF(OR(B292='Recepción'!$D$9,B292='Recepción'!$F$9,B292='Recepción'!$D$10,AND(B292="Contacto con líquido",'Recepción'!$E$25="Sí"),AND(B292="Golpe / Caída",'Recepción'!$E$24="Sí"),AND(B292="No enciende",'Recepción'!$E$27="No")),1,0)))</f>
        <v/>
      </c>
      <c r="P292" s="28">
        <f>IF(O292=1,COUNTIF($O$2:O292,1),0)</f>
        <v/>
      </c>
    </row>
    <row r="293">
      <c r="N293" s="28">
        <f>IF(C293="",0,IFERROR(INDEX($E293:$M293,MATCH('Recepción'!$D$5,$E$1:$M$1,0)),0))</f>
        <v/>
      </c>
      <c r="O293" s="28">
        <f>IF(N293=0,0,IF(A293="S",1,IF(OR(B293='Recepción'!$D$9,B293='Recepción'!$F$9,B293='Recepción'!$D$10,AND(B293="Contacto con líquido",'Recepción'!$E$25="Sí"),AND(B293="Golpe / Caída",'Recepción'!$E$24="Sí"),AND(B293="No enciende",'Recepción'!$E$27="No")),1,0)))</f>
        <v/>
      </c>
      <c r="P293" s="28">
        <f>IF(O293=1,COUNTIF($O$2:O293,1),0)</f>
        <v/>
      </c>
    </row>
    <row r="294">
      <c r="N294" s="28">
        <f>IF(C294="",0,IFERROR(INDEX($E294:$M294,MATCH('Recepción'!$D$5,$E$1:$M$1,0)),0))</f>
        <v/>
      </c>
      <c r="O294" s="28">
        <f>IF(N294=0,0,IF(A294="S",1,IF(OR(B294='Recepción'!$D$9,B294='Recepción'!$F$9,B294='Recepción'!$D$10,AND(B294="Contacto con líquido",'Recepción'!$E$25="Sí"),AND(B294="Golpe / Caída",'Recepción'!$E$24="Sí"),AND(B294="No enciende",'Recepción'!$E$27="No")),1,0)))</f>
        <v/>
      </c>
      <c r="P294" s="28">
        <f>IF(O294=1,COUNTIF($O$2:O294,1),0)</f>
        <v/>
      </c>
    </row>
    <row r="295">
      <c r="N295" s="28">
        <f>IF(C295="",0,IFERROR(INDEX($E295:$M295,MATCH('Recepción'!$D$5,$E$1:$M$1,0)),0))</f>
        <v/>
      </c>
      <c r="O295" s="28">
        <f>IF(N295=0,0,IF(A295="S",1,IF(OR(B295='Recepción'!$D$9,B295='Recepción'!$F$9,B295='Recepción'!$D$10,AND(B295="Contacto con líquido",'Recepción'!$E$25="Sí"),AND(B295="Golpe / Caída",'Recepción'!$E$24="Sí"),AND(B295="No enciende",'Recepción'!$E$27="No")),1,0)))</f>
        <v/>
      </c>
      <c r="P295" s="28">
        <f>IF(O295=1,COUNTIF($O$2:O295,1),0)</f>
        <v/>
      </c>
    </row>
    <row r="296">
      <c r="N296" s="28">
        <f>IF(C296="",0,IFERROR(INDEX($E296:$M296,MATCH('Recepción'!$D$5,$E$1:$M$1,0)),0))</f>
        <v/>
      </c>
      <c r="O296" s="28">
        <f>IF(N296=0,0,IF(A296="S",1,IF(OR(B296='Recepción'!$D$9,B296='Recepción'!$F$9,B296='Recepción'!$D$10,AND(B296="Contacto con líquido",'Recepción'!$E$25="Sí"),AND(B296="Golpe / Caída",'Recepción'!$E$24="Sí"),AND(B296="No enciende",'Recepción'!$E$27="No")),1,0)))</f>
        <v/>
      </c>
      <c r="P296" s="28">
        <f>IF(O296=1,COUNTIF($O$2:O296,1),0)</f>
        <v/>
      </c>
    </row>
    <row r="297">
      <c r="N297" s="28">
        <f>IF(C297="",0,IFERROR(INDEX($E297:$M297,MATCH('Recepción'!$D$5,$E$1:$M$1,0)),0))</f>
        <v/>
      </c>
      <c r="O297" s="28">
        <f>IF(N297=0,0,IF(A297="S",1,IF(OR(B297='Recepción'!$D$9,B297='Recepción'!$F$9,B297='Recepción'!$D$10,AND(B297="Contacto con líquido",'Recepción'!$E$25="Sí"),AND(B297="Golpe / Caída",'Recepción'!$E$24="Sí"),AND(B297="No enciende",'Recepción'!$E$27="No")),1,0)))</f>
        <v/>
      </c>
      <c r="P297" s="28">
        <f>IF(O297=1,COUNTIF($O$2:O297,1),0)</f>
        <v/>
      </c>
    </row>
    <row r="298">
      <c r="N298" s="28">
        <f>IF(C298="",0,IFERROR(INDEX($E298:$M298,MATCH('Recepción'!$D$5,$E$1:$M$1,0)),0))</f>
        <v/>
      </c>
      <c r="O298" s="28">
        <f>IF(N298=0,0,IF(A298="S",1,IF(OR(B298='Recepción'!$D$9,B298='Recepción'!$F$9,B298='Recepción'!$D$10,AND(B298="Contacto con líquido",'Recepción'!$E$25="Sí"),AND(B298="Golpe / Caída",'Recepción'!$E$24="Sí"),AND(B298="No enciende",'Recepción'!$E$27="No")),1,0)))</f>
        <v/>
      </c>
      <c r="P298" s="28">
        <f>IF(O298=1,COUNTIF($O$2:O298,1),0)</f>
        <v/>
      </c>
    </row>
    <row r="299">
      <c r="N299" s="28">
        <f>IF(C299="",0,IFERROR(INDEX($E299:$M299,MATCH('Recepción'!$D$5,$E$1:$M$1,0)),0))</f>
        <v/>
      </c>
      <c r="O299" s="28">
        <f>IF(N299=0,0,IF(A299="S",1,IF(OR(B299='Recepción'!$D$9,B299='Recepción'!$F$9,B299='Recepción'!$D$10,AND(B299="Contacto con líquido",'Recepción'!$E$25="Sí"),AND(B299="Golpe / Caída",'Recepción'!$E$24="Sí"),AND(B299="No enciende",'Recepción'!$E$27="No")),1,0)))</f>
        <v/>
      </c>
      <c r="P299" s="28">
        <f>IF(O299=1,COUNTIF($O$2:O299,1),0)</f>
        <v/>
      </c>
    </row>
    <row r="300">
      <c r="N300" s="28">
        <f>IF(C300="",0,IFERROR(INDEX($E300:$M300,MATCH('Recepción'!$D$5,$E$1:$M$1,0)),0))</f>
        <v/>
      </c>
      <c r="O300" s="28">
        <f>IF(N300=0,0,IF(A300="S",1,IF(OR(B300='Recepción'!$D$9,B300='Recepción'!$F$9,B300='Recepción'!$D$10,AND(B300="Contacto con líquido",'Recepción'!$E$25="Sí"),AND(B300="Golpe / Caída",'Recepción'!$E$24="Sí"),AND(B300="No enciende",'Recepción'!$E$27="No")),1,0)))</f>
        <v/>
      </c>
      <c r="P300" s="28">
        <f>IF(O300=1,COUNTIF($O$2:O300,1),0)</f>
        <v/>
      </c>
    </row>
    <row r="301">
      <c r="N301" s="28">
        <f>IF(C301="",0,IFERROR(INDEX($E301:$M301,MATCH('Recepción'!$D$5,$E$1:$M$1,0)),0))</f>
        <v/>
      </c>
      <c r="O301" s="28">
        <f>IF(N301=0,0,IF(A301="S",1,IF(OR(B301='Recepción'!$D$9,B301='Recepción'!$F$9,B301='Recepción'!$D$10,AND(B301="Contacto con líquido",'Recepción'!$E$25="Sí"),AND(B301="Golpe / Caída",'Recepción'!$E$24="Sí"),AND(B301="No enciende",'Recepción'!$E$27="No")),1,0)))</f>
        <v/>
      </c>
      <c r="P301" s="28">
        <f>IF(O301=1,COUNTIF($O$2:O301,1),0)</f>
        <v/>
      </c>
    </row>
    <row r="302">
      <c r="N302" s="28">
        <f>IF(C302="",0,IFERROR(INDEX($E302:$M302,MATCH('Recepción'!$D$5,$E$1:$M$1,0)),0))</f>
        <v/>
      </c>
      <c r="O302" s="28">
        <f>IF(N302=0,0,IF(A302="S",1,IF(OR(B302='Recepción'!$D$9,B302='Recepción'!$F$9,B302='Recepción'!$D$10,AND(B302="Contacto con líquido",'Recepción'!$E$25="Sí"),AND(B302="Golpe / Caída",'Recepción'!$E$24="Sí"),AND(B302="No enciende",'Recepción'!$E$27="No")),1,0)))</f>
        <v/>
      </c>
      <c r="P302" s="28">
        <f>IF(O302=1,COUNTIF($O$2:O302,1),0)</f>
        <v/>
      </c>
    </row>
    <row r="303">
      <c r="N303" s="28">
        <f>IF(C303="",0,IFERROR(INDEX($E303:$M303,MATCH('Recepción'!$D$5,$E$1:$M$1,0)),0))</f>
        <v/>
      </c>
      <c r="O303" s="28">
        <f>IF(N303=0,0,IF(A303="S",1,IF(OR(B303='Recepción'!$D$9,B303='Recepción'!$F$9,B303='Recepción'!$D$10,AND(B303="Contacto con líquido",'Recepción'!$E$25="Sí"),AND(B303="Golpe / Caída",'Recepción'!$E$24="Sí"),AND(B303="No enciende",'Recepción'!$E$27="No")),1,0)))</f>
        <v/>
      </c>
      <c r="P303" s="28">
        <f>IF(O303=1,COUNTIF($O$2:O303,1),0)</f>
        <v/>
      </c>
    </row>
    <row r="304">
      <c r="N304" s="28">
        <f>IF(C304="",0,IFERROR(INDEX($E304:$M304,MATCH('Recepción'!$D$5,$E$1:$M$1,0)),0))</f>
        <v/>
      </c>
      <c r="O304" s="28">
        <f>IF(N304=0,0,IF(A304="S",1,IF(OR(B304='Recepción'!$D$9,B304='Recepción'!$F$9,B304='Recepción'!$D$10,AND(B304="Contacto con líquido",'Recepción'!$E$25="Sí"),AND(B304="Golpe / Caída",'Recepción'!$E$24="Sí"),AND(B304="No enciende",'Recepción'!$E$27="No")),1,0)))</f>
        <v/>
      </c>
      <c r="P304" s="28">
        <f>IF(O304=1,COUNTIF($O$2:O304,1),0)</f>
        <v/>
      </c>
    </row>
    <row r="305">
      <c r="N305" s="28">
        <f>IF(C305="",0,IFERROR(INDEX($E305:$M305,MATCH('Recepción'!$D$5,$E$1:$M$1,0)),0))</f>
        <v/>
      </c>
      <c r="O305" s="28">
        <f>IF(N305=0,0,IF(A305="S",1,IF(OR(B305='Recepción'!$D$9,B305='Recepción'!$F$9,B305='Recepción'!$D$10,AND(B305="Contacto con líquido",'Recepción'!$E$25="Sí"),AND(B305="Golpe / Caída",'Recepción'!$E$24="Sí"),AND(B305="No enciende",'Recepción'!$E$27="No")),1,0)))</f>
        <v/>
      </c>
      <c r="P305" s="28">
        <f>IF(O305=1,COUNTIF($O$2:O305,1),0)</f>
        <v/>
      </c>
    </row>
    <row r="306">
      <c r="N306" s="28">
        <f>IF(C306="",0,IFERROR(INDEX($E306:$M306,MATCH('Recepción'!$D$5,$E$1:$M$1,0)),0))</f>
        <v/>
      </c>
      <c r="O306" s="28">
        <f>IF(N306=0,0,IF(A306="S",1,IF(OR(B306='Recepción'!$D$9,B306='Recepción'!$F$9,B306='Recepción'!$D$10,AND(B306="Contacto con líquido",'Recepción'!$E$25="Sí"),AND(B306="Golpe / Caída",'Recepción'!$E$24="Sí"),AND(B306="No enciende",'Recepción'!$E$27="No")),1,0)))</f>
        <v/>
      </c>
      <c r="P306" s="28">
        <f>IF(O306=1,COUNTIF($O$2:O306,1),0)</f>
        <v/>
      </c>
    </row>
    <row r="307">
      <c r="N307" s="28">
        <f>IF(C307="",0,IFERROR(INDEX($E307:$M307,MATCH('Recepción'!$D$5,$E$1:$M$1,0)),0))</f>
        <v/>
      </c>
      <c r="O307" s="28">
        <f>IF(N307=0,0,IF(A307="S",1,IF(OR(B307='Recepción'!$D$9,B307='Recepción'!$F$9,B307='Recepción'!$D$10,AND(B307="Contacto con líquido",'Recepción'!$E$25="Sí"),AND(B307="Golpe / Caída",'Recepción'!$E$24="Sí"),AND(B307="No enciende",'Recepción'!$E$27="No")),1,0)))</f>
        <v/>
      </c>
      <c r="P307" s="28">
        <f>IF(O307=1,COUNTIF($O$2:O307,1),0)</f>
        <v/>
      </c>
    </row>
    <row r="308">
      <c r="N308" s="28">
        <f>IF(C308="",0,IFERROR(INDEX($E308:$M308,MATCH('Recepción'!$D$5,$E$1:$M$1,0)),0))</f>
        <v/>
      </c>
      <c r="O308" s="28">
        <f>IF(N308=0,0,IF(A308="S",1,IF(OR(B308='Recepción'!$D$9,B308='Recepción'!$F$9,B308='Recepción'!$D$10,AND(B308="Contacto con líquido",'Recepción'!$E$25="Sí"),AND(B308="Golpe / Caída",'Recepción'!$E$24="Sí"),AND(B308="No enciende",'Recepción'!$E$27="No")),1,0)))</f>
        <v/>
      </c>
      <c r="P308" s="28">
        <f>IF(O308=1,COUNTIF($O$2:O308,1),0)</f>
        <v/>
      </c>
    </row>
    <row r="309">
      <c r="N309" s="28">
        <f>IF(C309="",0,IFERROR(INDEX($E309:$M309,MATCH('Recepción'!$D$5,$E$1:$M$1,0)),0))</f>
        <v/>
      </c>
      <c r="O309" s="28">
        <f>IF(N309=0,0,IF(A309="S",1,IF(OR(B309='Recepción'!$D$9,B309='Recepción'!$F$9,B309='Recepción'!$D$10,AND(B309="Contacto con líquido",'Recepción'!$E$25="Sí"),AND(B309="Golpe / Caída",'Recepción'!$E$24="Sí"),AND(B309="No enciende",'Recepción'!$E$27="No")),1,0)))</f>
        <v/>
      </c>
      <c r="P309" s="28">
        <f>IF(O309=1,COUNTIF($O$2:O309,1),0)</f>
        <v/>
      </c>
    </row>
    <row r="310">
      <c r="N310" s="28">
        <f>IF(C310="",0,IFERROR(INDEX($E310:$M310,MATCH('Recepción'!$D$5,$E$1:$M$1,0)),0))</f>
        <v/>
      </c>
      <c r="O310" s="28">
        <f>IF(N310=0,0,IF(A310="S",1,IF(OR(B310='Recepción'!$D$9,B310='Recepción'!$F$9,B310='Recepción'!$D$10,AND(B310="Contacto con líquido",'Recepción'!$E$25="Sí"),AND(B310="Golpe / Caída",'Recepción'!$E$24="Sí"),AND(B310="No enciende",'Recepción'!$E$27="No")),1,0)))</f>
        <v/>
      </c>
      <c r="P310" s="28">
        <f>IF(O310=1,COUNTIF($O$2:O310,1),0)</f>
        <v/>
      </c>
    </row>
    <row r="311">
      <c r="N311" s="28">
        <f>IF(C311="",0,IFERROR(INDEX($E311:$M311,MATCH('Recepción'!$D$5,$E$1:$M$1,0)),0))</f>
        <v/>
      </c>
      <c r="O311" s="28">
        <f>IF(N311=0,0,IF(A311="S",1,IF(OR(B311='Recepción'!$D$9,B311='Recepción'!$F$9,B311='Recepción'!$D$10,AND(B311="Contacto con líquido",'Recepción'!$E$25="Sí"),AND(B311="Golpe / Caída",'Recepción'!$E$24="Sí"),AND(B311="No enciende",'Recepción'!$E$27="No")),1,0)))</f>
        <v/>
      </c>
      <c r="P311" s="28">
        <f>IF(O311=1,COUNTIF($O$2:O311,1),0)</f>
        <v/>
      </c>
    </row>
    <row r="312">
      <c r="N312" s="28">
        <f>IF(C312="",0,IFERROR(INDEX($E312:$M312,MATCH('Recepción'!$D$5,$E$1:$M$1,0)),0))</f>
        <v/>
      </c>
      <c r="O312" s="28">
        <f>IF(N312=0,0,IF(A312="S",1,IF(OR(B312='Recepción'!$D$9,B312='Recepción'!$F$9,B312='Recepción'!$D$10,AND(B312="Contacto con líquido",'Recepción'!$E$25="Sí"),AND(B312="Golpe / Caída",'Recepción'!$E$24="Sí"),AND(B312="No enciende",'Recepción'!$E$27="No")),1,0)))</f>
        <v/>
      </c>
      <c r="P312" s="28">
        <f>IF(O312=1,COUNTIF($O$2:O312,1),0)</f>
        <v/>
      </c>
    </row>
    <row r="313">
      <c r="N313" s="28">
        <f>IF(C313="",0,IFERROR(INDEX($E313:$M313,MATCH('Recepción'!$D$5,$E$1:$M$1,0)),0))</f>
        <v/>
      </c>
      <c r="O313" s="28">
        <f>IF(N313=0,0,IF(A313="S",1,IF(OR(B313='Recepción'!$D$9,B313='Recepción'!$F$9,B313='Recepción'!$D$10,AND(B313="Contacto con líquido",'Recepción'!$E$25="Sí"),AND(B313="Golpe / Caída",'Recepción'!$E$24="Sí"),AND(B313="No enciende",'Recepción'!$E$27="No")),1,0)))</f>
        <v/>
      </c>
      <c r="P313" s="28">
        <f>IF(O313=1,COUNTIF($O$2:O313,1),0)</f>
        <v/>
      </c>
    </row>
    <row r="314">
      <c r="N314" s="28">
        <f>IF(C314="",0,IFERROR(INDEX($E314:$M314,MATCH('Recepción'!$D$5,$E$1:$M$1,0)),0))</f>
        <v/>
      </c>
      <c r="O314" s="28">
        <f>IF(N314=0,0,IF(A314="S",1,IF(OR(B314='Recepción'!$D$9,B314='Recepción'!$F$9,B314='Recepción'!$D$10,AND(B314="Contacto con líquido",'Recepción'!$E$25="Sí"),AND(B314="Golpe / Caída",'Recepción'!$E$24="Sí"),AND(B314="No enciende",'Recepción'!$E$27="No")),1,0)))</f>
        <v/>
      </c>
      <c r="P314" s="28">
        <f>IF(O314=1,COUNTIF($O$2:O314,1),0)</f>
        <v/>
      </c>
    </row>
    <row r="315">
      <c r="N315" s="28">
        <f>IF(C315="",0,IFERROR(INDEX($E315:$M315,MATCH('Recepción'!$D$5,$E$1:$M$1,0)),0))</f>
        <v/>
      </c>
      <c r="O315" s="28">
        <f>IF(N315=0,0,IF(A315="S",1,IF(OR(B315='Recepción'!$D$9,B315='Recepción'!$F$9,B315='Recepción'!$D$10,AND(B315="Contacto con líquido",'Recepción'!$E$25="Sí"),AND(B315="Golpe / Caída",'Recepción'!$E$24="Sí"),AND(B315="No enciende",'Recepción'!$E$27="No")),1,0)))</f>
        <v/>
      </c>
      <c r="P315" s="28">
        <f>IF(O315=1,COUNTIF($O$2:O315,1),0)</f>
        <v/>
      </c>
    </row>
    <row r="316">
      <c r="N316" s="28">
        <f>IF(C316="",0,IFERROR(INDEX($E316:$M316,MATCH('Recepción'!$D$5,$E$1:$M$1,0)),0))</f>
        <v/>
      </c>
      <c r="O316" s="28">
        <f>IF(N316=0,0,IF(A316="S",1,IF(OR(B316='Recepción'!$D$9,B316='Recepción'!$F$9,B316='Recepción'!$D$10,AND(B316="Contacto con líquido",'Recepción'!$E$25="Sí"),AND(B316="Golpe / Caída",'Recepción'!$E$24="Sí"),AND(B316="No enciende",'Recepción'!$E$27="No")),1,0)))</f>
        <v/>
      </c>
      <c r="P316" s="28">
        <f>IF(O316=1,COUNTIF($O$2:O316,1),0)</f>
        <v/>
      </c>
    </row>
    <row r="317">
      <c r="N317" s="28">
        <f>IF(C317="",0,IFERROR(INDEX($E317:$M317,MATCH('Recepción'!$D$5,$E$1:$M$1,0)),0))</f>
        <v/>
      </c>
      <c r="O317" s="28">
        <f>IF(N317=0,0,IF(A317="S",1,IF(OR(B317='Recepción'!$D$9,B317='Recepción'!$F$9,B317='Recepción'!$D$10,AND(B317="Contacto con líquido",'Recepción'!$E$25="Sí"),AND(B317="Golpe / Caída",'Recepción'!$E$24="Sí"),AND(B317="No enciende",'Recepción'!$E$27="No")),1,0)))</f>
        <v/>
      </c>
      <c r="P317" s="28">
        <f>IF(O317=1,COUNTIF($O$2:O317,1),0)</f>
        <v/>
      </c>
    </row>
    <row r="318">
      <c r="N318" s="28">
        <f>IF(C318="",0,IFERROR(INDEX($E318:$M318,MATCH('Recepción'!$D$5,$E$1:$M$1,0)),0))</f>
        <v/>
      </c>
      <c r="O318" s="28">
        <f>IF(N318=0,0,IF(A318="S",1,IF(OR(B318='Recepción'!$D$9,B318='Recepción'!$F$9,B318='Recepción'!$D$10,AND(B318="Contacto con líquido",'Recepción'!$E$25="Sí"),AND(B318="Golpe / Caída",'Recepción'!$E$24="Sí"),AND(B318="No enciende",'Recepción'!$E$27="No")),1,0)))</f>
        <v/>
      </c>
      <c r="P318" s="28">
        <f>IF(O318=1,COUNTIF($O$2:O318,1),0)</f>
        <v/>
      </c>
    </row>
    <row r="319">
      <c r="N319" s="28">
        <f>IF(C319="",0,IFERROR(INDEX($E319:$M319,MATCH('Recepción'!$D$5,$E$1:$M$1,0)),0))</f>
        <v/>
      </c>
      <c r="O319" s="28">
        <f>IF(N319=0,0,IF(A319="S",1,IF(OR(B319='Recepción'!$D$9,B319='Recepción'!$F$9,B319='Recepción'!$D$10,AND(B319="Contacto con líquido",'Recepción'!$E$25="Sí"),AND(B319="Golpe / Caída",'Recepción'!$E$24="Sí"),AND(B319="No enciende",'Recepción'!$E$27="No")),1,0)))</f>
        <v/>
      </c>
      <c r="P319" s="28">
        <f>IF(O319=1,COUNTIF($O$2:O319,1),0)</f>
        <v/>
      </c>
    </row>
    <row r="320">
      <c r="N320" s="28">
        <f>IF(C320="",0,IFERROR(INDEX($E320:$M320,MATCH('Recepción'!$D$5,$E$1:$M$1,0)),0))</f>
        <v/>
      </c>
      <c r="O320" s="28">
        <f>IF(N320=0,0,IF(A320="S",1,IF(OR(B320='Recepción'!$D$9,B320='Recepción'!$F$9,B320='Recepción'!$D$10,AND(B320="Contacto con líquido",'Recepción'!$E$25="Sí"),AND(B320="Golpe / Caída",'Recepción'!$E$24="Sí"),AND(B320="No enciende",'Recepción'!$E$27="No")),1,0)))</f>
        <v/>
      </c>
      <c r="P320" s="28">
        <f>IF(O320=1,COUNTIF($O$2:O320,1),0)</f>
        <v/>
      </c>
    </row>
    <row r="321">
      <c r="N321" s="28">
        <f>IF(C321="",0,IFERROR(INDEX($E321:$M321,MATCH('Recepción'!$D$5,$E$1:$M$1,0)),0))</f>
        <v/>
      </c>
      <c r="O321" s="28">
        <f>IF(N321=0,0,IF(A321="S",1,IF(OR(B321='Recepción'!$D$9,B321='Recepción'!$F$9,B321='Recepción'!$D$10,AND(B321="Contacto con líquido",'Recepción'!$E$25="Sí"),AND(B321="Golpe / Caída",'Recepción'!$E$24="Sí"),AND(B321="No enciende",'Recepción'!$E$27="No")),1,0)))</f>
        <v/>
      </c>
      <c r="P321" s="28">
        <f>IF(O321=1,COUNTIF($O$2:O321,1),0)</f>
        <v/>
      </c>
    </row>
    <row r="322">
      <c r="N322" s="28">
        <f>IF(C322="",0,IFERROR(INDEX($E322:$M322,MATCH('Recepción'!$D$5,$E$1:$M$1,0)),0))</f>
        <v/>
      </c>
      <c r="O322" s="28">
        <f>IF(N322=0,0,IF(A322="S",1,IF(OR(B322='Recepción'!$D$9,B322='Recepción'!$F$9,B322='Recepción'!$D$10,AND(B322="Contacto con líquido",'Recepción'!$E$25="Sí"),AND(B322="Golpe / Caída",'Recepción'!$E$24="Sí"),AND(B322="No enciende",'Recepción'!$E$27="No")),1,0)))</f>
        <v/>
      </c>
      <c r="P322" s="28">
        <f>IF(O322=1,COUNTIF($O$2:O322,1),0)</f>
        <v/>
      </c>
    </row>
    <row r="323">
      <c r="N323" s="28">
        <f>IF(C323="",0,IFERROR(INDEX($E323:$M323,MATCH('Recepción'!$D$5,$E$1:$M$1,0)),0))</f>
        <v/>
      </c>
      <c r="O323" s="28">
        <f>IF(N323=0,0,IF(A323="S",1,IF(OR(B323='Recepción'!$D$9,B323='Recepción'!$F$9,B323='Recepción'!$D$10,AND(B323="Contacto con líquido",'Recepción'!$E$25="Sí"),AND(B323="Golpe / Caída",'Recepción'!$E$24="Sí"),AND(B323="No enciende",'Recepción'!$E$27="No")),1,0)))</f>
        <v/>
      </c>
      <c r="P323" s="28">
        <f>IF(O323=1,COUNTIF($O$2:O323,1),0)</f>
        <v/>
      </c>
    </row>
    <row r="324">
      <c r="N324" s="28">
        <f>IF(C324="",0,IFERROR(INDEX($E324:$M324,MATCH('Recepción'!$D$5,$E$1:$M$1,0)),0))</f>
        <v/>
      </c>
      <c r="O324" s="28">
        <f>IF(N324=0,0,IF(A324="S",1,IF(OR(B324='Recepción'!$D$9,B324='Recepción'!$F$9,B324='Recepción'!$D$10,AND(B324="Contacto con líquido",'Recepción'!$E$25="Sí"),AND(B324="Golpe / Caída",'Recepción'!$E$24="Sí"),AND(B324="No enciende",'Recepción'!$E$27="No")),1,0)))</f>
        <v/>
      </c>
      <c r="P324" s="28">
        <f>IF(O324=1,COUNTIF($O$2:O324,1),0)</f>
        <v/>
      </c>
    </row>
    <row r="325">
      <c r="N325" s="28">
        <f>IF(C325="",0,IFERROR(INDEX($E325:$M325,MATCH('Recepción'!$D$5,$E$1:$M$1,0)),0))</f>
        <v/>
      </c>
      <c r="O325" s="28">
        <f>IF(N325=0,0,IF(A325="S",1,IF(OR(B325='Recepción'!$D$9,B325='Recepción'!$F$9,B325='Recepción'!$D$10,AND(B325="Contacto con líquido",'Recepción'!$E$25="Sí"),AND(B325="Golpe / Caída",'Recepción'!$E$24="Sí"),AND(B325="No enciende",'Recepción'!$E$27="No")),1,0)))</f>
        <v/>
      </c>
      <c r="P325" s="28">
        <f>IF(O325=1,COUNTIF($O$2:O325,1),0)</f>
        <v/>
      </c>
    </row>
    <row r="326">
      <c r="N326" s="28">
        <f>IF(C326="",0,IFERROR(INDEX($E326:$M326,MATCH('Recepción'!$D$5,$E$1:$M$1,0)),0))</f>
        <v/>
      </c>
      <c r="O326" s="28">
        <f>IF(N326=0,0,IF(A326="S",1,IF(OR(B326='Recepción'!$D$9,B326='Recepción'!$F$9,B326='Recepción'!$D$10,AND(B326="Contacto con líquido",'Recepción'!$E$25="Sí"),AND(B326="Golpe / Caída",'Recepción'!$E$24="Sí"),AND(B326="No enciende",'Recepción'!$E$27="No")),1,0)))</f>
        <v/>
      </c>
      <c r="P326" s="28">
        <f>IF(O326=1,COUNTIF($O$2:O326,1),0)</f>
        <v/>
      </c>
    </row>
    <row r="327">
      <c r="N327" s="28">
        <f>IF(C327="",0,IFERROR(INDEX($E327:$M327,MATCH('Recepción'!$D$5,$E$1:$M$1,0)),0))</f>
        <v/>
      </c>
      <c r="O327" s="28">
        <f>IF(N327=0,0,IF(A327="S",1,IF(OR(B327='Recepción'!$D$9,B327='Recepción'!$F$9,B327='Recepción'!$D$10,AND(B327="Contacto con líquido",'Recepción'!$E$25="Sí"),AND(B327="Golpe / Caída",'Recepción'!$E$24="Sí"),AND(B327="No enciende",'Recepción'!$E$27="No")),1,0)))</f>
        <v/>
      </c>
      <c r="P327" s="28">
        <f>IF(O327=1,COUNTIF($O$2:O327,1),0)</f>
        <v/>
      </c>
    </row>
    <row r="328">
      <c r="N328" s="28">
        <f>IF(C328="",0,IFERROR(INDEX($E328:$M328,MATCH('Recepción'!$D$5,$E$1:$M$1,0)),0))</f>
        <v/>
      </c>
      <c r="O328" s="28">
        <f>IF(N328=0,0,IF(A328="S",1,IF(OR(B328='Recepción'!$D$9,B328='Recepción'!$F$9,B328='Recepción'!$D$10,AND(B328="Contacto con líquido",'Recepción'!$E$25="Sí"),AND(B328="Golpe / Caída",'Recepción'!$E$24="Sí"),AND(B328="No enciende",'Recepción'!$E$27="No")),1,0)))</f>
        <v/>
      </c>
      <c r="P328" s="28">
        <f>IF(O328=1,COUNTIF($O$2:O328,1),0)</f>
        <v/>
      </c>
    </row>
    <row r="329">
      <c r="N329" s="28">
        <f>IF(C329="",0,IFERROR(INDEX($E329:$M329,MATCH('Recepción'!$D$5,$E$1:$M$1,0)),0))</f>
        <v/>
      </c>
      <c r="O329" s="28">
        <f>IF(N329=0,0,IF(A329="S",1,IF(OR(B329='Recepción'!$D$9,B329='Recepción'!$F$9,B329='Recepción'!$D$10,AND(B329="Contacto con líquido",'Recepción'!$E$25="Sí"),AND(B329="Golpe / Caída",'Recepción'!$E$24="Sí"),AND(B329="No enciende",'Recepción'!$E$27="No")),1,0)))</f>
        <v/>
      </c>
      <c r="P329" s="28">
        <f>IF(O329=1,COUNTIF($O$2:O329,1),0)</f>
        <v/>
      </c>
    </row>
    <row r="330">
      <c r="N330" s="28">
        <f>IF(C330="",0,IFERROR(INDEX($E330:$M330,MATCH('Recepción'!$D$5,$E$1:$M$1,0)),0))</f>
        <v/>
      </c>
      <c r="O330" s="28">
        <f>IF(N330=0,0,IF(A330="S",1,IF(OR(B330='Recepción'!$D$9,B330='Recepción'!$F$9,B330='Recepción'!$D$10,AND(B330="Contacto con líquido",'Recepción'!$E$25="Sí"),AND(B330="Golpe / Caída",'Recepción'!$E$24="Sí"),AND(B330="No enciende",'Recepción'!$E$27="No")),1,0)))</f>
        <v/>
      </c>
      <c r="P330" s="28">
        <f>IF(O330=1,COUNTIF($O$2:O330,1),0)</f>
        <v/>
      </c>
    </row>
    <row r="331">
      <c r="N331" s="28">
        <f>IF(C331="",0,IFERROR(INDEX($E331:$M331,MATCH('Recepción'!$D$5,$E$1:$M$1,0)),0))</f>
        <v/>
      </c>
      <c r="O331" s="28">
        <f>IF(N331=0,0,IF(A331="S",1,IF(OR(B331='Recepción'!$D$9,B331='Recepción'!$F$9,B331='Recepción'!$D$10,AND(B331="Contacto con líquido",'Recepción'!$E$25="Sí"),AND(B331="Golpe / Caída",'Recepción'!$E$24="Sí"),AND(B331="No enciende",'Recepción'!$E$27="No")),1,0)))</f>
        <v/>
      </c>
      <c r="P331" s="28">
        <f>IF(O331=1,COUNTIF($O$2:O331,1),0)</f>
        <v/>
      </c>
    </row>
    <row r="332">
      <c r="N332" s="28">
        <f>IF(C332="",0,IFERROR(INDEX($E332:$M332,MATCH('Recepción'!$D$5,$E$1:$M$1,0)),0))</f>
        <v/>
      </c>
      <c r="O332" s="28">
        <f>IF(N332=0,0,IF(A332="S",1,IF(OR(B332='Recepción'!$D$9,B332='Recepción'!$F$9,B332='Recepción'!$D$10,AND(B332="Contacto con líquido",'Recepción'!$E$25="Sí"),AND(B332="Golpe / Caída",'Recepción'!$E$24="Sí"),AND(B332="No enciende",'Recepción'!$E$27="No")),1,0)))</f>
        <v/>
      </c>
      <c r="P332" s="28">
        <f>IF(O332=1,COUNTIF($O$2:O332,1),0)</f>
        <v/>
      </c>
    </row>
    <row r="333">
      <c r="N333" s="28">
        <f>IF(C333="",0,IFERROR(INDEX($E333:$M333,MATCH('Recepción'!$D$5,$E$1:$M$1,0)),0))</f>
        <v/>
      </c>
      <c r="O333" s="28">
        <f>IF(N333=0,0,IF(A333="S",1,IF(OR(B333='Recepción'!$D$9,B333='Recepción'!$F$9,B333='Recepción'!$D$10,AND(B333="Contacto con líquido",'Recepción'!$E$25="Sí"),AND(B333="Golpe / Caída",'Recepción'!$E$24="Sí"),AND(B333="No enciende",'Recepción'!$E$27="No")),1,0)))</f>
        <v/>
      </c>
      <c r="P333" s="28">
        <f>IF(O333=1,COUNTIF($O$2:O333,1),0)</f>
        <v/>
      </c>
    </row>
    <row r="334">
      <c r="N334" s="28">
        <f>IF(C334="",0,IFERROR(INDEX($E334:$M334,MATCH('Recepción'!$D$5,$E$1:$M$1,0)),0))</f>
        <v/>
      </c>
      <c r="O334" s="28">
        <f>IF(N334=0,0,IF(A334="S",1,IF(OR(B334='Recepción'!$D$9,B334='Recepción'!$F$9,B334='Recepción'!$D$10,AND(B334="Contacto con líquido",'Recepción'!$E$25="Sí"),AND(B334="Golpe / Caída",'Recepción'!$E$24="Sí"),AND(B334="No enciende",'Recepción'!$E$27="No")),1,0)))</f>
        <v/>
      </c>
      <c r="P334" s="28">
        <f>IF(O334=1,COUNTIF($O$2:O334,1),0)</f>
        <v/>
      </c>
    </row>
    <row r="335">
      <c r="N335" s="28">
        <f>IF(C335="",0,IFERROR(INDEX($E335:$M335,MATCH('Recepción'!$D$5,$E$1:$M$1,0)),0))</f>
        <v/>
      </c>
      <c r="O335" s="28">
        <f>IF(N335=0,0,IF(A335="S",1,IF(OR(B335='Recepción'!$D$9,B335='Recepción'!$F$9,B335='Recepción'!$D$10,AND(B335="Contacto con líquido",'Recepción'!$E$25="Sí"),AND(B335="Golpe / Caída",'Recepción'!$E$24="Sí"),AND(B335="No enciende",'Recepción'!$E$27="No")),1,0)))</f>
        <v/>
      </c>
      <c r="P335" s="28">
        <f>IF(O335=1,COUNTIF($O$2:O335,1),0)</f>
        <v/>
      </c>
    </row>
    <row r="336">
      <c r="N336" s="28">
        <f>IF(C336="",0,IFERROR(INDEX($E336:$M336,MATCH('Recepción'!$D$5,$E$1:$M$1,0)),0))</f>
        <v/>
      </c>
      <c r="O336" s="28">
        <f>IF(N336=0,0,IF(A336="S",1,IF(OR(B336='Recepción'!$D$9,B336='Recepción'!$F$9,B336='Recepción'!$D$10,AND(B336="Contacto con líquido",'Recepción'!$E$25="Sí"),AND(B336="Golpe / Caída",'Recepción'!$E$24="Sí"),AND(B336="No enciende",'Recepción'!$E$27="No")),1,0)))</f>
        <v/>
      </c>
      <c r="P336" s="28">
        <f>IF(O336=1,COUNTIF($O$2:O336,1),0)</f>
        <v/>
      </c>
    </row>
    <row r="337">
      <c r="N337" s="28">
        <f>IF(C337="",0,IFERROR(INDEX($E337:$M337,MATCH('Recepción'!$D$5,$E$1:$M$1,0)),0))</f>
        <v/>
      </c>
      <c r="O337" s="28">
        <f>IF(N337=0,0,IF(A337="S",1,IF(OR(B337='Recepción'!$D$9,B337='Recepción'!$F$9,B337='Recepción'!$D$10,AND(B337="Contacto con líquido",'Recepción'!$E$25="Sí"),AND(B337="Golpe / Caída",'Recepción'!$E$24="Sí"),AND(B337="No enciende",'Recepción'!$E$27="No")),1,0)))</f>
        <v/>
      </c>
      <c r="P337" s="28">
        <f>IF(O337=1,COUNTIF($O$2:O337,1),0)</f>
        <v/>
      </c>
    </row>
    <row r="338">
      <c r="N338" s="28">
        <f>IF(C338="",0,IFERROR(INDEX($E338:$M338,MATCH('Recepción'!$D$5,$E$1:$M$1,0)),0))</f>
        <v/>
      </c>
      <c r="O338" s="28">
        <f>IF(N338=0,0,IF(A338="S",1,IF(OR(B338='Recepción'!$D$9,B338='Recepción'!$F$9,B338='Recepción'!$D$10,AND(B338="Contacto con líquido",'Recepción'!$E$25="Sí"),AND(B338="Golpe / Caída",'Recepción'!$E$24="Sí"),AND(B338="No enciende",'Recepción'!$E$27="No")),1,0)))</f>
        <v/>
      </c>
      <c r="P338" s="28">
        <f>IF(O338=1,COUNTIF($O$2:O338,1),0)</f>
        <v/>
      </c>
    </row>
    <row r="339">
      <c r="N339" s="28">
        <f>IF(C339="",0,IFERROR(INDEX($E339:$M339,MATCH('Recepción'!$D$5,$E$1:$M$1,0)),0))</f>
        <v/>
      </c>
      <c r="O339" s="28">
        <f>IF(N339=0,0,IF(A339="S",1,IF(OR(B339='Recepción'!$D$9,B339='Recepción'!$F$9,B339='Recepción'!$D$10,AND(B339="Contacto con líquido",'Recepción'!$E$25="Sí"),AND(B339="Golpe / Caída",'Recepción'!$E$24="Sí"),AND(B339="No enciende",'Recepción'!$E$27="No")),1,0)))</f>
        <v/>
      </c>
      <c r="P339" s="28">
        <f>IF(O339=1,COUNTIF($O$2:O339,1),0)</f>
        <v/>
      </c>
    </row>
    <row r="340">
      <c r="N340" s="28">
        <f>IF(C340="",0,IFERROR(INDEX($E340:$M340,MATCH('Recepción'!$D$5,$E$1:$M$1,0)),0))</f>
        <v/>
      </c>
      <c r="O340" s="28">
        <f>IF(N340=0,0,IF(A340="S",1,IF(OR(B340='Recepción'!$D$9,B340='Recepción'!$F$9,B340='Recepción'!$D$10,AND(B340="Contacto con líquido",'Recepción'!$E$25="Sí"),AND(B340="Golpe / Caída",'Recepción'!$E$24="Sí"),AND(B340="No enciende",'Recepción'!$E$27="No")),1,0)))</f>
        <v/>
      </c>
      <c r="P340" s="28">
        <f>IF(O340=1,COUNTIF($O$2:O340,1),0)</f>
        <v/>
      </c>
    </row>
    <row r="341">
      <c r="N341" s="28">
        <f>IF(C341="",0,IFERROR(INDEX($E341:$M341,MATCH('Recepción'!$D$5,$E$1:$M$1,0)),0))</f>
        <v/>
      </c>
      <c r="O341" s="28">
        <f>IF(N341=0,0,IF(A341="S",1,IF(OR(B341='Recepción'!$D$9,B341='Recepción'!$F$9,B341='Recepción'!$D$10,AND(B341="Contacto con líquido",'Recepción'!$E$25="Sí"),AND(B341="Golpe / Caída",'Recepción'!$E$24="Sí"),AND(B341="No enciende",'Recepción'!$E$27="No")),1,0)))</f>
        <v/>
      </c>
      <c r="P341" s="28">
        <f>IF(O341=1,COUNTIF($O$2:O341,1),0)</f>
        <v/>
      </c>
    </row>
    <row r="342">
      <c r="N342" s="28">
        <f>IF(C342="",0,IFERROR(INDEX($E342:$M342,MATCH('Recepción'!$D$5,$E$1:$M$1,0)),0))</f>
        <v/>
      </c>
      <c r="O342" s="28">
        <f>IF(N342=0,0,IF(A342="S",1,IF(OR(B342='Recepción'!$D$9,B342='Recepción'!$F$9,B342='Recepción'!$D$10,AND(B342="Contacto con líquido",'Recepción'!$E$25="Sí"),AND(B342="Golpe / Caída",'Recepción'!$E$24="Sí"),AND(B342="No enciende",'Recepción'!$E$27="No")),1,0)))</f>
        <v/>
      </c>
      <c r="P342" s="28">
        <f>IF(O342=1,COUNTIF($O$2:O342,1),0)</f>
        <v/>
      </c>
    </row>
    <row r="343">
      <c r="N343" s="28">
        <f>IF(C343="",0,IFERROR(INDEX($E343:$M343,MATCH('Recepción'!$D$5,$E$1:$M$1,0)),0))</f>
        <v/>
      </c>
      <c r="O343" s="28">
        <f>IF(N343=0,0,IF(A343="S",1,IF(OR(B343='Recepción'!$D$9,B343='Recepción'!$F$9,B343='Recepción'!$D$10,AND(B343="Contacto con líquido",'Recepción'!$E$25="Sí"),AND(B343="Golpe / Caída",'Recepción'!$E$24="Sí"),AND(B343="No enciende",'Recepción'!$E$27="No")),1,0)))</f>
        <v/>
      </c>
      <c r="P343" s="28">
        <f>IF(O343=1,COUNTIF($O$2:O343,1),0)</f>
        <v/>
      </c>
    </row>
    <row r="344">
      <c r="N344" s="28">
        <f>IF(C344="",0,IFERROR(INDEX($E344:$M344,MATCH('Recepción'!$D$5,$E$1:$M$1,0)),0))</f>
        <v/>
      </c>
      <c r="O344" s="28">
        <f>IF(N344=0,0,IF(A344="S",1,IF(OR(B344='Recepción'!$D$9,B344='Recepción'!$F$9,B344='Recepción'!$D$10,AND(B344="Contacto con líquido",'Recepción'!$E$25="Sí"),AND(B344="Golpe / Caída",'Recepción'!$E$24="Sí"),AND(B344="No enciende",'Recepción'!$E$27="No")),1,0)))</f>
        <v/>
      </c>
      <c r="P344" s="28">
        <f>IF(O344=1,COUNTIF($O$2:O344,1),0)</f>
        <v/>
      </c>
    </row>
    <row r="345">
      <c r="N345" s="28">
        <f>IF(C345="",0,IFERROR(INDEX($E345:$M345,MATCH('Recepción'!$D$5,$E$1:$M$1,0)),0))</f>
        <v/>
      </c>
      <c r="O345" s="28">
        <f>IF(N345=0,0,IF(A345="S",1,IF(OR(B345='Recepción'!$D$9,B345='Recepción'!$F$9,B345='Recepción'!$D$10,AND(B345="Contacto con líquido",'Recepción'!$E$25="Sí"),AND(B345="Golpe / Caída",'Recepción'!$E$24="Sí"),AND(B345="No enciende",'Recepción'!$E$27="No")),1,0)))</f>
        <v/>
      </c>
      <c r="P345" s="28">
        <f>IF(O345=1,COUNTIF($O$2:O345,1),0)</f>
        <v/>
      </c>
    </row>
    <row r="346">
      <c r="N346" s="28">
        <f>IF(C346="",0,IFERROR(INDEX($E346:$M346,MATCH('Recepción'!$D$5,$E$1:$M$1,0)),0))</f>
        <v/>
      </c>
      <c r="O346" s="28">
        <f>IF(N346=0,0,IF(A346="S",1,IF(OR(B346='Recepción'!$D$9,B346='Recepción'!$F$9,B346='Recepción'!$D$10,AND(B346="Contacto con líquido",'Recepción'!$E$25="Sí"),AND(B346="Golpe / Caída",'Recepción'!$E$24="Sí"),AND(B346="No enciende",'Recepción'!$E$27="No")),1,0)))</f>
        <v/>
      </c>
      <c r="P346" s="28">
        <f>IF(O346=1,COUNTIF($O$2:O346,1),0)</f>
        <v/>
      </c>
    </row>
    <row r="347">
      <c r="N347" s="28">
        <f>IF(C347="",0,IFERROR(INDEX($E347:$M347,MATCH('Recepción'!$D$5,$E$1:$M$1,0)),0))</f>
        <v/>
      </c>
      <c r="O347" s="28">
        <f>IF(N347=0,0,IF(A347="S",1,IF(OR(B347='Recepción'!$D$9,B347='Recepción'!$F$9,B347='Recepción'!$D$10,AND(B347="Contacto con líquido",'Recepción'!$E$25="Sí"),AND(B347="Golpe / Caída",'Recepción'!$E$24="Sí"),AND(B347="No enciende",'Recepción'!$E$27="No")),1,0)))</f>
        <v/>
      </c>
      <c r="P347" s="28">
        <f>IF(O347=1,COUNTIF($O$2:O347,1),0)</f>
        <v/>
      </c>
    </row>
    <row r="348">
      <c r="N348" s="28">
        <f>IF(C348="",0,IFERROR(INDEX($E348:$M348,MATCH('Recepción'!$D$5,$E$1:$M$1,0)),0))</f>
        <v/>
      </c>
      <c r="O348" s="28">
        <f>IF(N348=0,0,IF(A348="S",1,IF(OR(B348='Recepción'!$D$9,B348='Recepción'!$F$9,B348='Recepción'!$D$10,AND(B348="Contacto con líquido",'Recepción'!$E$25="Sí"),AND(B348="Golpe / Caída",'Recepción'!$E$24="Sí"),AND(B348="No enciende",'Recepción'!$E$27="No")),1,0)))</f>
        <v/>
      </c>
      <c r="P348" s="28">
        <f>IF(O348=1,COUNTIF($O$2:O348,1),0)</f>
        <v/>
      </c>
    </row>
    <row r="349">
      <c r="N349" s="28">
        <f>IF(C349="",0,IFERROR(INDEX($E349:$M349,MATCH('Recepción'!$D$5,$E$1:$M$1,0)),0))</f>
        <v/>
      </c>
      <c r="O349" s="28">
        <f>IF(N349=0,0,IF(A349="S",1,IF(OR(B349='Recepción'!$D$9,B349='Recepción'!$F$9,B349='Recepción'!$D$10,AND(B349="Contacto con líquido",'Recepción'!$E$25="Sí"),AND(B349="Golpe / Caída",'Recepción'!$E$24="Sí"),AND(B349="No enciende",'Recepción'!$E$27="No")),1,0)))</f>
        <v/>
      </c>
      <c r="P349" s="28">
        <f>IF(O349=1,COUNTIF($O$2:O349,1),0)</f>
        <v/>
      </c>
    </row>
    <row r="350">
      <c r="N350" s="28">
        <f>IF(C350="",0,IFERROR(INDEX($E350:$M350,MATCH('Recepción'!$D$5,$E$1:$M$1,0)),0))</f>
        <v/>
      </c>
      <c r="O350" s="28">
        <f>IF(N350=0,0,IF(A350="S",1,IF(OR(B350='Recepción'!$D$9,B350='Recepción'!$F$9,B350='Recepción'!$D$10,AND(B350="Contacto con líquido",'Recepción'!$E$25="Sí"),AND(B350="Golpe / Caída",'Recepción'!$E$24="Sí"),AND(B350="No enciende",'Recepción'!$E$27="No")),1,0)))</f>
        <v/>
      </c>
      <c r="P350" s="28">
        <f>IF(O350=1,COUNTIF($O$2:O350,1),0)</f>
        <v/>
      </c>
    </row>
    <row r="351">
      <c r="N351" s="28">
        <f>IF(C351="",0,IFERROR(INDEX($E351:$M351,MATCH('Recepción'!$D$5,$E$1:$M$1,0)),0))</f>
        <v/>
      </c>
      <c r="O351" s="28">
        <f>IF(N351=0,0,IF(A351="S",1,IF(OR(B351='Recepción'!$D$9,B351='Recepción'!$F$9,B351='Recepción'!$D$10,AND(B351="Contacto con líquido",'Recepción'!$E$25="Sí"),AND(B351="Golpe / Caída",'Recepción'!$E$24="Sí"),AND(B351="No enciende",'Recepción'!$E$27="No")),1,0)))</f>
        <v/>
      </c>
      <c r="P351" s="28">
        <f>IF(O351=1,COUNTIF($O$2:O351,1),0)</f>
        <v/>
      </c>
    </row>
    <row r="352">
      <c r="N352" s="28">
        <f>IF(C352="",0,IFERROR(INDEX($E352:$M352,MATCH('Recepción'!$D$5,$E$1:$M$1,0)),0))</f>
        <v/>
      </c>
      <c r="O352" s="28">
        <f>IF(N352=0,0,IF(A352="S",1,IF(OR(B352='Recepción'!$D$9,B352='Recepción'!$F$9,B352='Recepción'!$D$10,AND(B352="Contacto con líquido",'Recepción'!$E$25="Sí"),AND(B352="Golpe / Caída",'Recepción'!$E$24="Sí"),AND(B352="No enciende",'Recepción'!$E$27="No")),1,0)))</f>
        <v/>
      </c>
      <c r="P352" s="28">
        <f>IF(O352=1,COUNTIF($O$2:O352,1),0)</f>
        <v/>
      </c>
    </row>
    <row r="353">
      <c r="N353" s="28">
        <f>IF(C353="",0,IFERROR(INDEX($E353:$M353,MATCH('Recepción'!$D$5,$E$1:$M$1,0)),0))</f>
        <v/>
      </c>
      <c r="O353" s="28">
        <f>IF(N353=0,0,IF(A353="S",1,IF(OR(B353='Recepción'!$D$9,B353='Recepción'!$F$9,B353='Recepción'!$D$10,AND(B353="Contacto con líquido",'Recepción'!$E$25="Sí"),AND(B353="Golpe / Caída",'Recepción'!$E$24="Sí"),AND(B353="No enciende",'Recepción'!$E$27="No")),1,0)))</f>
        <v/>
      </c>
      <c r="P353" s="28">
        <f>IF(O353=1,COUNTIF($O$2:O353,1),0)</f>
        <v/>
      </c>
    </row>
    <row r="354">
      <c r="N354" s="28">
        <f>IF(C354="",0,IFERROR(INDEX($E354:$M354,MATCH('Recepción'!$D$5,$E$1:$M$1,0)),0))</f>
        <v/>
      </c>
      <c r="O354" s="28">
        <f>IF(N354=0,0,IF(A354="S",1,IF(OR(B354='Recepción'!$D$9,B354='Recepción'!$F$9,B354='Recepción'!$D$10,AND(B354="Contacto con líquido",'Recepción'!$E$25="Sí"),AND(B354="Golpe / Caída",'Recepción'!$E$24="Sí"),AND(B354="No enciende",'Recepción'!$E$27="No")),1,0)))</f>
        <v/>
      </c>
      <c r="P354" s="28">
        <f>IF(O354=1,COUNTIF($O$2:O354,1),0)</f>
        <v/>
      </c>
    </row>
    <row r="355">
      <c r="N355" s="28">
        <f>IF(C355="",0,IFERROR(INDEX($E355:$M355,MATCH('Recepción'!$D$5,$E$1:$M$1,0)),0))</f>
        <v/>
      </c>
      <c r="O355" s="28">
        <f>IF(N355=0,0,IF(A355="S",1,IF(OR(B355='Recepción'!$D$9,B355='Recepción'!$F$9,B355='Recepción'!$D$10,AND(B355="Contacto con líquido",'Recepción'!$E$25="Sí"),AND(B355="Golpe / Caída",'Recepción'!$E$24="Sí"),AND(B355="No enciende",'Recepción'!$E$27="No")),1,0)))</f>
        <v/>
      </c>
      <c r="P355" s="28">
        <f>IF(O355=1,COUNTIF($O$2:O355,1),0)</f>
        <v/>
      </c>
    </row>
    <row r="356">
      <c r="N356" s="28">
        <f>IF(C356="",0,IFERROR(INDEX($E356:$M356,MATCH('Recepción'!$D$5,$E$1:$M$1,0)),0))</f>
        <v/>
      </c>
      <c r="O356" s="28">
        <f>IF(N356=0,0,IF(A356="S",1,IF(OR(B356='Recepción'!$D$9,B356='Recepción'!$F$9,B356='Recepción'!$D$10,AND(B356="Contacto con líquido",'Recepción'!$E$25="Sí"),AND(B356="Golpe / Caída",'Recepción'!$E$24="Sí"),AND(B356="No enciende",'Recepción'!$E$27="No")),1,0)))</f>
        <v/>
      </c>
      <c r="P356" s="28">
        <f>IF(O356=1,COUNTIF($O$2:O356,1),0)</f>
        <v/>
      </c>
    </row>
    <row r="357">
      <c r="N357" s="28">
        <f>IF(C357="",0,IFERROR(INDEX($E357:$M357,MATCH('Recepción'!$D$5,$E$1:$M$1,0)),0))</f>
        <v/>
      </c>
      <c r="O357" s="28">
        <f>IF(N357=0,0,IF(A357="S",1,IF(OR(B357='Recepción'!$D$9,B357='Recepción'!$F$9,B357='Recepción'!$D$10,AND(B357="Contacto con líquido",'Recepción'!$E$25="Sí"),AND(B357="Golpe / Caída",'Recepción'!$E$24="Sí"),AND(B357="No enciende",'Recepción'!$E$27="No")),1,0)))</f>
        <v/>
      </c>
      <c r="P357" s="28">
        <f>IF(O357=1,COUNTIF($O$2:O357,1),0)</f>
        <v/>
      </c>
    </row>
    <row r="358">
      <c r="N358" s="28">
        <f>IF(C358="",0,IFERROR(INDEX($E358:$M358,MATCH('Recepción'!$D$5,$E$1:$M$1,0)),0))</f>
        <v/>
      </c>
      <c r="O358" s="28">
        <f>IF(N358=0,0,IF(A358="S",1,IF(OR(B358='Recepción'!$D$9,B358='Recepción'!$F$9,B358='Recepción'!$D$10,AND(B358="Contacto con líquido",'Recepción'!$E$25="Sí"),AND(B358="Golpe / Caída",'Recepción'!$E$24="Sí"),AND(B358="No enciende",'Recepción'!$E$27="No")),1,0)))</f>
        <v/>
      </c>
      <c r="P358" s="28">
        <f>IF(O358=1,COUNTIF($O$2:O358,1),0)</f>
        <v/>
      </c>
    </row>
    <row r="359">
      <c r="N359" s="28">
        <f>IF(C359="",0,IFERROR(INDEX($E359:$M359,MATCH('Recepción'!$D$5,$E$1:$M$1,0)),0))</f>
        <v/>
      </c>
      <c r="O359" s="28">
        <f>IF(N359=0,0,IF(A359="S",1,IF(OR(B359='Recepción'!$D$9,B359='Recepción'!$F$9,B359='Recepción'!$D$10,AND(B359="Contacto con líquido",'Recepción'!$E$25="Sí"),AND(B359="Golpe / Caída",'Recepción'!$E$24="Sí"),AND(B359="No enciende",'Recepción'!$E$27="No")),1,0)))</f>
        <v/>
      </c>
      <c r="P359" s="28">
        <f>IF(O359=1,COUNTIF($O$2:O359,1),0)</f>
        <v/>
      </c>
    </row>
    <row r="360">
      <c r="N360" s="28">
        <f>IF(C360="",0,IFERROR(INDEX($E360:$M360,MATCH('Recepción'!$D$5,$E$1:$M$1,0)),0))</f>
        <v/>
      </c>
      <c r="O360" s="28">
        <f>IF(N360=0,0,IF(A360="S",1,IF(OR(B360='Recepción'!$D$9,B360='Recepción'!$F$9,B360='Recepción'!$D$10,AND(B360="Contacto con líquido",'Recepción'!$E$25="Sí"),AND(B360="Golpe / Caída",'Recepción'!$E$24="Sí"),AND(B360="No enciende",'Recepción'!$E$27="No")),1,0)))</f>
        <v/>
      </c>
      <c r="P360" s="28">
        <f>IF(O360=1,COUNTIF($O$2:O360,1),0)</f>
        <v/>
      </c>
    </row>
    <row r="361">
      <c r="N361" s="28">
        <f>IF(C361="",0,IFERROR(INDEX($E361:$M361,MATCH('Recepción'!$D$5,$E$1:$M$1,0)),0))</f>
        <v/>
      </c>
      <c r="O361" s="28">
        <f>IF(N361=0,0,IF(A361="S",1,IF(OR(B361='Recepción'!$D$9,B361='Recepción'!$F$9,B361='Recepción'!$D$10,AND(B361="Contacto con líquido",'Recepción'!$E$25="Sí"),AND(B361="Golpe / Caída",'Recepción'!$E$24="Sí"),AND(B361="No enciende",'Recepción'!$E$27="No")),1,0)))</f>
        <v/>
      </c>
      <c r="P361" s="28">
        <f>IF(O361=1,COUNTIF($O$2:O361,1),0)</f>
        <v/>
      </c>
    </row>
    <row r="362">
      <c r="N362" s="28">
        <f>IF(C362="",0,IFERROR(INDEX($E362:$M362,MATCH('Recepción'!$D$5,$E$1:$M$1,0)),0))</f>
        <v/>
      </c>
      <c r="O362" s="28">
        <f>IF(N362=0,0,IF(A362="S",1,IF(OR(B362='Recepción'!$D$9,B362='Recepción'!$F$9,B362='Recepción'!$D$10,AND(B362="Contacto con líquido",'Recepción'!$E$25="Sí"),AND(B362="Golpe / Caída",'Recepción'!$E$24="Sí"),AND(B362="No enciende",'Recepción'!$E$27="No")),1,0)))</f>
        <v/>
      </c>
      <c r="P362" s="28">
        <f>IF(O362=1,COUNTIF($O$2:O362,1),0)</f>
        <v/>
      </c>
    </row>
    <row r="363">
      <c r="N363" s="28">
        <f>IF(C363="",0,IFERROR(INDEX($E363:$M363,MATCH('Recepción'!$D$5,$E$1:$M$1,0)),0))</f>
        <v/>
      </c>
      <c r="O363" s="28">
        <f>IF(N363=0,0,IF(A363="S",1,IF(OR(B363='Recepción'!$D$9,B363='Recepción'!$F$9,B363='Recepción'!$D$10,AND(B363="Contacto con líquido",'Recepción'!$E$25="Sí"),AND(B363="Golpe / Caída",'Recepción'!$E$24="Sí"),AND(B363="No enciende",'Recepción'!$E$27="No")),1,0)))</f>
        <v/>
      </c>
      <c r="P363" s="28">
        <f>IF(O363=1,COUNTIF($O$2:O363,1),0)</f>
        <v/>
      </c>
    </row>
    <row r="364">
      <c r="N364" s="28">
        <f>IF(C364="",0,IFERROR(INDEX($E364:$M364,MATCH('Recepción'!$D$5,$E$1:$M$1,0)),0))</f>
        <v/>
      </c>
      <c r="O364" s="28">
        <f>IF(N364=0,0,IF(A364="S",1,IF(OR(B364='Recepción'!$D$9,B364='Recepción'!$F$9,B364='Recepción'!$D$10,AND(B364="Contacto con líquido",'Recepción'!$E$25="Sí"),AND(B364="Golpe / Caída",'Recepción'!$E$24="Sí"),AND(B364="No enciende",'Recepción'!$E$27="No")),1,0)))</f>
        <v/>
      </c>
      <c r="P364" s="28">
        <f>IF(O364=1,COUNTIF($O$2:O364,1),0)</f>
        <v/>
      </c>
    </row>
    <row r="365">
      <c r="N365" s="28">
        <f>IF(C365="",0,IFERROR(INDEX($E365:$M365,MATCH('Recepción'!$D$5,$E$1:$M$1,0)),0))</f>
        <v/>
      </c>
      <c r="O365" s="28">
        <f>IF(N365=0,0,IF(A365="S",1,IF(OR(B365='Recepción'!$D$9,B365='Recepción'!$F$9,B365='Recepción'!$D$10,AND(B365="Contacto con líquido",'Recepción'!$E$25="Sí"),AND(B365="Golpe / Caída",'Recepción'!$E$24="Sí"),AND(B365="No enciende",'Recepción'!$E$27="No")),1,0)))</f>
        <v/>
      </c>
      <c r="P365" s="28">
        <f>IF(O365=1,COUNTIF($O$2:O365,1),0)</f>
        <v/>
      </c>
    </row>
    <row r="366">
      <c r="N366" s="28">
        <f>IF(C366="",0,IFERROR(INDEX($E366:$M366,MATCH('Recepción'!$D$5,$E$1:$M$1,0)),0))</f>
        <v/>
      </c>
      <c r="O366" s="28">
        <f>IF(N366=0,0,IF(A366="S",1,IF(OR(B366='Recepción'!$D$9,B366='Recepción'!$F$9,B366='Recepción'!$D$10,AND(B366="Contacto con líquido",'Recepción'!$E$25="Sí"),AND(B366="Golpe / Caída",'Recepción'!$E$24="Sí"),AND(B366="No enciende",'Recepción'!$E$27="No")),1,0)))</f>
        <v/>
      </c>
      <c r="P366" s="28">
        <f>IF(O366=1,COUNTIF($O$2:O366,1),0)</f>
        <v/>
      </c>
    </row>
    <row r="367">
      <c r="N367" s="28">
        <f>IF(C367="",0,IFERROR(INDEX($E367:$M367,MATCH('Recepción'!$D$5,$E$1:$M$1,0)),0))</f>
        <v/>
      </c>
      <c r="O367" s="28">
        <f>IF(N367=0,0,IF(A367="S",1,IF(OR(B367='Recepción'!$D$9,B367='Recepción'!$F$9,B367='Recepción'!$D$10,AND(B367="Contacto con líquido",'Recepción'!$E$25="Sí"),AND(B367="Golpe / Caída",'Recepción'!$E$24="Sí"),AND(B367="No enciende",'Recepción'!$E$27="No")),1,0)))</f>
        <v/>
      </c>
      <c r="P367" s="28">
        <f>IF(O367=1,COUNTIF($O$2:O367,1),0)</f>
        <v/>
      </c>
    </row>
    <row r="368">
      <c r="N368" s="28">
        <f>IF(C368="",0,IFERROR(INDEX($E368:$M368,MATCH('Recepción'!$D$5,$E$1:$M$1,0)),0))</f>
        <v/>
      </c>
      <c r="O368" s="28">
        <f>IF(N368=0,0,IF(A368="S",1,IF(OR(B368='Recepción'!$D$9,B368='Recepción'!$F$9,B368='Recepción'!$D$10,AND(B368="Contacto con líquido",'Recepción'!$E$25="Sí"),AND(B368="Golpe / Caída",'Recepción'!$E$24="Sí"),AND(B368="No enciende",'Recepción'!$E$27="No")),1,0)))</f>
        <v/>
      </c>
      <c r="P368" s="28">
        <f>IF(O368=1,COUNTIF($O$2:O368,1),0)</f>
        <v/>
      </c>
    </row>
    <row r="369">
      <c r="N369" s="28">
        <f>IF(C369="",0,IFERROR(INDEX($E369:$M369,MATCH('Recepción'!$D$5,$E$1:$M$1,0)),0))</f>
        <v/>
      </c>
      <c r="O369" s="28">
        <f>IF(N369=0,0,IF(A369="S",1,IF(OR(B369='Recepción'!$D$9,B369='Recepción'!$F$9,B369='Recepción'!$D$10,AND(B369="Contacto con líquido",'Recepción'!$E$25="Sí"),AND(B369="Golpe / Caída",'Recepción'!$E$24="Sí"),AND(B369="No enciende",'Recepción'!$E$27="No")),1,0)))</f>
        <v/>
      </c>
      <c r="P369" s="28">
        <f>IF(O369=1,COUNTIF($O$2:O369,1),0)</f>
        <v/>
      </c>
    </row>
    <row r="370">
      <c r="N370" s="28">
        <f>IF(C370="",0,IFERROR(INDEX($E370:$M370,MATCH('Recepción'!$D$5,$E$1:$M$1,0)),0))</f>
        <v/>
      </c>
      <c r="O370" s="28">
        <f>IF(N370=0,0,IF(A370="S",1,IF(OR(B370='Recepción'!$D$9,B370='Recepción'!$F$9,B370='Recepción'!$D$10,AND(B370="Contacto con líquido",'Recepción'!$E$25="Sí"),AND(B370="Golpe / Caída",'Recepción'!$E$24="Sí"),AND(B370="No enciende",'Recepción'!$E$27="No")),1,0)))</f>
        <v/>
      </c>
      <c r="P370" s="28">
        <f>IF(O370=1,COUNTIF($O$2:O370,1),0)</f>
        <v/>
      </c>
    </row>
    <row r="371">
      <c r="N371" s="28">
        <f>IF(C371="",0,IFERROR(INDEX($E371:$M371,MATCH('Recepción'!$D$5,$E$1:$M$1,0)),0))</f>
        <v/>
      </c>
      <c r="O371" s="28">
        <f>IF(N371=0,0,IF(A371="S",1,IF(OR(B371='Recepción'!$D$9,B371='Recepción'!$F$9,B371='Recepción'!$D$10,AND(B371="Contacto con líquido",'Recepción'!$E$25="Sí"),AND(B371="Golpe / Caída",'Recepción'!$E$24="Sí"),AND(B371="No enciende",'Recepción'!$E$27="No")),1,0)))</f>
        <v/>
      </c>
      <c r="P371" s="28">
        <f>IF(O371=1,COUNTIF($O$2:O371,1),0)</f>
        <v/>
      </c>
    </row>
    <row r="372">
      <c r="N372" s="28">
        <f>IF(C372="",0,IFERROR(INDEX($E372:$M372,MATCH('Recepción'!$D$5,$E$1:$M$1,0)),0))</f>
        <v/>
      </c>
      <c r="O372" s="28">
        <f>IF(N372=0,0,IF(A372="S",1,IF(OR(B372='Recepción'!$D$9,B372='Recepción'!$F$9,B372='Recepción'!$D$10,AND(B372="Contacto con líquido",'Recepción'!$E$25="Sí"),AND(B372="Golpe / Caída",'Recepción'!$E$24="Sí"),AND(B372="No enciende",'Recepción'!$E$27="No")),1,0)))</f>
        <v/>
      </c>
      <c r="P372" s="28">
        <f>IF(O372=1,COUNTIF($O$2:O372,1),0)</f>
        <v/>
      </c>
    </row>
    <row r="373">
      <c r="N373" s="28">
        <f>IF(C373="",0,IFERROR(INDEX($E373:$M373,MATCH('Recepción'!$D$5,$E$1:$M$1,0)),0))</f>
        <v/>
      </c>
      <c r="O373" s="28">
        <f>IF(N373=0,0,IF(A373="S",1,IF(OR(B373='Recepción'!$D$9,B373='Recepción'!$F$9,B373='Recepción'!$D$10,AND(B373="Contacto con líquido",'Recepción'!$E$25="Sí"),AND(B373="Golpe / Caída",'Recepción'!$E$24="Sí"),AND(B373="No enciende",'Recepción'!$E$27="No")),1,0)))</f>
        <v/>
      </c>
      <c r="P373" s="28">
        <f>IF(O373=1,COUNTIF($O$2:O373,1),0)</f>
        <v/>
      </c>
    </row>
    <row r="374">
      <c r="N374" s="28">
        <f>IF(C374="",0,IFERROR(INDEX($E374:$M374,MATCH('Recepción'!$D$5,$E$1:$M$1,0)),0))</f>
        <v/>
      </c>
      <c r="O374" s="28">
        <f>IF(N374=0,0,IF(A374="S",1,IF(OR(B374='Recepción'!$D$9,B374='Recepción'!$F$9,B374='Recepción'!$D$10,AND(B374="Contacto con líquido",'Recepción'!$E$25="Sí"),AND(B374="Golpe / Caída",'Recepción'!$E$24="Sí"),AND(B374="No enciende",'Recepción'!$E$27="No")),1,0)))</f>
        <v/>
      </c>
      <c r="P374" s="28">
        <f>IF(O374=1,COUNTIF($O$2:O374,1),0)</f>
        <v/>
      </c>
    </row>
    <row r="375">
      <c r="N375" s="28">
        <f>IF(C375="",0,IFERROR(INDEX($E375:$M375,MATCH('Recepción'!$D$5,$E$1:$M$1,0)),0))</f>
        <v/>
      </c>
      <c r="O375" s="28">
        <f>IF(N375=0,0,IF(A375="S",1,IF(OR(B375='Recepción'!$D$9,B375='Recepción'!$F$9,B375='Recepción'!$D$10,AND(B375="Contacto con líquido",'Recepción'!$E$25="Sí"),AND(B375="Golpe / Caída",'Recepción'!$E$24="Sí"),AND(B375="No enciende",'Recepción'!$E$27="No")),1,0)))</f>
        <v/>
      </c>
      <c r="P375" s="28">
        <f>IF(O375=1,COUNTIF($O$2:O375,1),0)</f>
        <v/>
      </c>
    </row>
    <row r="376">
      <c r="N376" s="28">
        <f>IF(C376="",0,IFERROR(INDEX($E376:$M376,MATCH('Recepción'!$D$5,$E$1:$M$1,0)),0))</f>
        <v/>
      </c>
      <c r="O376" s="28">
        <f>IF(N376=0,0,IF(A376="S",1,IF(OR(B376='Recepción'!$D$9,B376='Recepción'!$F$9,B376='Recepción'!$D$10,AND(B376="Contacto con líquido",'Recepción'!$E$25="Sí"),AND(B376="Golpe / Caída",'Recepción'!$E$24="Sí"),AND(B376="No enciende",'Recepción'!$E$27="No")),1,0)))</f>
        <v/>
      </c>
      <c r="P376" s="28">
        <f>IF(O376=1,COUNTIF($O$2:O376,1),0)</f>
        <v/>
      </c>
    </row>
    <row r="377">
      <c r="N377" s="28">
        <f>IF(C377="",0,IFERROR(INDEX($E377:$M377,MATCH('Recepción'!$D$5,$E$1:$M$1,0)),0))</f>
        <v/>
      </c>
      <c r="O377" s="28">
        <f>IF(N377=0,0,IF(A377="S",1,IF(OR(B377='Recepción'!$D$9,B377='Recepción'!$F$9,B377='Recepción'!$D$10,AND(B377="Contacto con líquido",'Recepción'!$E$25="Sí"),AND(B377="Golpe / Caída",'Recepción'!$E$24="Sí"),AND(B377="No enciende",'Recepción'!$E$27="No")),1,0)))</f>
        <v/>
      </c>
      <c r="P377" s="28">
        <f>IF(O377=1,COUNTIF($O$2:O377,1),0)</f>
        <v/>
      </c>
    </row>
    <row r="378">
      <c r="N378" s="28">
        <f>IF(C378="",0,IFERROR(INDEX($E378:$M378,MATCH('Recepción'!$D$5,$E$1:$M$1,0)),0))</f>
        <v/>
      </c>
      <c r="O378" s="28">
        <f>IF(N378=0,0,IF(A378="S",1,IF(OR(B378='Recepción'!$D$9,B378='Recepción'!$F$9,B378='Recepción'!$D$10,AND(B378="Contacto con líquido",'Recepción'!$E$25="Sí"),AND(B378="Golpe / Caída",'Recepción'!$E$24="Sí"),AND(B378="No enciende",'Recepción'!$E$27="No")),1,0)))</f>
        <v/>
      </c>
      <c r="P378" s="28">
        <f>IF(O378=1,COUNTIF($O$2:O378,1),0)</f>
        <v/>
      </c>
    </row>
    <row r="379">
      <c r="N379" s="28">
        <f>IF(C379="",0,IFERROR(INDEX($E379:$M379,MATCH('Recepción'!$D$5,$E$1:$M$1,0)),0))</f>
        <v/>
      </c>
      <c r="O379" s="28">
        <f>IF(N379=0,0,IF(A379="S",1,IF(OR(B379='Recepción'!$D$9,B379='Recepción'!$F$9,B379='Recepción'!$D$10,AND(B379="Contacto con líquido",'Recepción'!$E$25="Sí"),AND(B379="Golpe / Caída",'Recepción'!$E$24="Sí"),AND(B379="No enciende",'Recepción'!$E$27="No")),1,0)))</f>
        <v/>
      </c>
      <c r="P379" s="28">
        <f>IF(O379=1,COUNTIF($O$2:O379,1),0)</f>
        <v/>
      </c>
    </row>
    <row r="380">
      <c r="N380" s="28">
        <f>IF(C380="",0,IFERROR(INDEX($E380:$M380,MATCH('Recepción'!$D$5,$E$1:$M$1,0)),0))</f>
        <v/>
      </c>
      <c r="O380" s="28">
        <f>IF(N380=0,0,IF(A380="S",1,IF(OR(B380='Recepción'!$D$9,B380='Recepción'!$F$9,B380='Recepción'!$D$10,AND(B380="Contacto con líquido",'Recepción'!$E$25="Sí"),AND(B380="Golpe / Caída",'Recepción'!$E$24="Sí"),AND(B380="No enciende",'Recepción'!$E$27="No")),1,0)))</f>
        <v/>
      </c>
      <c r="P380" s="28">
        <f>IF(O380=1,COUNTIF($O$2:O380,1),0)</f>
        <v/>
      </c>
    </row>
    <row r="381">
      <c r="N381" s="28">
        <f>IF(C381="",0,IFERROR(INDEX($E381:$M381,MATCH('Recepción'!$D$5,$E$1:$M$1,0)),0))</f>
        <v/>
      </c>
      <c r="O381" s="28">
        <f>IF(N381=0,0,IF(A381="S",1,IF(OR(B381='Recepción'!$D$9,B381='Recepción'!$F$9,B381='Recepción'!$D$10,AND(B381="Contacto con líquido",'Recepción'!$E$25="Sí"),AND(B381="Golpe / Caída",'Recepción'!$E$24="Sí"),AND(B381="No enciende",'Recepción'!$E$27="No")),1,0)))</f>
        <v/>
      </c>
      <c r="P381" s="28">
        <f>IF(O381=1,COUNTIF($O$2:O381,1),0)</f>
        <v/>
      </c>
    </row>
    <row r="382">
      <c r="N382" s="28">
        <f>IF(C382="",0,IFERROR(INDEX($E382:$M382,MATCH('Recepción'!$D$5,$E$1:$M$1,0)),0))</f>
        <v/>
      </c>
      <c r="O382" s="28">
        <f>IF(N382=0,0,IF(A382="S",1,IF(OR(B382='Recepción'!$D$9,B382='Recepción'!$F$9,B382='Recepción'!$D$10,AND(B382="Contacto con líquido",'Recepción'!$E$25="Sí"),AND(B382="Golpe / Caída",'Recepción'!$E$24="Sí"),AND(B382="No enciende",'Recepción'!$E$27="No")),1,0)))</f>
        <v/>
      </c>
      <c r="P382" s="28">
        <f>IF(O382=1,COUNTIF($O$2:O382,1),0)</f>
        <v/>
      </c>
    </row>
    <row r="383">
      <c r="N383" s="28">
        <f>IF(C383="",0,IFERROR(INDEX($E383:$M383,MATCH('Recepción'!$D$5,$E$1:$M$1,0)),0))</f>
        <v/>
      </c>
      <c r="O383" s="28">
        <f>IF(N383=0,0,IF(A383="S",1,IF(OR(B383='Recepción'!$D$9,B383='Recepción'!$F$9,B383='Recepción'!$D$10,AND(B383="Contacto con líquido",'Recepción'!$E$25="Sí"),AND(B383="Golpe / Caída",'Recepción'!$E$24="Sí"),AND(B383="No enciende",'Recepción'!$E$27="No")),1,0)))</f>
        <v/>
      </c>
      <c r="P383" s="28">
        <f>IF(O383=1,COUNTIF($O$2:O383,1),0)</f>
        <v/>
      </c>
    </row>
    <row r="384">
      <c r="N384" s="28">
        <f>IF(C384="",0,IFERROR(INDEX($E384:$M384,MATCH('Recepción'!$D$5,$E$1:$M$1,0)),0))</f>
        <v/>
      </c>
      <c r="O384" s="28">
        <f>IF(N384=0,0,IF(A384="S",1,IF(OR(B384='Recepción'!$D$9,B384='Recepción'!$F$9,B384='Recepción'!$D$10,AND(B384="Contacto con líquido",'Recepción'!$E$25="Sí"),AND(B384="Golpe / Caída",'Recepción'!$E$24="Sí"),AND(B384="No enciende",'Recepción'!$E$27="No")),1,0)))</f>
        <v/>
      </c>
      <c r="P384" s="28">
        <f>IF(O384=1,COUNTIF($O$2:O384,1),0)</f>
        <v/>
      </c>
    </row>
    <row r="385">
      <c r="N385" s="28">
        <f>IF(C385="",0,IFERROR(INDEX($E385:$M385,MATCH('Recepción'!$D$5,$E$1:$M$1,0)),0))</f>
        <v/>
      </c>
      <c r="O385" s="28">
        <f>IF(N385=0,0,IF(A385="S",1,IF(OR(B385='Recepción'!$D$9,B385='Recepción'!$F$9,B385='Recepción'!$D$10,AND(B385="Contacto con líquido",'Recepción'!$E$25="Sí"),AND(B385="Golpe / Caída",'Recepción'!$E$24="Sí"),AND(B385="No enciende",'Recepción'!$E$27="No")),1,0)))</f>
        <v/>
      </c>
      <c r="P385" s="28">
        <f>IF(O385=1,COUNTIF($O$2:O385,1),0)</f>
        <v/>
      </c>
    </row>
    <row r="386">
      <c r="N386" s="28">
        <f>IF(C386="",0,IFERROR(INDEX($E386:$M386,MATCH('Recepción'!$D$5,$E$1:$M$1,0)),0))</f>
        <v/>
      </c>
      <c r="O386" s="28">
        <f>IF(N386=0,0,IF(A386="S",1,IF(OR(B386='Recepción'!$D$9,B386='Recepción'!$F$9,B386='Recepción'!$D$10,AND(B386="Contacto con líquido",'Recepción'!$E$25="Sí"),AND(B386="Golpe / Caída",'Recepción'!$E$24="Sí"),AND(B386="No enciende",'Recepción'!$E$27="No")),1,0)))</f>
        <v/>
      </c>
      <c r="P386" s="28">
        <f>IF(O386=1,COUNTIF($O$2:O386,1),0)</f>
        <v/>
      </c>
    </row>
    <row r="387">
      <c r="N387" s="28">
        <f>IF(C387="",0,IFERROR(INDEX($E387:$M387,MATCH('Recepción'!$D$5,$E$1:$M$1,0)),0))</f>
        <v/>
      </c>
      <c r="O387" s="28">
        <f>IF(N387=0,0,IF(A387="S",1,IF(OR(B387='Recepción'!$D$9,B387='Recepción'!$F$9,B387='Recepción'!$D$10,AND(B387="Contacto con líquido",'Recepción'!$E$25="Sí"),AND(B387="Golpe / Caída",'Recepción'!$E$24="Sí"),AND(B387="No enciende",'Recepción'!$E$27="No")),1,0)))</f>
        <v/>
      </c>
      <c r="P387" s="28">
        <f>IF(O387=1,COUNTIF($O$2:O387,1),0)</f>
        <v/>
      </c>
    </row>
    <row r="388">
      <c r="N388" s="28">
        <f>IF(C388="",0,IFERROR(INDEX($E388:$M388,MATCH('Recepción'!$D$5,$E$1:$M$1,0)),0))</f>
        <v/>
      </c>
      <c r="O388" s="28">
        <f>IF(N388=0,0,IF(A388="S",1,IF(OR(B388='Recepción'!$D$9,B388='Recepción'!$F$9,B388='Recepción'!$D$10,AND(B388="Contacto con líquido",'Recepción'!$E$25="Sí"),AND(B388="Golpe / Caída",'Recepción'!$E$24="Sí"),AND(B388="No enciende",'Recepción'!$E$27="No")),1,0)))</f>
        <v/>
      </c>
      <c r="P388" s="28">
        <f>IF(O388=1,COUNTIF($O$2:O388,1),0)</f>
        <v/>
      </c>
    </row>
    <row r="389">
      <c r="N389" s="28">
        <f>IF(C389="",0,IFERROR(INDEX($E389:$M389,MATCH('Recepción'!$D$5,$E$1:$M$1,0)),0))</f>
        <v/>
      </c>
      <c r="O389" s="28">
        <f>IF(N389=0,0,IF(A389="S",1,IF(OR(B389='Recepción'!$D$9,B389='Recepción'!$F$9,B389='Recepción'!$D$10,AND(B389="Contacto con líquido",'Recepción'!$E$25="Sí"),AND(B389="Golpe / Caída",'Recepción'!$E$24="Sí"),AND(B389="No enciende",'Recepción'!$E$27="No")),1,0)))</f>
        <v/>
      </c>
      <c r="P389" s="28">
        <f>IF(O389=1,COUNTIF($O$2:O389,1),0)</f>
        <v/>
      </c>
    </row>
    <row r="390">
      <c r="N390" s="28">
        <f>IF(C390="",0,IFERROR(INDEX($E390:$M390,MATCH('Recepción'!$D$5,$E$1:$M$1,0)),0))</f>
        <v/>
      </c>
      <c r="O390" s="28">
        <f>IF(N390=0,0,IF(A390="S",1,IF(OR(B390='Recepción'!$D$9,B390='Recepción'!$F$9,B390='Recepción'!$D$10,AND(B390="Contacto con líquido",'Recepción'!$E$25="Sí"),AND(B390="Golpe / Caída",'Recepción'!$E$24="Sí"),AND(B390="No enciende",'Recepción'!$E$27="No")),1,0)))</f>
        <v/>
      </c>
      <c r="P390" s="28">
        <f>IF(O390=1,COUNTIF($O$2:O390,1),0)</f>
        <v/>
      </c>
    </row>
    <row r="391">
      <c r="N391" s="28">
        <f>IF(C391="",0,IFERROR(INDEX($E391:$M391,MATCH('Recepción'!$D$5,$E$1:$M$1,0)),0))</f>
        <v/>
      </c>
      <c r="O391" s="28">
        <f>IF(N391=0,0,IF(A391="S",1,IF(OR(B391='Recepción'!$D$9,B391='Recepción'!$F$9,B391='Recepción'!$D$10,AND(B391="Contacto con líquido",'Recepción'!$E$25="Sí"),AND(B391="Golpe / Caída",'Recepción'!$E$24="Sí"),AND(B391="No enciende",'Recepción'!$E$27="No")),1,0)))</f>
        <v/>
      </c>
      <c r="P391" s="28">
        <f>IF(O391=1,COUNTIF($O$2:O391,1),0)</f>
        <v/>
      </c>
    </row>
    <row r="392">
      <c r="N392" s="28">
        <f>IF(C392="",0,IFERROR(INDEX($E392:$M392,MATCH('Recepción'!$D$5,$E$1:$M$1,0)),0))</f>
        <v/>
      </c>
      <c r="O392" s="28">
        <f>IF(N392=0,0,IF(A392="S",1,IF(OR(B392='Recepción'!$D$9,B392='Recepción'!$F$9,B392='Recepción'!$D$10,AND(B392="Contacto con líquido",'Recepción'!$E$25="Sí"),AND(B392="Golpe / Caída",'Recepción'!$E$24="Sí"),AND(B392="No enciende",'Recepción'!$E$27="No")),1,0)))</f>
        <v/>
      </c>
      <c r="P392" s="28">
        <f>IF(O392=1,COUNTIF($O$2:O392,1),0)</f>
        <v/>
      </c>
    </row>
    <row r="393">
      <c r="N393" s="28">
        <f>IF(C393="",0,IFERROR(INDEX($E393:$M393,MATCH('Recepción'!$D$5,$E$1:$M$1,0)),0))</f>
        <v/>
      </c>
      <c r="O393" s="28">
        <f>IF(N393=0,0,IF(A393="S",1,IF(OR(B393='Recepción'!$D$9,B393='Recepción'!$F$9,B393='Recepción'!$D$10,AND(B393="Contacto con líquido",'Recepción'!$E$25="Sí"),AND(B393="Golpe / Caída",'Recepción'!$E$24="Sí"),AND(B393="No enciende",'Recepción'!$E$27="No")),1,0)))</f>
        <v/>
      </c>
      <c r="P393" s="28">
        <f>IF(O393=1,COUNTIF($O$2:O393,1),0)</f>
        <v/>
      </c>
    </row>
    <row r="394">
      <c r="N394" s="28">
        <f>IF(C394="",0,IFERROR(INDEX($E394:$M394,MATCH('Recepción'!$D$5,$E$1:$M$1,0)),0))</f>
        <v/>
      </c>
      <c r="O394" s="28">
        <f>IF(N394=0,0,IF(A394="S",1,IF(OR(B394='Recepción'!$D$9,B394='Recepción'!$F$9,B394='Recepción'!$D$10,AND(B394="Contacto con líquido",'Recepción'!$E$25="Sí"),AND(B394="Golpe / Caída",'Recepción'!$E$24="Sí"),AND(B394="No enciende",'Recepción'!$E$27="No")),1,0)))</f>
        <v/>
      </c>
      <c r="P394" s="28">
        <f>IF(O394=1,COUNTIF($O$2:O394,1),0)</f>
        <v/>
      </c>
    </row>
    <row r="395">
      <c r="N395" s="28">
        <f>IF(C395="",0,IFERROR(INDEX($E395:$M395,MATCH('Recepción'!$D$5,$E$1:$M$1,0)),0))</f>
        <v/>
      </c>
      <c r="O395" s="28">
        <f>IF(N395=0,0,IF(A395="S",1,IF(OR(B395='Recepción'!$D$9,B395='Recepción'!$F$9,B395='Recepción'!$D$10,AND(B395="Contacto con líquido",'Recepción'!$E$25="Sí"),AND(B395="Golpe / Caída",'Recepción'!$E$24="Sí"),AND(B395="No enciende",'Recepción'!$E$27="No")),1,0)))</f>
        <v/>
      </c>
      <c r="P395" s="28">
        <f>IF(O395=1,COUNTIF($O$2:O395,1),0)</f>
        <v/>
      </c>
    </row>
    <row r="396">
      <c r="N396" s="28">
        <f>IF(C396="",0,IFERROR(INDEX($E396:$M396,MATCH('Recepción'!$D$5,$E$1:$M$1,0)),0))</f>
        <v/>
      </c>
      <c r="O396" s="28">
        <f>IF(N396=0,0,IF(A396="S",1,IF(OR(B396='Recepción'!$D$9,B396='Recepción'!$F$9,B396='Recepción'!$D$10,AND(B396="Contacto con líquido",'Recepción'!$E$25="Sí"),AND(B396="Golpe / Caída",'Recepción'!$E$24="Sí"),AND(B396="No enciende",'Recepción'!$E$27="No")),1,0)))</f>
        <v/>
      </c>
      <c r="P396" s="28">
        <f>IF(O396=1,COUNTIF($O$2:O396,1),0)</f>
        <v/>
      </c>
    </row>
    <row r="397">
      <c r="N397" s="28">
        <f>IF(C397="",0,IFERROR(INDEX($E397:$M397,MATCH('Recepción'!$D$5,$E$1:$M$1,0)),0))</f>
        <v/>
      </c>
      <c r="O397" s="28">
        <f>IF(N397=0,0,IF(A397="S",1,IF(OR(B397='Recepción'!$D$9,B397='Recepción'!$F$9,B397='Recepción'!$D$10,AND(B397="Contacto con líquido",'Recepción'!$E$25="Sí"),AND(B397="Golpe / Caída",'Recepción'!$E$24="Sí"),AND(B397="No enciende",'Recepción'!$E$27="No")),1,0)))</f>
        <v/>
      </c>
      <c r="P397" s="28">
        <f>IF(O397=1,COUNTIF($O$2:O397,1),0)</f>
        <v/>
      </c>
    </row>
    <row r="398">
      <c r="N398" s="28">
        <f>IF(C398="",0,IFERROR(INDEX($E398:$M398,MATCH('Recepción'!$D$5,$E$1:$M$1,0)),0))</f>
        <v/>
      </c>
      <c r="O398" s="28">
        <f>IF(N398=0,0,IF(A398="S",1,IF(OR(B398='Recepción'!$D$9,B398='Recepción'!$F$9,B398='Recepción'!$D$10,AND(B398="Contacto con líquido",'Recepción'!$E$25="Sí"),AND(B398="Golpe / Caída",'Recepción'!$E$24="Sí"),AND(B398="No enciende",'Recepción'!$E$27="No")),1,0)))</f>
        <v/>
      </c>
      <c r="P398" s="28">
        <f>IF(O398=1,COUNTIF($O$2:O398,1),0)</f>
        <v/>
      </c>
    </row>
    <row r="399">
      <c r="N399" s="28">
        <f>IF(C399="",0,IFERROR(INDEX($E399:$M399,MATCH('Recepción'!$D$5,$E$1:$M$1,0)),0))</f>
        <v/>
      </c>
      <c r="O399" s="28">
        <f>IF(N399=0,0,IF(A399="S",1,IF(OR(B399='Recepción'!$D$9,B399='Recepción'!$F$9,B399='Recepción'!$D$10,AND(B399="Contacto con líquido",'Recepción'!$E$25="Sí"),AND(B399="Golpe / Caída",'Recepción'!$E$24="Sí"),AND(B399="No enciende",'Recepción'!$E$27="No")),1,0)))</f>
        <v/>
      </c>
      <c r="P399" s="28">
        <f>IF(O399=1,COUNTIF($O$2:O399,1),0)</f>
        <v/>
      </c>
    </row>
    <row r="400">
      <c r="N400" s="28">
        <f>IF(C400="",0,IFERROR(INDEX($E400:$M400,MATCH('Recepción'!$D$5,$E$1:$M$1,0)),0))</f>
        <v/>
      </c>
      <c r="O400" s="28">
        <f>IF(N400=0,0,IF(A400="S",1,IF(OR(B400='Recepción'!$D$9,B400='Recepción'!$F$9,B400='Recepción'!$D$10,AND(B400="Contacto con líquido",'Recepción'!$E$25="Sí"),AND(B400="Golpe / Caída",'Recepción'!$E$24="Sí"),AND(B400="No enciende",'Recepción'!$E$27="No")),1,0)))</f>
        <v/>
      </c>
      <c r="P400" s="28">
        <f>IF(O400=1,COUNTIF($O$2:O400,1),0)</f>
        <v/>
      </c>
    </row>
  </sheetData>
  <autoFilter ref="A1:P264"/>
  <dataValidations count="1">
    <dataValidation sqref="E2:M400" showDropDown="0" showInputMessage="0" showErrorMessage="0" allowBlank="1" type="list">
      <formula1>"1,0"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5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  <col width="26" customWidth="1" min="23" max="23"/>
    <col width="26" customWidth="1" min="24" max="24"/>
    <col width="26" customWidth="1" min="25" max="25"/>
    <col width="26" customWidth="1" min="26" max="26"/>
    <col width="26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</cols>
  <sheetData>
    <row r="1">
      <c r="A1" s="29" t="inlineStr">
        <is>
          <t>Tipo de equipo</t>
        </is>
      </c>
      <c r="B1" s="29" t="inlineStr">
        <is>
          <t>Clave</t>
        </is>
      </c>
      <c r="D1" s="29" t="inlineStr">
        <is>
          <t>L_SN</t>
        </is>
      </c>
      <c r="E1" s="29" t="inlineStr">
        <is>
          <t>L_SNS</t>
        </is>
      </c>
      <c r="F1" s="29" t="inlineStr">
        <is>
          <t>L_SNI</t>
        </is>
      </c>
      <c r="G1" s="29" t="inlineStr">
        <is>
          <t>L_PI</t>
        </is>
      </c>
      <c r="H1" s="29" t="inlineStr">
        <is>
          <t>L_SNC</t>
        </is>
      </c>
      <c r="I1" s="29" t="inlineStr">
        <is>
          <t>L_OKF</t>
        </is>
      </c>
      <c r="J1" s="29" t="inlineStr">
        <is>
          <t>L_PR</t>
        </is>
      </c>
      <c r="K1" s="29" t="inlineStr">
        <is>
          <t>L_FOTO</t>
        </is>
      </c>
      <c r="L1" s="29" t="inlineStr">
        <is>
          <t>L_LIQ</t>
        </is>
      </c>
      <c r="M1" s="29" t="inlineStr">
        <is>
          <t>L_CUANDO</t>
        </is>
      </c>
      <c r="N1" s="29" t="inlineStr">
        <is>
          <t>L_MOM</t>
        </is>
      </c>
      <c r="O1" s="29" t="inlineStr">
        <is>
          <t>L_PIN</t>
        </is>
      </c>
      <c r="P1" s="29" t="inlineStr">
        <is>
          <t>L_AUT</t>
        </is>
      </c>
      <c r="Q1" s="29" t="inlineStr">
        <is>
          <t>L_E_PANT</t>
        </is>
      </c>
      <c r="R1" s="29" t="inlineStr">
        <is>
          <t>L_E_CARC</t>
        </is>
      </c>
      <c r="S1" s="29" t="inlineStr">
        <is>
          <t>L_E_TORN</t>
        </is>
      </c>
      <c r="T1" s="29" t="inlineStr">
        <is>
          <t>L_E_BIS</t>
        </is>
      </c>
      <c r="U1" s="29" t="inlineStr">
        <is>
          <t>L_E_GEN</t>
        </is>
      </c>
      <c r="V1" s="29" t="inlineStr">
        <is>
          <t>L_TXT</t>
        </is>
      </c>
      <c r="X1" s="29" t="inlineStr">
        <is>
          <t>F_Celular</t>
        </is>
      </c>
      <c r="Y1" s="29" t="inlineStr">
        <is>
          <t>F_Tablet</t>
        </is>
      </c>
      <c r="Z1" s="29" t="inlineStr">
        <is>
          <t>F_Reloj</t>
        </is>
      </c>
      <c r="AA1" s="29" t="inlineStr">
        <is>
          <t>F_Laptop</t>
        </is>
      </c>
      <c r="AB1" s="29" t="inlineStr">
        <is>
          <t>F_PC</t>
        </is>
      </c>
      <c r="AC1" s="29" t="inlineStr">
        <is>
          <t>F_MacBook</t>
        </is>
      </c>
      <c r="AD1" s="29" t="inlineStr">
        <is>
          <t>F_iMac</t>
        </is>
      </c>
      <c r="AE1" s="29" t="inlineStr">
        <is>
          <t>F_Consola</t>
        </is>
      </c>
      <c r="AF1" s="29" t="inlineStr">
        <is>
          <t>F_Otro</t>
        </is>
      </c>
    </row>
    <row r="2">
      <c r="A2" s="30" t="inlineStr">
        <is>
          <t>Celular</t>
        </is>
      </c>
      <c r="B2" s="30" t="inlineStr">
        <is>
          <t>Celular</t>
        </is>
      </c>
      <c r="D2" s="30" t="inlineStr">
        <is>
          <t>Sí</t>
        </is>
      </c>
      <c r="E2" s="30" t="inlineStr">
        <is>
          <t>Sí</t>
        </is>
      </c>
      <c r="F2" s="30" t="inlineStr">
        <is>
          <t>Sí</t>
        </is>
      </c>
      <c r="G2" s="30" t="inlineStr">
        <is>
          <t>Permanente</t>
        </is>
      </c>
      <c r="H2" s="30" t="inlineStr">
        <is>
          <t>Sí</t>
        </is>
      </c>
      <c r="I2" s="30" t="inlineStr">
        <is>
          <t>Funciona</t>
        </is>
      </c>
      <c r="J2" s="30" t="inlineStr">
        <is>
          <t>Entregado</t>
        </is>
      </c>
      <c r="K2" s="30" t="inlineStr">
        <is>
          <t>Tomada</t>
        </is>
      </c>
      <c r="L2" s="30" t="inlineStr">
        <is>
          <t>Agua</t>
        </is>
      </c>
      <c r="M2" s="30" t="inlineStr">
        <is>
          <t>Hoy</t>
        </is>
      </c>
      <c r="N2" s="30" t="inlineStr">
        <is>
          <t>Uso normal</t>
        </is>
      </c>
      <c r="O2" s="30" t="inlineStr">
        <is>
          <t>Proporcionado</t>
        </is>
      </c>
      <c r="P2" s="30" t="inlineStr">
        <is>
          <t>Acepta</t>
        </is>
      </c>
      <c r="Q2" s="30" t="inlineStr">
        <is>
          <t>Sin daño</t>
        </is>
      </c>
      <c r="R2" s="30" t="inlineStr">
        <is>
          <t>Buen estado</t>
        </is>
      </c>
      <c r="S2" s="30" t="inlineStr">
        <is>
          <t>Completos</t>
        </is>
      </c>
      <c r="T2" s="30" t="inlineStr">
        <is>
          <t>Buen estado</t>
        </is>
      </c>
      <c r="U2" s="30" t="inlineStr">
        <is>
          <t>Buen estado</t>
        </is>
      </c>
      <c r="V2" s="30" t="inlineStr">
        <is>
          <t>(escriba libremente)</t>
        </is>
      </c>
      <c r="X2" s="30" t="inlineStr">
        <is>
          <t>No enciende</t>
        </is>
      </c>
      <c r="Y2" s="30" t="inlineStr">
        <is>
          <t>No enciende</t>
        </is>
      </c>
      <c r="Z2" s="30" t="inlineStr">
        <is>
          <t>No enciende</t>
        </is>
      </c>
      <c r="AA2" s="30" t="inlineStr">
        <is>
          <t>No enciende</t>
        </is>
      </c>
      <c r="AB2" s="30" t="inlineStr">
        <is>
          <t>No enciende</t>
        </is>
      </c>
      <c r="AC2" s="30" t="inlineStr">
        <is>
          <t>No enciende</t>
        </is>
      </c>
      <c r="AD2" s="30" t="inlineStr">
        <is>
          <t>No enciende</t>
        </is>
      </c>
      <c r="AE2" s="30" t="inlineStr">
        <is>
          <t>No enciende</t>
        </is>
      </c>
      <c r="AF2" s="30" t="inlineStr">
        <is>
          <t>No enciende</t>
        </is>
      </c>
    </row>
    <row r="3">
      <c r="A3" s="30" t="inlineStr">
        <is>
          <t>Tablet</t>
        </is>
      </c>
      <c r="B3" s="30" t="inlineStr">
        <is>
          <t>Tablet</t>
        </is>
      </c>
      <c r="D3" s="30" t="inlineStr">
        <is>
          <t>No</t>
        </is>
      </c>
      <c r="E3" s="30" t="inlineStr">
        <is>
          <t>No</t>
        </is>
      </c>
      <c r="F3" s="30" t="inlineStr">
        <is>
          <t>No</t>
        </is>
      </c>
      <c r="G3" s="30" t="inlineStr">
        <is>
          <t>Intermitente</t>
        </is>
      </c>
      <c r="H3" s="30" t="inlineStr">
        <is>
          <t>No</t>
        </is>
      </c>
      <c r="I3" s="30" t="inlineStr">
        <is>
          <t>No funciona</t>
        </is>
      </c>
      <c r="J3" s="30" t="inlineStr">
        <is>
          <t>No entregado</t>
        </is>
      </c>
      <c r="K3" s="30" t="inlineStr">
        <is>
          <t>No tomada</t>
        </is>
      </c>
      <c r="L3" s="30" t="inlineStr">
        <is>
          <t>Agua de piscina</t>
        </is>
      </c>
      <c r="M3" s="30" t="inlineStr">
        <is>
          <t>Esta semana</t>
        </is>
      </c>
      <c r="N3" s="30" t="inlineStr">
        <is>
          <t>Juegos</t>
        </is>
      </c>
      <c r="O3" s="30" t="inlineStr">
        <is>
          <t>Cliente lo ingresará</t>
        </is>
      </c>
      <c r="P3" s="30" t="inlineStr">
        <is>
          <t>No acepta</t>
        </is>
      </c>
      <c r="Q3" s="30" t="inlineStr">
        <is>
          <t>Rayones</t>
        </is>
      </c>
      <c r="R3" s="30" t="inlineStr">
        <is>
          <t>Rayones</t>
        </is>
      </c>
      <c r="S3" s="30" t="inlineStr">
        <is>
          <t>Faltantes</t>
        </is>
      </c>
      <c r="T3" s="30" t="inlineStr">
        <is>
          <t>Dañadas</t>
        </is>
      </c>
      <c r="U3" s="30" t="inlineStr">
        <is>
          <t>Con daño</t>
        </is>
      </c>
      <c r="X3" s="30" t="inlineStr">
        <is>
          <t>Batería / No carga</t>
        </is>
      </c>
      <c r="Y3" s="30" t="inlineStr">
        <is>
          <t>Batería / No carga</t>
        </is>
      </c>
      <c r="Z3" s="30" t="inlineStr">
        <is>
          <t>Batería / No carga</t>
        </is>
      </c>
      <c r="AA3" s="30" t="inlineStr">
        <is>
          <t>Batería / No carga</t>
        </is>
      </c>
      <c r="AB3" s="30" t="inlineStr">
        <is>
          <t>Calentamiento / Se apaga</t>
        </is>
      </c>
      <c r="AC3" s="30" t="inlineStr">
        <is>
          <t>Batería / No carga</t>
        </is>
      </c>
      <c r="AD3" s="30" t="inlineStr">
        <is>
          <t>Calentamiento / Se apaga</t>
        </is>
      </c>
      <c r="AE3" s="30" t="inlineStr">
        <is>
          <t>Batería / No carga</t>
        </is>
      </c>
      <c r="AF3" s="30" t="inlineStr">
        <is>
          <t>Batería / No carga</t>
        </is>
      </c>
    </row>
    <row r="4">
      <c r="A4" s="30" t="inlineStr">
        <is>
          <t>Reloj inteligente</t>
        </is>
      </c>
      <c r="B4" s="30" t="inlineStr">
        <is>
          <t>Reloj</t>
        </is>
      </c>
      <c r="E4" s="30" t="inlineStr">
        <is>
          <t>No sabe</t>
        </is>
      </c>
      <c r="F4" s="30" t="inlineStr">
        <is>
          <t>Intermitente</t>
        </is>
      </c>
      <c r="H4" s="30" t="inlineStr">
        <is>
          <t>No fue posible comprobar</t>
        </is>
      </c>
      <c r="I4" s="30" t="inlineStr">
        <is>
          <t>No probado</t>
        </is>
      </c>
      <c r="K4" s="30" t="inlineStr">
        <is>
          <t>No aplica</t>
        </is>
      </c>
      <c r="L4" s="30" t="inlineStr">
        <is>
          <t>Agua de mar</t>
        </is>
      </c>
      <c r="M4" s="30" t="inlineStr">
        <is>
          <t>Este mes</t>
        </is>
      </c>
      <c r="N4" s="30" t="inlineStr">
        <is>
          <t>Cargando</t>
        </is>
      </c>
      <c r="O4" s="30" t="inlineStr">
        <is>
          <t>No proporcionado</t>
        </is>
      </c>
      <c r="Q4" s="30" t="inlineStr">
        <is>
          <t>Quebrada</t>
        </is>
      </c>
      <c r="R4" s="30" t="inlineStr">
        <is>
          <t>Golpes</t>
        </is>
      </c>
      <c r="S4" s="30" t="inlineStr">
        <is>
          <t>No aplica</t>
        </is>
      </c>
      <c r="T4" s="30" t="inlineStr">
        <is>
          <t>No aplica</t>
        </is>
      </c>
      <c r="U4" s="30" t="inlineStr">
        <is>
          <t>No aplica</t>
        </is>
      </c>
      <c r="X4" s="30" t="inlineStr">
        <is>
          <t>Calentamiento / Se apaga</t>
        </is>
      </c>
      <c r="Y4" s="30" t="inlineStr">
        <is>
          <t>Calentamiento / Se apaga</t>
        </is>
      </c>
      <c r="Z4" s="30" t="inlineStr">
        <is>
          <t>Contacto con líquido</t>
        </is>
      </c>
      <c r="AA4" s="30" t="inlineStr">
        <is>
          <t>Calentamiento / Se apaga</t>
        </is>
      </c>
      <c r="AB4" s="30" t="inlineStr">
        <is>
          <t>Contacto con líquido</t>
        </is>
      </c>
      <c r="AC4" s="30" t="inlineStr">
        <is>
          <t>Calentamiento / Se apaga</t>
        </is>
      </c>
      <c r="AD4" s="30" t="inlineStr">
        <is>
          <t>Contacto con líquido</t>
        </is>
      </c>
      <c r="AE4" s="30" t="inlineStr">
        <is>
          <t>Calentamiento / Se apaga</t>
        </is>
      </c>
      <c r="AF4" s="30" t="inlineStr">
        <is>
          <t>Calentamiento / Se apaga</t>
        </is>
      </c>
    </row>
    <row r="5">
      <c r="A5" s="30" t="inlineStr">
        <is>
          <t>Laptop</t>
        </is>
      </c>
      <c r="B5" s="30" t="inlineStr">
        <is>
          <t>Laptop</t>
        </is>
      </c>
      <c r="I5" s="30" t="inlineStr">
        <is>
          <t>No aplica</t>
        </is>
      </c>
      <c r="L5" s="30" t="inlineStr">
        <is>
          <t>Café</t>
        </is>
      </c>
      <c r="M5" s="30" t="inlineStr">
        <is>
          <t>Hace más de 1 mes</t>
        </is>
      </c>
      <c r="N5" s="30" t="inlineStr">
        <is>
          <t>Siempre</t>
        </is>
      </c>
      <c r="O5" s="30" t="inlineStr">
        <is>
          <t>No aplica</t>
        </is>
      </c>
      <c r="Q5" s="30" t="inlineStr">
        <is>
          <t>Manchas o líneas</t>
        </is>
      </c>
      <c r="R5" s="30" t="inlineStr">
        <is>
          <t>Abolladuras</t>
        </is>
      </c>
      <c r="X5" s="30" t="inlineStr">
        <is>
          <t>Contacto con líquido</t>
        </is>
      </c>
      <c r="Y5" s="30" t="inlineStr">
        <is>
          <t>Contacto con líquido</t>
        </is>
      </c>
      <c r="Z5" s="30" t="inlineStr">
        <is>
          <t>Golpe / Caída</t>
        </is>
      </c>
      <c r="AA5" s="30" t="inlineStr">
        <is>
          <t>Contacto con líquido</t>
        </is>
      </c>
      <c r="AB5" s="30" t="inlineStr">
        <is>
          <t>Golpe / Caída</t>
        </is>
      </c>
      <c r="AC5" s="30" t="inlineStr">
        <is>
          <t>Contacto con líquido</t>
        </is>
      </c>
      <c r="AD5" s="30" t="inlineStr">
        <is>
          <t>Golpe / Caída</t>
        </is>
      </c>
      <c r="AE5" s="30" t="inlineStr">
        <is>
          <t>Contacto con líquido</t>
        </is>
      </c>
      <c r="AF5" s="30" t="inlineStr">
        <is>
          <t>Contacto con líquido</t>
        </is>
      </c>
    </row>
    <row r="6">
      <c r="A6" s="30" t="inlineStr">
        <is>
          <t>PC de escritorio</t>
        </is>
      </c>
      <c r="B6" s="30" t="inlineStr">
        <is>
          <t>PC</t>
        </is>
      </c>
      <c r="L6" s="30" t="inlineStr">
        <is>
          <t>Gaseosa</t>
        </is>
      </c>
      <c r="M6" s="30" t="inlineStr">
        <is>
          <t>No sabe</t>
        </is>
      </c>
      <c r="N6" s="30" t="inlineStr">
        <is>
          <t>Otro</t>
        </is>
      </c>
      <c r="Q6" s="30" t="inlineStr">
        <is>
          <t>No aplica</t>
        </is>
      </c>
      <c r="R6" s="30" t="inlineStr">
        <is>
          <t>Carcasa rota</t>
        </is>
      </c>
      <c r="X6" s="30" t="inlineStr">
        <is>
          <t>Golpe / Caída</t>
        </is>
      </c>
      <c r="Y6" s="30" t="inlineStr">
        <is>
          <t>Golpe / Caída</t>
        </is>
      </c>
      <c r="Z6" s="30" t="inlineStr">
        <is>
          <t>Pantalla / Imagen</t>
        </is>
      </c>
      <c r="AA6" s="30" t="inlineStr">
        <is>
          <t>Golpe / Caída</t>
        </is>
      </c>
      <c r="AB6" s="30" t="inlineStr">
        <is>
          <t>Pantalla / Imagen</t>
        </is>
      </c>
      <c r="AC6" s="30" t="inlineStr">
        <is>
          <t>Golpe / Caída</t>
        </is>
      </c>
      <c r="AD6" s="30" t="inlineStr">
        <is>
          <t>Pantalla / Imagen</t>
        </is>
      </c>
      <c r="AE6" s="30" t="inlineStr">
        <is>
          <t>Golpe / Caída</t>
        </is>
      </c>
      <c r="AF6" s="30" t="inlineStr">
        <is>
          <t>Golpe / Caída</t>
        </is>
      </c>
    </row>
    <row r="7">
      <c r="A7" s="30" t="inlineStr">
        <is>
          <t>MacBook</t>
        </is>
      </c>
      <c r="B7" s="30" t="inlineStr">
        <is>
          <t>MacBook</t>
        </is>
      </c>
      <c r="L7" s="30" t="inlineStr">
        <is>
          <t>Alcohol</t>
        </is>
      </c>
      <c r="R7" s="30" t="inlineStr">
        <is>
          <t>No aplica</t>
        </is>
      </c>
      <c r="X7" s="30" t="inlineStr">
        <is>
          <t>Pantalla / Imagen</t>
        </is>
      </c>
      <c r="Y7" s="30" t="inlineStr">
        <is>
          <t>Pantalla / Imagen</t>
        </is>
      </c>
      <c r="Z7" s="30" t="inlineStr">
        <is>
          <t>Lentitud / Sistema</t>
        </is>
      </c>
      <c r="AA7" s="30" t="inlineStr">
        <is>
          <t>Pantalla / Imagen</t>
        </is>
      </c>
      <c r="AB7" s="30" t="inlineStr">
        <is>
          <t>Lentitud / Sistema</t>
        </is>
      </c>
      <c r="AC7" s="30" t="inlineStr">
        <is>
          <t>Pantalla / Imagen</t>
        </is>
      </c>
      <c r="AD7" s="30" t="inlineStr">
        <is>
          <t>Lentitud / Sistema</t>
        </is>
      </c>
      <c r="AE7" s="30" t="inlineStr">
        <is>
          <t>Pantalla / Imagen</t>
        </is>
      </c>
      <c r="AF7" s="30" t="inlineStr">
        <is>
          <t>Pantalla / Imagen</t>
        </is>
      </c>
    </row>
    <row r="8">
      <c r="A8" s="30" t="inlineStr">
        <is>
          <t>iMac</t>
        </is>
      </c>
      <c r="B8" s="30" t="inlineStr">
        <is>
          <t>iMac</t>
        </is>
      </c>
      <c r="L8" s="30" t="inlineStr">
        <is>
          <t>Otro</t>
        </is>
      </c>
      <c r="X8" s="30" t="inlineStr">
        <is>
          <t>Lentitud / Sistema</t>
        </is>
      </c>
      <c r="Y8" s="30" t="inlineStr">
        <is>
          <t>Lentitud / Sistema</t>
        </is>
      </c>
      <c r="Z8" s="30" t="inlineStr">
        <is>
          <t>Cuenta / Bloqueo</t>
        </is>
      </c>
      <c r="AA8" s="30" t="inlineStr">
        <is>
          <t>Lentitud / Sistema</t>
        </is>
      </c>
      <c r="AB8" s="30" t="inlineStr">
        <is>
          <t>Disco / Almacenamiento</t>
        </is>
      </c>
      <c r="AC8" s="30" t="inlineStr">
        <is>
          <t>Lentitud / Sistema</t>
        </is>
      </c>
      <c r="AD8" s="30" t="inlineStr">
        <is>
          <t>Disco / Almacenamiento</t>
        </is>
      </c>
      <c r="AE8" s="30" t="inlineStr">
        <is>
          <t>Lentitud / Sistema</t>
        </is>
      </c>
      <c r="AF8" s="30" t="inlineStr">
        <is>
          <t>Lentitud / Sistema</t>
        </is>
      </c>
    </row>
    <row r="9">
      <c r="A9" s="30" t="inlineStr">
        <is>
          <t>Consola de videojuegos</t>
        </is>
      </c>
      <c r="B9" s="30" t="inlineStr">
        <is>
          <t>Consola</t>
        </is>
      </c>
      <c r="X9" s="30" t="inlineStr">
        <is>
          <t>Cuenta / Bloqueo</t>
        </is>
      </c>
      <c r="Y9" s="30" t="inlineStr">
        <is>
          <t>Cuenta / Bloqueo</t>
        </is>
      </c>
      <c r="Z9" s="30" t="inlineStr">
        <is>
          <t>Audio / Cámara / Micrófono</t>
        </is>
      </c>
      <c r="AA9" s="30" t="inlineStr">
        <is>
          <t>Disco / Almacenamiento</t>
        </is>
      </c>
      <c r="AB9" s="30" t="inlineStr">
        <is>
          <t>Cuenta / Bloqueo</t>
        </is>
      </c>
      <c r="AC9" s="30" t="inlineStr">
        <is>
          <t>Disco / Almacenamiento</t>
        </is>
      </c>
      <c r="AD9" s="30" t="inlineStr">
        <is>
          <t>Cuenta / Bloqueo</t>
        </is>
      </c>
      <c r="AE9" s="30" t="inlineStr">
        <is>
          <t>Disco / Almacenamiento</t>
        </is>
      </c>
      <c r="AF9" s="30" t="inlineStr">
        <is>
          <t>Audio / Cámara / Micrófono</t>
        </is>
      </c>
    </row>
    <row r="10">
      <c r="A10" s="30" t="inlineStr">
        <is>
          <t>Otro</t>
        </is>
      </c>
      <c r="B10" s="30" t="inlineStr">
        <is>
          <t>Otro</t>
        </is>
      </c>
      <c r="X10" s="30" t="inlineStr">
        <is>
          <t>Audio / Cámara / Micrófono</t>
        </is>
      </c>
      <c r="Y10" s="30" t="inlineStr">
        <is>
          <t>Audio / Cámara / Micrófono</t>
        </is>
      </c>
      <c r="Z10" s="30" t="inlineStr">
        <is>
          <t>Red / Señal / Conectividad</t>
        </is>
      </c>
      <c r="AA10" s="30" t="inlineStr">
        <is>
          <t>Cuenta / Bloqueo</t>
        </is>
      </c>
      <c r="AB10" s="30" t="inlineStr">
        <is>
          <t>Audio / Cámara / Micrófono</t>
        </is>
      </c>
      <c r="AC10" s="30" t="inlineStr">
        <is>
          <t>Cuenta / Bloqueo</t>
        </is>
      </c>
      <c r="AD10" s="30" t="inlineStr">
        <is>
          <t>Audio / Cámara / Micrófono</t>
        </is>
      </c>
      <c r="AE10" s="30" t="inlineStr">
        <is>
          <t>Cuenta / Bloqueo</t>
        </is>
      </c>
      <c r="AF10" s="30" t="inlineStr">
        <is>
          <t>Red / Señal / Conectividad</t>
        </is>
      </c>
    </row>
    <row r="11">
      <c r="X11" s="30" t="inlineStr">
        <is>
          <t>Red / Señal / Conectividad</t>
        </is>
      </c>
      <c r="Y11" s="30" t="inlineStr">
        <is>
          <t>Red / Señal / Conectividad</t>
        </is>
      </c>
      <c r="Z11" s="30" t="inlineStr">
        <is>
          <t>Sensores / Botones / Correa</t>
        </is>
      </c>
      <c r="AA11" s="30" t="inlineStr">
        <is>
          <t>Audio / Cámara / Micrófono</t>
        </is>
      </c>
      <c r="AB11" s="30" t="inlineStr">
        <is>
          <t>Red / Señal / Conectividad</t>
        </is>
      </c>
      <c r="AC11" s="30" t="inlineStr">
        <is>
          <t>Audio / Cámara / Micrófono</t>
        </is>
      </c>
      <c r="AD11" s="30" t="inlineStr">
        <is>
          <t>Red / Señal / Conectividad</t>
        </is>
      </c>
      <c r="AE11" s="30" t="inlineStr">
        <is>
          <t>Audio / Cámara / Micrófono</t>
        </is>
      </c>
      <c r="AF11" s="30" t="inlineStr">
        <is>
          <t>Otra falla</t>
        </is>
      </c>
    </row>
    <row r="12">
      <c r="X12" s="30" t="inlineStr">
        <is>
          <t>Otra falla</t>
        </is>
      </c>
      <c r="Y12" s="30" t="inlineStr">
        <is>
          <t>Otra falla</t>
        </is>
      </c>
      <c r="Z12" s="30" t="inlineStr">
        <is>
          <t>Otra falla</t>
        </is>
      </c>
      <c r="AA12" s="30" t="inlineStr">
        <is>
          <t>Red / Señal / Conectividad</t>
        </is>
      </c>
      <c r="AB12" s="30" t="inlineStr">
        <is>
          <t>Teclado / Touchpad / Puertos</t>
        </is>
      </c>
      <c r="AC12" s="30" t="inlineStr">
        <is>
          <t>Red / Señal / Conectividad</t>
        </is>
      </c>
      <c r="AD12" s="30" t="inlineStr">
        <is>
          <t>Teclado / Touchpad / Puertos</t>
        </is>
      </c>
      <c r="AE12" s="30" t="inlineStr">
        <is>
          <t>Red / Señal / Conectividad</t>
        </is>
      </c>
    </row>
    <row r="13">
      <c r="AA13" s="30" t="inlineStr">
        <is>
          <t>Teclado / Touchpad / Puertos</t>
        </is>
      </c>
      <c r="AB13" s="30" t="inlineStr">
        <is>
          <t>Otra falla</t>
        </is>
      </c>
      <c r="AC13" s="30" t="inlineStr">
        <is>
          <t>Teclado / Touchpad / Puertos</t>
        </is>
      </c>
      <c r="AD13" s="30" t="inlineStr">
        <is>
          <t>Otra falla</t>
        </is>
      </c>
      <c r="AE13" s="30" t="inlineStr">
        <is>
          <t>Lector de disco / Juegos</t>
        </is>
      </c>
    </row>
    <row r="14">
      <c r="AA14" s="30" t="inlineStr">
        <is>
          <t>Otra falla</t>
        </is>
      </c>
      <c r="AC14" s="30" t="inlineStr">
        <is>
          <t>Otra falla</t>
        </is>
      </c>
      <c r="AE14" s="30" t="inlineStr">
        <is>
          <t>Control / Mando</t>
        </is>
      </c>
    </row>
    <row r="15">
      <c r="AE15" s="30" t="inlineStr">
        <is>
          <t>Otra falla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2026-09-30T14:36:08Z</dcterms:created>
  <dcterms:modified xsi:type="dcterms:W3CDTF">2026-09-30T14:36:08Z</dcterms:modified>
</cp:coreProperties>
</file>